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1\20251128Fig1PMCbody\"/>
    </mc:Choice>
  </mc:AlternateContent>
  <xr:revisionPtr revIDLastSave="0" documentId="13_ncr:1_{7FB3A84D-BA8D-4606-8DA7-418C49E38C4D}" xr6:coauthVersionLast="47" xr6:coauthVersionMax="47" xr10:uidLastSave="{00000000-0000-0000-0000-000000000000}"/>
  <bookViews>
    <workbookView xWindow="7200" yWindow="3420" windowWidth="21600" windowHeight="11295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7" l="1"/>
  <c r="C1" i="9"/>
  <c r="B1" i="9"/>
  <c r="K45" i="7"/>
  <c r="C38" i="10"/>
  <c r="C39" i="10"/>
  <c r="C40" i="10"/>
  <c r="B38" i="10"/>
  <c r="B39" i="10"/>
  <c r="B40" i="10"/>
  <c r="C38" i="9"/>
  <c r="C39" i="9"/>
  <c r="C40" i="9"/>
  <c r="B38" i="9"/>
  <c r="B39" i="9"/>
  <c r="B40" i="9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C2" i="10"/>
  <c r="B2" i="10"/>
  <c r="C1" i="10"/>
  <c r="B1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C2" i="9"/>
  <c r="B2" i="9"/>
  <c r="D40" i="9" l="1"/>
  <c r="D19" i="9"/>
  <c r="H19" i="11" s="1"/>
  <c r="D39" i="10"/>
  <c r="D9" i="9"/>
  <c r="H9" i="11" s="1"/>
  <c r="D25" i="9"/>
  <c r="H25" i="11" s="1"/>
  <c r="D17" i="9"/>
  <c r="H17" i="11" s="1"/>
  <c r="D36" i="9"/>
  <c r="H36" i="11" s="1"/>
  <c r="D28" i="9"/>
  <c r="H28" i="11" s="1"/>
  <c r="D31" i="10"/>
  <c r="I31" i="11" s="1"/>
  <c r="D23" i="10"/>
  <c r="I23" i="11" s="1"/>
  <c r="D15" i="10"/>
  <c r="I15" i="11" s="1"/>
  <c r="D7" i="10"/>
  <c r="I7" i="11" s="1"/>
  <c r="D2" i="9"/>
  <c r="H2" i="11" s="1"/>
  <c r="D32" i="9"/>
  <c r="H32" i="11" s="1"/>
  <c r="D16" i="9"/>
  <c r="H16" i="11" s="1"/>
  <c r="D8" i="9"/>
  <c r="H8" i="11" s="1"/>
  <c r="D30" i="10"/>
  <c r="I30" i="11" s="1"/>
  <c r="D22" i="10"/>
  <c r="I22" i="11" s="1"/>
  <c r="D6" i="10"/>
  <c r="I6" i="11" s="1"/>
  <c r="D38" i="9"/>
  <c r="D32" i="10"/>
  <c r="I32" i="11" s="1"/>
  <c r="D24" i="10"/>
  <c r="I24" i="11" s="1"/>
  <c r="D16" i="10"/>
  <c r="I16" i="11" s="1"/>
  <c r="D8" i="10"/>
  <c r="I8" i="11" s="1"/>
  <c r="D24" i="9"/>
  <c r="H24" i="11" s="1"/>
  <c r="D35" i="9"/>
  <c r="H35" i="11" s="1"/>
  <c r="D11" i="9"/>
  <c r="H11" i="11" s="1"/>
  <c r="D3" i="9"/>
  <c r="H3" i="11" s="1"/>
  <c r="D34" i="9"/>
  <c r="H34" i="11" s="1"/>
  <c r="D10" i="9"/>
  <c r="H10" i="11" s="1"/>
  <c r="D5" i="9"/>
  <c r="H5" i="11" s="1"/>
  <c r="D27" i="9"/>
  <c r="H27" i="11" s="1"/>
  <c r="D26" i="9"/>
  <c r="H26" i="11" s="1"/>
  <c r="D18" i="9"/>
  <c r="H18" i="11" s="1"/>
  <c r="D37" i="9"/>
  <c r="H37" i="11" s="1"/>
  <c r="D29" i="9"/>
  <c r="H29" i="11" s="1"/>
  <c r="D21" i="9"/>
  <c r="H21" i="11" s="1"/>
  <c r="D13" i="9"/>
  <c r="H13" i="11" s="1"/>
  <c r="D33" i="9"/>
  <c r="H33" i="11" s="1"/>
  <c r="D20" i="9"/>
  <c r="H20" i="11" s="1"/>
  <c r="D12" i="9"/>
  <c r="H12" i="11" s="1"/>
  <c r="D4" i="9"/>
  <c r="H4" i="11" s="1"/>
  <c r="D14" i="10"/>
  <c r="I14" i="11" s="1"/>
  <c r="D37" i="10"/>
  <c r="I37" i="11" s="1"/>
  <c r="D29" i="10"/>
  <c r="I29" i="11" s="1"/>
  <c r="D21" i="10"/>
  <c r="I21" i="11" s="1"/>
  <c r="D13" i="10"/>
  <c r="I13" i="11" s="1"/>
  <c r="D5" i="10"/>
  <c r="I5" i="11" s="1"/>
  <c r="D40" i="10"/>
  <c r="D33" i="10"/>
  <c r="I33" i="11" s="1"/>
  <c r="D25" i="10"/>
  <c r="I25" i="11" s="1"/>
  <c r="D17" i="10"/>
  <c r="I17" i="11" s="1"/>
  <c r="D9" i="10"/>
  <c r="I9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30" i="9"/>
  <c r="H30" i="11" s="1"/>
  <c r="D22" i="9"/>
  <c r="H22" i="11" s="1"/>
  <c r="D14" i="9"/>
  <c r="H14" i="11" s="1"/>
  <c r="D6" i="9"/>
  <c r="H6" i="11" s="1"/>
  <c r="D2" i="10"/>
  <c r="I2" i="11" s="1"/>
  <c r="J45" i="7"/>
  <c r="J44" i="7"/>
  <c r="J43" i="7"/>
  <c r="J42" i="7"/>
  <c r="J41" i="7"/>
  <c r="J40" i="7"/>
  <c r="K44" i="7"/>
  <c r="K43" i="7"/>
  <c r="K42" i="7"/>
  <c r="K41" i="7"/>
  <c r="C1" i="6"/>
  <c r="B1" i="6"/>
  <c r="C1" i="5"/>
  <c r="B1" i="5"/>
  <c r="C1" i="4"/>
  <c r="B1" i="4"/>
  <c r="C1" i="3"/>
  <c r="B1" i="3"/>
  <c r="C1" i="2"/>
  <c r="B1" i="2"/>
  <c r="B1" i="1"/>
  <c r="C1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2" i="6"/>
  <c r="B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2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2" i="4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2" i="3"/>
  <c r="B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8" i="2"/>
  <c r="B39" i="2"/>
  <c r="B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2" i="2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14" i="6" l="1"/>
  <c r="D8" i="6"/>
  <c r="D7" i="6"/>
  <c r="D13" i="6"/>
  <c r="D11" i="6"/>
  <c r="D3" i="6"/>
  <c r="D10" i="6"/>
  <c r="D12" i="6"/>
  <c r="D9" i="6"/>
  <c r="D15" i="6"/>
  <c r="D16" i="6"/>
  <c r="D17" i="6"/>
  <c r="D18" i="6"/>
  <c r="D2" i="6"/>
  <c r="D2" i="5"/>
  <c r="F2" i="11" s="1"/>
  <c r="D35" i="4"/>
  <c r="E35" i="11" s="1"/>
  <c r="D30" i="6"/>
  <c r="D31" i="6"/>
  <c r="D32" i="6"/>
  <c r="D33" i="6"/>
  <c r="D34" i="6"/>
  <c r="D35" i="6"/>
  <c r="D36" i="6"/>
  <c r="D37" i="6"/>
  <c r="D36" i="4"/>
  <c r="E36" i="11" s="1"/>
  <c r="D19" i="6"/>
  <c r="D21" i="6"/>
  <c r="D22" i="6"/>
  <c r="D20" i="6"/>
  <c r="D23" i="6"/>
  <c r="D24" i="6"/>
  <c r="D25" i="6"/>
  <c r="D26" i="6"/>
  <c r="D27" i="6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D5" i="6"/>
  <c r="D6" i="6"/>
  <c r="D28" i="6"/>
  <c r="D29" i="6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G25" i="11" l="1"/>
  <c r="E25" i="6"/>
  <c r="F25" i="6"/>
  <c r="G37" i="11"/>
  <c r="F37" i="6"/>
  <c r="E37" i="6"/>
  <c r="G12" i="11"/>
  <c r="F12" i="6"/>
  <c r="E12" i="6"/>
  <c r="G24" i="11"/>
  <c r="E24" i="6"/>
  <c r="F24" i="6"/>
  <c r="G36" i="11"/>
  <c r="F36" i="6"/>
  <c r="E36" i="6"/>
  <c r="G10" i="11"/>
  <c r="F10" i="6"/>
  <c r="E10" i="6"/>
  <c r="G29" i="11"/>
  <c r="F29" i="6"/>
  <c r="E29" i="6"/>
  <c r="G23" i="11"/>
  <c r="E23" i="6"/>
  <c r="F23" i="6"/>
  <c r="G35" i="11"/>
  <c r="E35" i="6"/>
  <c r="F35" i="6"/>
  <c r="G2" i="11"/>
  <c r="E2" i="6"/>
  <c r="F2" i="6"/>
  <c r="G3" i="11"/>
  <c r="F3" i="6"/>
  <c r="E3" i="6"/>
  <c r="G28" i="11"/>
  <c r="F28" i="6"/>
  <c r="E28" i="6"/>
  <c r="G20" i="11"/>
  <c r="F20" i="6"/>
  <c r="E20" i="6"/>
  <c r="G34" i="11"/>
  <c r="F34" i="6"/>
  <c r="E34" i="6"/>
  <c r="G18" i="11"/>
  <c r="E18" i="6"/>
  <c r="F18" i="6"/>
  <c r="G11" i="11"/>
  <c r="E11" i="6"/>
  <c r="F11" i="6"/>
  <c r="G17" i="11"/>
  <c r="E17" i="6"/>
  <c r="F17" i="6"/>
  <c r="G21" i="11"/>
  <c r="E21" i="6"/>
  <c r="F21" i="6"/>
  <c r="G7" i="11"/>
  <c r="E7" i="6"/>
  <c r="F7" i="6"/>
  <c r="G4" i="11"/>
  <c r="F4" i="6"/>
  <c r="E4" i="6"/>
  <c r="G27" i="11"/>
  <c r="E27" i="6"/>
  <c r="F27" i="6"/>
  <c r="G19" i="11"/>
  <c r="E19" i="6"/>
  <c r="F19" i="6"/>
  <c r="G31" i="11"/>
  <c r="E31" i="6"/>
  <c r="F31" i="6"/>
  <c r="G15" i="11"/>
  <c r="F15" i="6"/>
  <c r="E15" i="6"/>
  <c r="G8" i="11"/>
  <c r="E8" i="6"/>
  <c r="F8" i="6"/>
  <c r="G6" i="11"/>
  <c r="F6" i="6"/>
  <c r="E6" i="6"/>
  <c r="G22" i="11"/>
  <c r="F22" i="6"/>
  <c r="E22" i="6"/>
  <c r="G33" i="11"/>
  <c r="E33" i="6"/>
  <c r="F33" i="6"/>
  <c r="G13" i="11"/>
  <c r="F13" i="6"/>
  <c r="E13" i="6"/>
  <c r="G5" i="11"/>
  <c r="F5" i="6"/>
  <c r="E5" i="6"/>
  <c r="G32" i="11"/>
  <c r="E32" i="6"/>
  <c r="F32" i="6"/>
  <c r="G16" i="11"/>
  <c r="E16" i="6"/>
  <c r="F16" i="6"/>
  <c r="G26" i="11"/>
  <c r="F26" i="6"/>
  <c r="E26" i="6"/>
  <c r="G30" i="11"/>
  <c r="F30" i="6"/>
  <c r="E30" i="6"/>
  <c r="G9" i="11"/>
  <c r="E9" i="6"/>
  <c r="F9" i="6"/>
  <c r="G14" i="11"/>
  <c r="F14" i="6"/>
  <c r="E14" i="6"/>
  <c r="G7" i="8"/>
  <c r="G13" i="8"/>
  <c r="G14" i="8"/>
  <c r="G8" i="8"/>
  <c r="B3" i="8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C2" i="8"/>
  <c r="D40" i="1"/>
  <c r="D39" i="1"/>
  <c r="B2" i="8"/>
  <c r="K1" i="11" l="1" a="1"/>
  <c r="K1" i="11"/>
  <c r="I1" i="7" s="1"/>
  <c r="AS9" i="7"/>
  <c r="AK9" i="7"/>
  <c r="AC9" i="7"/>
  <c r="U9" i="7"/>
  <c r="AQ8" i="7"/>
  <c r="AI8" i="7"/>
  <c r="AR7" i="7"/>
  <c r="AJ7" i="7"/>
  <c r="AB7" i="7"/>
  <c r="T7" i="7"/>
  <c r="L7" i="7"/>
  <c r="AO6" i="7"/>
  <c r="AG6" i="7"/>
  <c r="Y6" i="7"/>
  <c r="Q6" i="7"/>
  <c r="I6" i="7"/>
  <c r="AL5" i="7"/>
  <c r="AD5" i="7"/>
  <c r="V5" i="7"/>
  <c r="N5" i="7"/>
  <c r="AQ4" i="7"/>
  <c r="AI4" i="7"/>
  <c r="AA4" i="7"/>
  <c r="S4" i="7"/>
  <c r="K4" i="7"/>
  <c r="AN3" i="7"/>
  <c r="AF3" i="7"/>
  <c r="X3" i="7"/>
  <c r="P3" i="7"/>
  <c r="AS2" i="7"/>
  <c r="AK2" i="7"/>
  <c r="AC2" i="7"/>
  <c r="U2" i="7"/>
  <c r="M2" i="7"/>
  <c r="AP1" i="7"/>
  <c r="AH1" i="7"/>
  <c r="Z1" i="7"/>
  <c r="R1" i="7"/>
  <c r="J1" i="7"/>
  <c r="AR9" i="7"/>
  <c r="AJ9" i="7"/>
  <c r="AB9" i="7"/>
  <c r="T9" i="7"/>
  <c r="AP8" i="7"/>
  <c r="AH8" i="7"/>
  <c r="AQ7" i="7"/>
  <c r="AI7" i="7"/>
  <c r="AA7" i="7"/>
  <c r="S7" i="7"/>
  <c r="K7" i="7"/>
  <c r="AN6" i="7"/>
  <c r="AF6" i="7"/>
  <c r="X6" i="7"/>
  <c r="P6" i="7"/>
  <c r="AS5" i="7"/>
  <c r="AK5" i="7"/>
  <c r="AC5" i="7"/>
  <c r="U5" i="7"/>
  <c r="M5" i="7"/>
  <c r="AP4" i="7"/>
  <c r="AH4" i="7"/>
  <c r="Z4" i="7"/>
  <c r="R4" i="7"/>
  <c r="J4" i="7"/>
  <c r="AM3" i="7"/>
  <c r="AE3" i="7"/>
  <c r="W3" i="7"/>
  <c r="O3" i="7"/>
  <c r="AR2" i="7"/>
  <c r="AJ2" i="7"/>
  <c r="AB2" i="7"/>
  <c r="T2" i="7"/>
  <c r="L2" i="7"/>
  <c r="AO1" i="7"/>
  <c r="AG1" i="7"/>
  <c r="Y1" i="7"/>
  <c r="Q1" i="7"/>
  <c r="AQ9" i="7"/>
  <c r="AI9" i="7"/>
  <c r="AA9" i="7"/>
  <c r="S9" i="7"/>
  <c r="AO8" i="7"/>
  <c r="AG8" i="7"/>
  <c r="AP7" i="7"/>
  <c r="AH7" i="7"/>
  <c r="Z7" i="7"/>
  <c r="R7" i="7"/>
  <c r="J7" i="7"/>
  <c r="AM6" i="7"/>
  <c r="AE6" i="7"/>
  <c r="W6" i="7"/>
  <c r="O6" i="7"/>
  <c r="AR5" i="7"/>
  <c r="AJ5" i="7"/>
  <c r="AB5" i="7"/>
  <c r="T5" i="7"/>
  <c r="L5" i="7"/>
  <c r="AO4" i="7"/>
  <c r="AG4" i="7"/>
  <c r="Y4" i="7"/>
  <c r="Q4" i="7"/>
  <c r="I4" i="7"/>
  <c r="AL3" i="7"/>
  <c r="AD3" i="7"/>
  <c r="V3" i="7"/>
  <c r="N3" i="7"/>
  <c r="AQ2" i="7"/>
  <c r="AI2" i="7"/>
  <c r="AA2" i="7"/>
  <c r="S2" i="7"/>
  <c r="K2" i="7"/>
  <c r="AN1" i="7"/>
  <c r="AF1" i="7"/>
  <c r="X1" i="7"/>
  <c r="P1" i="7"/>
  <c r="AP9" i="7"/>
  <c r="AH9" i="7"/>
  <c r="Z9" i="7"/>
  <c r="R9" i="7"/>
  <c r="AN8" i="7"/>
  <c r="AF8" i="7"/>
  <c r="AO7" i="7"/>
  <c r="AG7" i="7"/>
  <c r="Y7" i="7"/>
  <c r="Q7" i="7"/>
  <c r="I7" i="7"/>
  <c r="AL6" i="7"/>
  <c r="AD6" i="7"/>
  <c r="V6" i="7"/>
  <c r="N6" i="7"/>
  <c r="AQ5" i="7"/>
  <c r="AI5" i="7"/>
  <c r="AA5" i="7"/>
  <c r="S5" i="7"/>
  <c r="K5" i="7"/>
  <c r="AN4" i="7"/>
  <c r="AF4" i="7"/>
  <c r="X4" i="7"/>
  <c r="P4" i="7"/>
  <c r="AS3" i="7"/>
  <c r="AK3" i="7"/>
  <c r="AC3" i="7"/>
  <c r="U3" i="7"/>
  <c r="M3" i="7"/>
  <c r="AP2" i="7"/>
  <c r="AH2" i="7"/>
  <c r="Z2" i="7"/>
  <c r="R2" i="7"/>
  <c r="J2" i="7"/>
  <c r="AM1" i="7"/>
  <c r="AE1" i="7"/>
  <c r="W1" i="7"/>
  <c r="O1" i="7"/>
  <c r="AO9" i="7"/>
  <c r="AG9" i="7"/>
  <c r="Y9" i="7"/>
  <c r="Q9" i="7"/>
  <c r="AM8" i="7"/>
  <c r="AE8" i="7"/>
  <c r="AN7" i="7"/>
  <c r="AF7" i="7"/>
  <c r="X7" i="7"/>
  <c r="P7" i="7"/>
  <c r="AS6" i="7"/>
  <c r="AK6" i="7"/>
  <c r="AC6" i="7"/>
  <c r="U6" i="7"/>
  <c r="M6" i="7"/>
  <c r="AP5" i="7"/>
  <c r="AH5" i="7"/>
  <c r="Z5" i="7"/>
  <c r="R5" i="7"/>
  <c r="J5" i="7"/>
  <c r="AM4" i="7"/>
  <c r="AE4" i="7"/>
  <c r="W4" i="7"/>
  <c r="O4" i="7"/>
  <c r="AR3" i="7"/>
  <c r="AJ3" i="7"/>
  <c r="AB3" i="7"/>
  <c r="T3" i="7"/>
  <c r="L3" i="7"/>
  <c r="AO2" i="7"/>
  <c r="AG2" i="7"/>
  <c r="Y2" i="7"/>
  <c r="Q2" i="7"/>
  <c r="I2" i="7"/>
  <c r="AL1" i="7"/>
  <c r="AD1" i="7"/>
  <c r="V1" i="7"/>
  <c r="N1" i="7"/>
  <c r="AN9" i="7"/>
  <c r="AF9" i="7"/>
  <c r="X9" i="7"/>
  <c r="I9" i="7"/>
  <c r="AL8" i="7"/>
  <c r="AD8" i="7"/>
  <c r="AM7" i="7"/>
  <c r="AE7" i="7"/>
  <c r="W7" i="7"/>
  <c r="O7" i="7"/>
  <c r="AR6" i="7"/>
  <c r="AJ6" i="7"/>
  <c r="AB6" i="7"/>
  <c r="T6" i="7"/>
  <c r="L6" i="7"/>
  <c r="AO5" i="7"/>
  <c r="AG5" i="7"/>
  <c r="Y5" i="7"/>
  <c r="Q5" i="7"/>
  <c r="I5" i="7"/>
  <c r="AL4" i="7"/>
  <c r="AD4" i="7"/>
  <c r="V4" i="7"/>
  <c r="N4" i="7"/>
  <c r="AQ3" i="7"/>
  <c r="AI3" i="7"/>
  <c r="AA3" i="7"/>
  <c r="S3" i="7"/>
  <c r="K3" i="7"/>
  <c r="AN2" i="7"/>
  <c r="AF2" i="7"/>
  <c r="X2" i="7"/>
  <c r="P2" i="7"/>
  <c r="AS1" i="7"/>
  <c r="AK1" i="7"/>
  <c r="AC1" i="7"/>
  <c r="U1" i="7"/>
  <c r="M1" i="7"/>
  <c r="AM9" i="7"/>
  <c r="AE9" i="7"/>
  <c r="W9" i="7"/>
  <c r="AS8" i="7"/>
  <c r="AK8" i="7"/>
  <c r="I8" i="7"/>
  <c r="AL7" i="7"/>
  <c r="AD7" i="7"/>
  <c r="V7" i="7"/>
  <c r="N7" i="7"/>
  <c r="AQ6" i="7"/>
  <c r="AI6" i="7"/>
  <c r="AA6" i="7"/>
  <c r="S6" i="7"/>
  <c r="K6" i="7"/>
  <c r="AN5" i="7"/>
  <c r="AF5" i="7"/>
  <c r="X5" i="7"/>
  <c r="P5" i="7"/>
  <c r="AS4" i="7"/>
  <c r="AK4" i="7"/>
  <c r="AC4" i="7"/>
  <c r="U4" i="7"/>
  <c r="M4" i="7"/>
  <c r="AP3" i="7"/>
  <c r="AH3" i="7"/>
  <c r="Z3" i="7"/>
  <c r="R3" i="7"/>
  <c r="J3" i="7"/>
  <c r="AM2" i="7"/>
  <c r="AE2" i="7"/>
  <c r="W2" i="7"/>
  <c r="O2" i="7"/>
  <c r="AR1" i="7"/>
  <c r="AJ1" i="7"/>
  <c r="AB1" i="7"/>
  <c r="T1" i="7"/>
  <c r="L1" i="7"/>
  <c r="AL9" i="7"/>
  <c r="AD9" i="7"/>
  <c r="V9" i="7"/>
  <c r="AR8" i="7"/>
  <c r="AJ8" i="7"/>
  <c r="AS7" i="7"/>
  <c r="AK7" i="7"/>
  <c r="AC7" i="7"/>
  <c r="U7" i="7"/>
  <c r="M7" i="7"/>
  <c r="AP6" i="7"/>
  <c r="AH6" i="7"/>
  <c r="Z6" i="7"/>
  <c r="R6" i="7"/>
  <c r="J6" i="7"/>
  <c r="AM5" i="7"/>
  <c r="AE5" i="7"/>
  <c r="W5" i="7"/>
  <c r="O5" i="7"/>
  <c r="AR4" i="7"/>
  <c r="AJ4" i="7"/>
  <c r="AB4" i="7"/>
  <c r="T4" i="7"/>
  <c r="L4" i="7"/>
  <c r="AO3" i="7"/>
  <c r="AG3" i="7"/>
  <c r="Y3" i="7"/>
  <c r="Q3" i="7"/>
  <c r="I3" i="7"/>
  <c r="AL2" i="7"/>
  <c r="AD2" i="7"/>
  <c r="V2" i="7"/>
  <c r="N2" i="7"/>
  <c r="AQ1" i="7"/>
  <c r="AI1" i="7"/>
  <c r="AA1" i="7"/>
  <c r="S1" i="7"/>
  <c r="K1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  <c r="I44" i="7" l="1"/>
  <c r="I42" i="7"/>
  <c r="I43" i="7"/>
  <c r="I40" i="7"/>
  <c r="I41" i="7"/>
  <c r="I4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<sst xmlns="http://schemas.openxmlformats.org/spreadsheetml/2006/main" count="71" uniqueCount="24">
  <si>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</si>
  <si>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</si>
  <si>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</si>
  <si>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</si>
  <si>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</si>
  <si>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</si>
  <si>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</si>
  <si>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</si>
  <si>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</si>
  <si>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</si>
  <si>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Article Category</t>
  </si>
  <si>
    <t>Abstracts, No</t>
  </si>
  <si>
    <t>Abstracts Reporting P Values, No. (range per year)</t>
  </si>
  <si>
    <t>Observational study</t>
  </si>
  <si>
    <t>Observational study</t>
    <phoneticPr fontId="1" type="noConversion"/>
  </si>
  <si>
    <t>Systematic review</t>
  </si>
  <si>
    <t>Systematic review</t>
    <phoneticPr fontId="1" type="noConversion"/>
  </si>
  <si>
    <t xml:space="preserve">
</t>
    <phoneticPr fontId="1" type="noConversion"/>
  </si>
  <si>
    <t>71913 (9-8563)</t>
    <phoneticPr fontId="1" type="noConversion"/>
  </si>
  <si>
    <t>107193 (19-11186)</t>
    <phoneticPr fontId="1" type="noConversion"/>
  </si>
  <si>
    <t>HasPvalue same or lower than n=5 excluded</t>
    <phoneticPr fontId="1" type="noConversion"/>
  </si>
  <si>
    <t>Clinical useful journal</t>
    <phoneticPr fontId="1" type="noConversion"/>
  </si>
  <si>
    <t>All PubMed</t>
    <phoneticPr fontId="1" type="noConversion"/>
  </si>
  <si>
    <t>Clinically Useful Journals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</si>
</sst>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66.666666666666657</c:v>
                </c:pt>
                <c:pt idx="5">
                  <c:v>50</c:v>
                </c:pt>
                <c:pt idx="6">
                  <c:v>100</c:v>
                </c:pt>
                <c:pt idx="7">
                  <c:v>100</c:v>
                </c:pt>
                <c:pt idx="8">
                  <c:v>80</c:v>
                </c:pt>
                <c:pt idx="9">
                  <c:v>83.333333333333343</c:v>
                </c:pt>
                <c:pt idx="10">
                  <c:v>90</c:v>
                </c:pt>
                <c:pt idx="11">
                  <c:v>71.428571428571431</c:v>
                </c:pt>
                <c:pt idx="12">
                  <c:v>76.923076923076934</c:v>
                </c:pt>
                <c:pt idx="13">
                  <c:v>73.529411764705884</c:v>
                </c:pt>
                <c:pt idx="14">
                  <c:v>82.165605095541409</c:v>
                </c:pt>
                <c:pt idx="15">
                  <c:v>79.473684210526315</c:v>
                </c:pt>
                <c:pt idx="16">
                  <c:v>76.744186046511629</c:v>
                </c:pt>
                <c:pt idx="17">
                  <c:v>74.369747899159663</c:v>
                </c:pt>
                <c:pt idx="18">
                  <c:v>77.513227513227505</c:v>
                </c:pt>
                <c:pt idx="19">
                  <c:v>73.513011152416354</c:v>
                </c:pt>
                <c:pt idx="20">
                  <c:v>72.366621067031474</c:v>
                </c:pt>
                <c:pt idx="21">
                  <c:v>72.442486539402836</c:v>
                </c:pt>
                <c:pt idx="22">
                  <c:v>74.970249900833011</c:v>
                </c:pt>
                <c:pt idx="23">
                  <c:v>74.270020237062738</c:v>
                </c:pt>
                <c:pt idx="24">
                  <c:v>74.247412982126065</c:v>
                </c:pt>
                <c:pt idx="25">
                  <c:v>75.308117297067582</c:v>
                </c:pt>
                <c:pt idx="26">
                  <c:v>76.097271648873075</c:v>
                </c:pt>
                <c:pt idx="27">
                  <c:v>76.359338061465721</c:v>
                </c:pt>
                <c:pt idx="28">
                  <c:v>79.504039075709187</c:v>
                </c:pt>
                <c:pt idx="29">
                  <c:v>81.618772317633059</c:v>
                </c:pt>
                <c:pt idx="30">
                  <c:v>81.831045705391261</c:v>
                </c:pt>
                <c:pt idx="31">
                  <c:v>83.218842001962713</c:v>
                </c:pt>
                <c:pt idx="32">
                  <c:v>84.610636765764838</c:v>
                </c:pt>
                <c:pt idx="33">
                  <c:v>85.009935419771494</c:v>
                </c:pt>
                <c:pt idx="34">
                  <c:v>86.594244770599786</c:v>
                </c:pt>
                <c:pt idx="35">
                  <c:v>87.213206491326247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7">
                  <c:v>35.714285714285715</c:v>
                </c:pt>
                <c:pt idx="8">
                  <c:v>30</c:v>
                </c:pt>
                <c:pt idx="9">
                  <c:v>50</c:v>
                </c:pt>
                <c:pt idx="10">
                  <c:v>66.666666666666657</c:v>
                </c:pt>
                <c:pt idx="11">
                  <c:v>91.666666666666657</c:v>
                </c:pt>
                <c:pt idx="12">
                  <c:v>59.259259259259252</c:v>
                </c:pt>
                <c:pt idx="13">
                  <c:v>57.28155339805825</c:v>
                </c:pt>
                <c:pt idx="14">
                  <c:v>61.734693877551017</c:v>
                </c:pt>
                <c:pt idx="15">
                  <c:v>69.142857142857139</c:v>
                </c:pt>
                <c:pt idx="16">
                  <c:v>73.170731707317074</c:v>
                </c:pt>
                <c:pt idx="17">
                  <c:v>75.862068965517238</c:v>
                </c:pt>
                <c:pt idx="18">
                  <c:v>80.110497237569049</c:v>
                </c:pt>
                <c:pt idx="19">
                  <c:v>81.105990783410135</c:v>
                </c:pt>
                <c:pt idx="20">
                  <c:v>78.729281767955811</c:v>
                </c:pt>
                <c:pt idx="21">
                  <c:v>80.511811023622045</c:v>
                </c:pt>
                <c:pt idx="22">
                  <c:v>83.275663206459043</c:v>
                </c:pt>
                <c:pt idx="23">
                  <c:v>82.924961715160791</c:v>
                </c:pt>
                <c:pt idx="24">
                  <c:v>82.316655243317342</c:v>
                </c:pt>
                <c:pt idx="25">
                  <c:v>83.208191126279857</c:v>
                </c:pt>
                <c:pt idx="26">
                  <c:v>84.750337381916324</c:v>
                </c:pt>
                <c:pt idx="27">
                  <c:v>85.289747399702819</c:v>
                </c:pt>
                <c:pt idx="28">
                  <c:v>82.539682539682531</c:v>
                </c:pt>
                <c:pt idx="29">
                  <c:v>81.165501165501169</c:v>
                </c:pt>
                <c:pt idx="30">
                  <c:v>81.088082901554401</c:v>
                </c:pt>
                <c:pt idx="31">
                  <c:v>81.476683937823836</c:v>
                </c:pt>
                <c:pt idx="32">
                  <c:v>79.623168178646196</c:v>
                </c:pt>
                <c:pt idx="33">
                  <c:v>77.715355805243448</c:v>
                </c:pt>
                <c:pt idx="34">
                  <c:v>78.824833702882486</c:v>
                </c:pt>
                <c:pt idx="35">
                  <c:v>82.710280373831779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50</c:v>
                </c:pt>
                <c:pt idx="12">
                  <c:v>77.777777777777786</c:v>
                </c:pt>
                <c:pt idx="13">
                  <c:v>73.333333333333329</c:v>
                </c:pt>
                <c:pt idx="14">
                  <c:v>82.758620689655174</c:v>
                </c:pt>
                <c:pt idx="15">
                  <c:v>78.723404255319153</c:v>
                </c:pt>
                <c:pt idx="16">
                  <c:v>69.841269841269835</c:v>
                </c:pt>
                <c:pt idx="17">
                  <c:v>58.241758241758248</c:v>
                </c:pt>
                <c:pt idx="18">
                  <c:v>78.472222222222214</c:v>
                </c:pt>
                <c:pt idx="19">
                  <c:v>80.568720379146924</c:v>
                </c:pt>
                <c:pt idx="20">
                  <c:v>76.470588235294116</c:v>
                </c:pt>
                <c:pt idx="21">
                  <c:v>80.961538461538467</c:v>
                </c:pt>
                <c:pt idx="22">
                  <c:v>83.152827918170885</c:v>
                </c:pt>
                <c:pt idx="23">
                  <c:v>84.790334044065389</c:v>
                </c:pt>
                <c:pt idx="24">
                  <c:v>86.994063680518082</c:v>
                </c:pt>
                <c:pt idx="25">
                  <c:v>85.976627712854764</c:v>
                </c:pt>
                <c:pt idx="26">
                  <c:v>87.294364718235911</c:v>
                </c:pt>
                <c:pt idx="27">
                  <c:v>88.371313672922241</c:v>
                </c:pt>
                <c:pt idx="28">
                  <c:v>87.59372869802317</c:v>
                </c:pt>
                <c:pt idx="29">
                  <c:v>86.0527732902531</c:v>
                </c:pt>
                <c:pt idx="30">
                  <c:v>86.280746395250205</c:v>
                </c:pt>
                <c:pt idx="31">
                  <c:v>84.245381666085734</c:v>
                </c:pt>
                <c:pt idx="32">
                  <c:v>86.310492822258396</c:v>
                </c:pt>
                <c:pt idx="33">
                  <c:v>86.803563339876192</c:v>
                </c:pt>
                <c:pt idx="34">
                  <c:v>88.410256410256409</c:v>
                </c:pt>
                <c:pt idx="35">
                  <c:v>88.828654404646656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20</c:v>
                </c:pt>
                <c:pt idx="6">
                  <c:v>7.1428571428571423</c:v>
                </c:pt>
                <c:pt idx="7">
                  <c:v>1.1235955056179776</c:v>
                </c:pt>
                <c:pt idx="8">
                  <c:v>2.083333333333333</c:v>
                </c:pt>
                <c:pt idx="9">
                  <c:v>1.6949152542372881</c:v>
                </c:pt>
                <c:pt idx="10">
                  <c:v>7.4534161490683228</c:v>
                </c:pt>
                <c:pt idx="11">
                  <c:v>6.2706270627062706</c:v>
                </c:pt>
                <c:pt idx="12">
                  <c:v>12.564102564102564</c:v>
                </c:pt>
                <c:pt idx="13">
                  <c:v>11.445783132530121</c:v>
                </c:pt>
                <c:pt idx="14">
                  <c:v>16.201117318435752</c:v>
                </c:pt>
                <c:pt idx="15">
                  <c:v>15.178571428571427</c:v>
                </c:pt>
                <c:pt idx="16">
                  <c:v>16.099773242630384</c:v>
                </c:pt>
                <c:pt idx="17">
                  <c:v>16.166134185303516</c:v>
                </c:pt>
                <c:pt idx="18">
                  <c:v>16.861030126336249</c:v>
                </c:pt>
                <c:pt idx="19">
                  <c:v>18.185388845247445</c:v>
                </c:pt>
                <c:pt idx="20">
                  <c:v>18.704092339979013</c:v>
                </c:pt>
                <c:pt idx="21">
                  <c:v>15.927010587970264</c:v>
                </c:pt>
                <c:pt idx="22">
                  <c:v>15.947063688999172</c:v>
                </c:pt>
                <c:pt idx="23">
                  <c:v>15.821144232549528</c:v>
                </c:pt>
                <c:pt idx="24">
                  <c:v>16.784992784992784</c:v>
                </c:pt>
                <c:pt idx="25">
                  <c:v>17.00343714196438</c:v>
                </c:pt>
                <c:pt idx="26">
                  <c:v>17.996540924601508</c:v>
                </c:pt>
                <c:pt idx="27">
                  <c:v>17.645592755670016</c:v>
                </c:pt>
                <c:pt idx="28">
                  <c:v>16.970866970866972</c:v>
                </c:pt>
                <c:pt idx="29">
                  <c:v>17.202469661486056</c:v>
                </c:pt>
                <c:pt idx="30">
                  <c:v>16.637310461020064</c:v>
                </c:pt>
                <c:pt idx="31">
                  <c:v>17.743697593750856</c:v>
                </c:pt>
                <c:pt idx="32">
                  <c:v>19.061376476630716</c:v>
                </c:pt>
                <c:pt idx="33">
                  <c:v>20.461038321347651</c:v>
                </c:pt>
                <c:pt idx="34">
                  <c:v>20.286666055438403</c:v>
                </c:pt>
                <c:pt idx="35">
                  <c:v>21.006612250829559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14.285714285714285</c:v>
                </c:pt>
                <c:pt idx="8">
                  <c:v>66.666666666666657</c:v>
                </c:pt>
                <c:pt idx="9">
                  <c:v>30</c:v>
                </c:pt>
                <c:pt idx="10">
                  <c:v>54.54545454545454</c:v>
                </c:pt>
                <c:pt idx="11">
                  <c:v>33.333333333333329</c:v>
                </c:pt>
                <c:pt idx="12">
                  <c:v>61.003236245954696</c:v>
                </c:pt>
                <c:pt idx="13">
                  <c:v>50.980392156862742</c:v>
                </c:pt>
                <c:pt idx="14">
                  <c:v>52.818371607515658</c:v>
                </c:pt>
                <c:pt idx="15">
                  <c:v>56.301369863013697</c:v>
                </c:pt>
                <c:pt idx="16">
                  <c:v>56.533333333333339</c:v>
                </c:pt>
                <c:pt idx="17">
                  <c:v>55.939086294416242</c:v>
                </c:pt>
                <c:pt idx="18">
                  <c:v>59.603399433427761</c:v>
                </c:pt>
                <c:pt idx="19">
                  <c:v>65.418894830659539</c:v>
                </c:pt>
                <c:pt idx="20">
                  <c:v>66.568668626627471</c:v>
                </c:pt>
                <c:pt idx="21">
                  <c:v>65.67619047619047</c:v>
                </c:pt>
                <c:pt idx="22">
                  <c:v>64.996471418489762</c:v>
                </c:pt>
                <c:pt idx="23">
                  <c:v>63.958602846054333</c:v>
                </c:pt>
                <c:pt idx="24">
                  <c:v>64.805290227773696</c:v>
                </c:pt>
                <c:pt idx="25">
                  <c:v>65.986277873070335</c:v>
                </c:pt>
                <c:pt idx="26">
                  <c:v>66.335014311026313</c:v>
                </c:pt>
                <c:pt idx="27">
                  <c:v>59.073842302878596</c:v>
                </c:pt>
                <c:pt idx="28">
                  <c:v>57.750112157918352</c:v>
                </c:pt>
                <c:pt idx="29">
                  <c:v>56.028368794326241</c:v>
                </c:pt>
                <c:pt idx="30">
                  <c:v>45.883979491906217</c:v>
                </c:pt>
                <c:pt idx="31">
                  <c:v>49.840305775171473</c:v>
                </c:pt>
                <c:pt idx="32">
                  <c:v>54.304743339831063</c:v>
                </c:pt>
                <c:pt idx="33">
                  <c:v>57.51032533874357</c:v>
                </c:pt>
                <c:pt idx="34">
                  <c:v>60.349293891535048</c:v>
                </c:pt>
                <c:pt idx="35">
                  <c:v>59.180590117312484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5.2173913043478262</c:v>
                </c:pt>
                <c:pt idx="1">
                  <c:v>4.4534412955465585</c:v>
                </c:pt>
                <c:pt idx="2">
                  <c:v>6.2780269058295968</c:v>
                </c:pt>
                <c:pt idx="3">
                  <c:v>7.3394495412844041</c:v>
                </c:pt>
                <c:pt idx="4">
                  <c:v>10.493827160493826</c:v>
                </c:pt>
                <c:pt idx="5">
                  <c:v>10.158730158730158</c:v>
                </c:pt>
                <c:pt idx="6">
                  <c:v>11.748633879781421</c:v>
                </c:pt>
                <c:pt idx="7">
                  <c:v>17.729204614450516</c:v>
                </c:pt>
                <c:pt idx="8">
                  <c:v>20.479178551055334</c:v>
                </c:pt>
                <c:pt idx="9">
                  <c:v>20.876288659793815</c:v>
                </c:pt>
                <c:pt idx="10">
                  <c:v>20.088954781319497</c:v>
                </c:pt>
                <c:pt idx="11">
                  <c:v>26.198767747120279</c:v>
                </c:pt>
                <c:pt idx="12">
                  <c:v>32.567275584364566</c:v>
                </c:pt>
                <c:pt idx="13">
                  <c:v>32.905067808708068</c:v>
                </c:pt>
                <c:pt idx="14">
                  <c:v>33.447198906890499</c:v>
                </c:pt>
                <c:pt idx="15">
                  <c:v>34.529434299578597</c:v>
                </c:pt>
                <c:pt idx="16">
                  <c:v>36.345051109449017</c:v>
                </c:pt>
                <c:pt idx="17">
                  <c:v>39.180500563042607</c:v>
                </c:pt>
                <c:pt idx="18">
                  <c:v>38.070878842342964</c:v>
                </c:pt>
                <c:pt idx="19">
                  <c:v>39.172261409025239</c:v>
                </c:pt>
                <c:pt idx="20">
                  <c:v>41.657724652509174</c:v>
                </c:pt>
                <c:pt idx="21">
                  <c:v>43.296107240368549</c:v>
                </c:pt>
                <c:pt idx="22">
                  <c:v>46.002066186380958</c:v>
                </c:pt>
                <c:pt idx="23">
                  <c:v>48.076257061841169</c:v>
                </c:pt>
                <c:pt idx="24">
                  <c:v>48.130754607072376</c:v>
                </c:pt>
                <c:pt idx="25">
                  <c:v>48.888862437956035</c:v>
                </c:pt>
                <c:pt idx="26">
                  <c:v>50.404843533445188</c:v>
                </c:pt>
                <c:pt idx="27">
                  <c:v>51.334449044305472</c:v>
                </c:pt>
                <c:pt idx="28">
                  <c:v>50.144983910322146</c:v>
                </c:pt>
                <c:pt idx="29">
                  <c:v>50.826302335469528</c:v>
                </c:pt>
                <c:pt idx="30">
                  <c:v>47.951682319366732</c:v>
                </c:pt>
                <c:pt idx="31">
                  <c:v>49.52993268317433</c:v>
                </c:pt>
                <c:pt idx="32">
                  <c:v>49.900546571617511</c:v>
                </c:pt>
                <c:pt idx="33">
                  <c:v>49.370176425614169</c:v>
                </c:pt>
                <c:pt idx="34">
                  <c:v>51.019372538582019</c:v>
                </c:pt>
                <c:pt idx="35">
                  <c:v>53.317368509289324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Sheet1!$I$8</c15:sqref>
                        </c15:formulaRef>
                      </c:ext>
                    </c:extLst>
                    <c:strCache>
                      <c:ptCount val="1"/>
                      <c:pt idx="0">
                        <c:v>Observational 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20">
                        <c:v>0</c:v>
                      </c:pt>
                      <c:pt idx="21">
                        <c:v>100</c:v>
                      </c:pt>
                      <c:pt idx="22">
                        <c:v>95.918367346938766</c:v>
                      </c:pt>
                      <c:pt idx="23">
                        <c:v>85.475792988313856</c:v>
                      </c:pt>
                      <c:pt idx="24">
                        <c:v>82.30088495575221</c:v>
                      </c:pt>
                      <c:pt idx="25">
                        <c:v>85.070892410341941</c:v>
                      </c:pt>
                      <c:pt idx="26">
                        <c:v>84.479947831757414</c:v>
                      </c:pt>
                      <c:pt idx="27">
                        <c:v>84.129213483146074</c:v>
                      </c:pt>
                      <c:pt idx="28">
                        <c:v>84.250188394875664</c:v>
                      </c:pt>
                      <c:pt idx="29">
                        <c:v>83.522162591930041</c:v>
                      </c:pt>
                      <c:pt idx="30">
                        <c:v>83.753071253071255</c:v>
                      </c:pt>
                      <c:pt idx="31">
                        <c:v>83.541147132169584</c:v>
                      </c:pt>
                      <c:pt idx="32">
                        <c:v>82.859327217125383</c:v>
                      </c:pt>
                      <c:pt idx="33">
                        <c:v>83.414108777598273</c:v>
                      </c:pt>
                      <c:pt idx="34">
                        <c:v>83.787724158040533</c:v>
                      </c:pt>
                      <c:pt idx="35">
                        <c:v>84.125085440874912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28-4A64-981A-39E8AFE456F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</c15:sqref>
                        </c15:formulaRef>
                      </c:ext>
                    </c:extLst>
                    <c:strCache>
                      <c:ptCount val="1"/>
                      <c:pt idx="0">
                        <c:v>Systematic 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100</c:v>
                      </c:pt>
                      <c:pt idx="11">
                        <c:v>50</c:v>
                      </c:pt>
                      <c:pt idx="12">
                        <c:v>73.333333333333329</c:v>
                      </c:pt>
                      <c:pt idx="13">
                        <c:v>61.53846153846154</c:v>
                      </c:pt>
                      <c:pt idx="14">
                        <c:v>55.172413793103445</c:v>
                      </c:pt>
                      <c:pt idx="15">
                        <c:v>63.829787234042556</c:v>
                      </c:pt>
                      <c:pt idx="16">
                        <c:v>48.837209302325576</c:v>
                      </c:pt>
                      <c:pt idx="17">
                        <c:v>56.98924731182796</c:v>
                      </c:pt>
                      <c:pt idx="18">
                        <c:v>57.499999999999993</c:v>
                      </c:pt>
                      <c:pt idx="19">
                        <c:v>62.895927601809952</c:v>
                      </c:pt>
                      <c:pt idx="20">
                        <c:v>58.426966292134829</c:v>
                      </c:pt>
                      <c:pt idx="21">
                        <c:v>62.135922330097081</c:v>
                      </c:pt>
                      <c:pt idx="22">
                        <c:v>63.002680965147448</c:v>
                      </c:pt>
                      <c:pt idx="23">
                        <c:v>61.021276595744681</c:v>
                      </c:pt>
                      <c:pt idx="24">
                        <c:v>63.085234093637453</c:v>
                      </c:pt>
                      <c:pt idx="25">
                        <c:v>63.175046554934823</c:v>
                      </c:pt>
                      <c:pt idx="26">
                        <c:v>63.35216572504708</c:v>
                      </c:pt>
                      <c:pt idx="27">
                        <c:v>64.5385587863464</c:v>
                      </c:pt>
                      <c:pt idx="28">
                        <c:v>63.015278178149323</c:v>
                      </c:pt>
                      <c:pt idx="29">
                        <c:v>64.279034972881988</c:v>
                      </c:pt>
                      <c:pt idx="30">
                        <c:v>63.132760267430754</c:v>
                      </c:pt>
                      <c:pt idx="31">
                        <c:v>63.182874854707485</c:v>
                      </c:pt>
                      <c:pt idx="32">
                        <c:v>63.892914346731757</c:v>
                      </c:pt>
                      <c:pt idx="33">
                        <c:v>65.672168770412213</c:v>
                      </c:pt>
                      <c:pt idx="34">
                        <c:v>66.132487108290363</c:v>
                      </c:pt>
                      <c:pt idx="35">
                        <c:v>65.306520890277227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28-4A64-981A-39E8AFE456FF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PMC</a:t>
                </a: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 Full-texts With P Values, %</a:t>
                </a:r>
              </a:p>
            </c:rich>
          </c:tx>
          <c:layout>
            <c:manualLayout>
              <c:xMode val="edge"/>
              <c:yMode val="edge"/>
              <c:x val="9.0233548580739963E-3"/>
              <c:y val="0.20831605681792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38504052496820718"/>
          <c:y val="5.0358714372394434E-2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383989</xdr:colOff>
      <xdr:row>8</xdr:row>
      <xdr:rowOff>196850</xdr:rowOff>
    </xdr:from>
    <xdr:to>
      <xdr:col>21</xdr:col>
      <xdr:colOff>231589</xdr:colOff>
      <xdr:row>36</xdr:row>
      <xdr:rowOff>42582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1\20251128Fig1PMCbody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>
        <row r="1">
          <cell r="B1" t="str">
            <v>Total article count</v>
          </cell>
          <cell r="C1" t="str">
            <v>HasPvalue</v>
          </cell>
        </row>
        <row r="2">
          <cell r="B2">
            <v>1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1</v>
          </cell>
          <cell r="C4">
            <v>0</v>
          </cell>
        </row>
        <row r="5">
          <cell r="B5">
            <v>1</v>
          </cell>
          <cell r="C5">
            <v>1</v>
          </cell>
        </row>
        <row r="6">
          <cell r="B6">
            <v>3</v>
          </cell>
          <cell r="C6">
            <v>2</v>
          </cell>
        </row>
        <row r="7">
          <cell r="B7">
            <v>2</v>
          </cell>
          <cell r="C7">
            <v>1</v>
          </cell>
        </row>
        <row r="8">
          <cell r="B8">
            <v>1</v>
          </cell>
          <cell r="C8">
            <v>1</v>
          </cell>
        </row>
        <row r="9">
          <cell r="B9">
            <v>4</v>
          </cell>
          <cell r="C9">
            <v>4</v>
          </cell>
        </row>
        <row r="10">
          <cell r="B10">
            <v>5</v>
          </cell>
          <cell r="C10">
            <v>4</v>
          </cell>
        </row>
        <row r="11">
          <cell r="B11">
            <v>6</v>
          </cell>
          <cell r="C11">
            <v>5</v>
          </cell>
        </row>
        <row r="12">
          <cell r="B12">
            <v>10</v>
          </cell>
          <cell r="C12">
            <v>9</v>
          </cell>
        </row>
        <row r="13">
          <cell r="B13">
            <v>21</v>
          </cell>
          <cell r="C13">
            <v>15</v>
          </cell>
        </row>
        <row r="14">
          <cell r="B14">
            <v>65</v>
          </cell>
          <cell r="C14">
            <v>50</v>
          </cell>
        </row>
        <row r="15">
          <cell r="B15">
            <v>68</v>
          </cell>
          <cell r="C15">
            <v>50</v>
          </cell>
        </row>
        <row r="16">
          <cell r="B16">
            <v>157</v>
          </cell>
          <cell r="C16">
            <v>129</v>
          </cell>
        </row>
        <row r="17">
          <cell r="B17">
            <v>190</v>
          </cell>
          <cell r="C17">
            <v>151</v>
          </cell>
        </row>
        <row r="18">
          <cell r="B18">
            <v>258</v>
          </cell>
          <cell r="C18">
            <v>198</v>
          </cell>
        </row>
        <row r="19">
          <cell r="B19">
            <v>476</v>
          </cell>
          <cell r="C19">
            <v>354</v>
          </cell>
        </row>
        <row r="20">
          <cell r="B20">
            <v>756</v>
          </cell>
          <cell r="C20">
            <v>586</v>
          </cell>
        </row>
        <row r="21">
          <cell r="B21">
            <v>1076</v>
          </cell>
          <cell r="C21">
            <v>791</v>
          </cell>
        </row>
        <row r="22">
          <cell r="B22">
            <v>1462</v>
          </cell>
          <cell r="C22">
            <v>1058</v>
          </cell>
        </row>
        <row r="23">
          <cell r="B23">
            <v>2043</v>
          </cell>
          <cell r="C23">
            <v>1480</v>
          </cell>
        </row>
        <row r="24">
          <cell r="B24">
            <v>2521</v>
          </cell>
          <cell r="C24">
            <v>1890</v>
          </cell>
        </row>
        <row r="25">
          <cell r="B25">
            <v>3459</v>
          </cell>
          <cell r="C25">
            <v>2569</v>
          </cell>
        </row>
        <row r="26">
          <cell r="B26">
            <v>4252</v>
          </cell>
          <cell r="C26">
            <v>3157</v>
          </cell>
        </row>
        <row r="27">
          <cell r="B27">
            <v>4706</v>
          </cell>
          <cell r="C27">
            <v>3544</v>
          </cell>
        </row>
        <row r="28">
          <cell r="B28">
            <v>5058</v>
          </cell>
          <cell r="C28">
            <v>3849</v>
          </cell>
        </row>
        <row r="29">
          <cell r="B29">
            <v>5499</v>
          </cell>
          <cell r="C29">
            <v>4199</v>
          </cell>
        </row>
        <row r="30">
          <cell r="B30">
            <v>5323</v>
          </cell>
          <cell r="C30">
            <v>4232</v>
          </cell>
        </row>
        <row r="31">
          <cell r="B31">
            <v>5881</v>
          </cell>
          <cell r="C31">
            <v>4800</v>
          </cell>
        </row>
        <row r="32">
          <cell r="B32">
            <v>7067</v>
          </cell>
          <cell r="C32">
            <v>5783</v>
          </cell>
        </row>
        <row r="33">
          <cell r="B33">
            <v>8152</v>
          </cell>
          <cell r="C33">
            <v>6784</v>
          </cell>
        </row>
        <row r="34">
          <cell r="B34">
            <v>9721</v>
          </cell>
          <cell r="C34">
            <v>8225</v>
          </cell>
        </row>
        <row r="35">
          <cell r="B35">
            <v>8052</v>
          </cell>
          <cell r="C35">
            <v>6845</v>
          </cell>
        </row>
        <row r="36">
          <cell r="B36">
            <v>8653</v>
          </cell>
          <cell r="C36">
            <v>7493</v>
          </cell>
        </row>
        <row r="37">
          <cell r="B37">
            <v>7148</v>
          </cell>
          <cell r="C37">
            <v>6234</v>
          </cell>
        </row>
        <row r="38">
          <cell r="B38">
            <v>92098</v>
          </cell>
          <cell r="C38">
            <v>74493</v>
          </cell>
        </row>
        <row r="39">
          <cell r="B39">
            <v>9721</v>
          </cell>
          <cell r="C39">
            <v>8225</v>
          </cell>
        </row>
        <row r="40">
          <cell r="B40">
            <v>0</v>
          </cell>
          <cell r="C40">
            <v>0</v>
          </cell>
        </row>
      </sheetData>
      <sheetData sheetId="1">
        <row r="1">
          <cell r="B1" t="str">
            <v>Total article count</v>
          </cell>
          <cell r="C1" t="str">
            <v>HasPvalue</v>
          </cell>
        </row>
        <row r="2">
          <cell r="B2">
            <v>1</v>
          </cell>
          <cell r="C2">
            <v>1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</v>
          </cell>
          <cell r="C7">
            <v>2</v>
          </cell>
        </row>
        <row r="8">
          <cell r="B8">
            <v>2</v>
          </cell>
          <cell r="C8">
            <v>2</v>
          </cell>
        </row>
        <row r="9">
          <cell r="B9">
            <v>14</v>
          </cell>
          <cell r="C9">
            <v>5</v>
          </cell>
        </row>
        <row r="10">
          <cell r="B10">
            <v>20</v>
          </cell>
          <cell r="C10">
            <v>6</v>
          </cell>
        </row>
        <row r="11">
          <cell r="B11">
            <v>10</v>
          </cell>
          <cell r="C11">
            <v>5</v>
          </cell>
        </row>
        <row r="12">
          <cell r="B12">
            <v>24</v>
          </cell>
          <cell r="C12">
            <v>16</v>
          </cell>
        </row>
        <row r="13">
          <cell r="B13">
            <v>24</v>
          </cell>
          <cell r="C13">
            <v>22</v>
          </cell>
        </row>
        <row r="14">
          <cell r="B14">
            <v>81</v>
          </cell>
          <cell r="C14">
            <v>48</v>
          </cell>
        </row>
        <row r="15">
          <cell r="B15">
            <v>103</v>
          </cell>
          <cell r="C15">
            <v>59</v>
          </cell>
        </row>
        <row r="16">
          <cell r="B16">
            <v>196</v>
          </cell>
          <cell r="C16">
            <v>121</v>
          </cell>
        </row>
        <row r="17">
          <cell r="B17">
            <v>175</v>
          </cell>
          <cell r="C17">
            <v>121</v>
          </cell>
        </row>
        <row r="18">
          <cell r="B18">
            <v>123</v>
          </cell>
          <cell r="C18">
            <v>90</v>
          </cell>
        </row>
        <row r="19">
          <cell r="B19">
            <v>145</v>
          </cell>
          <cell r="C19">
            <v>110</v>
          </cell>
        </row>
        <row r="20">
          <cell r="B20">
            <v>181</v>
          </cell>
          <cell r="C20">
            <v>145</v>
          </cell>
        </row>
        <row r="21">
          <cell r="B21">
            <v>217</v>
          </cell>
          <cell r="C21">
            <v>176</v>
          </cell>
        </row>
        <row r="22">
          <cell r="B22">
            <v>362</v>
          </cell>
          <cell r="C22">
            <v>285</v>
          </cell>
        </row>
        <row r="23">
          <cell r="B23">
            <v>508</v>
          </cell>
          <cell r="C23">
            <v>409</v>
          </cell>
        </row>
        <row r="24">
          <cell r="B24">
            <v>867</v>
          </cell>
          <cell r="C24">
            <v>722</v>
          </cell>
        </row>
        <row r="25">
          <cell r="B25">
            <v>1306</v>
          </cell>
          <cell r="C25">
            <v>1083</v>
          </cell>
        </row>
        <row r="26">
          <cell r="B26">
            <v>1459</v>
          </cell>
          <cell r="C26">
            <v>1201</v>
          </cell>
        </row>
        <row r="27">
          <cell r="B27">
            <v>1465</v>
          </cell>
          <cell r="C27">
            <v>1219</v>
          </cell>
        </row>
        <row r="28">
          <cell r="B28">
            <v>1482</v>
          </cell>
          <cell r="C28">
            <v>1256</v>
          </cell>
        </row>
        <row r="29">
          <cell r="B29">
            <v>1346</v>
          </cell>
          <cell r="C29">
            <v>1148</v>
          </cell>
        </row>
        <row r="30">
          <cell r="B30">
            <v>1827</v>
          </cell>
          <cell r="C30">
            <v>1508</v>
          </cell>
        </row>
        <row r="31">
          <cell r="B31">
            <v>2145</v>
          </cell>
          <cell r="C31">
            <v>1741</v>
          </cell>
        </row>
        <row r="32">
          <cell r="B32">
            <v>1930</v>
          </cell>
          <cell r="C32">
            <v>1565</v>
          </cell>
        </row>
        <row r="33">
          <cell r="B33">
            <v>2316</v>
          </cell>
          <cell r="C33">
            <v>1887</v>
          </cell>
        </row>
        <row r="34">
          <cell r="B34">
            <v>1433</v>
          </cell>
          <cell r="C34">
            <v>1141</v>
          </cell>
        </row>
        <row r="35">
          <cell r="B35">
            <v>1068</v>
          </cell>
          <cell r="C35">
            <v>830</v>
          </cell>
        </row>
        <row r="36">
          <cell r="B36">
            <v>902</v>
          </cell>
          <cell r="C36">
            <v>711</v>
          </cell>
        </row>
        <row r="37">
          <cell r="B37">
            <v>642</v>
          </cell>
          <cell r="C37">
            <v>531</v>
          </cell>
        </row>
        <row r="38">
          <cell r="B38">
            <v>22376</v>
          </cell>
          <cell r="C38">
            <v>18166</v>
          </cell>
        </row>
        <row r="39">
          <cell r="B39">
            <v>2316</v>
          </cell>
          <cell r="C39">
            <v>1887</v>
          </cell>
        </row>
        <row r="40">
          <cell r="B40">
            <v>0</v>
          </cell>
          <cell r="C40">
            <v>0</v>
          </cell>
        </row>
      </sheetData>
      <sheetData sheetId="2">
        <row r="1">
          <cell r="B1" t="str">
            <v>Total article count</v>
          </cell>
          <cell r="C1" t="str">
            <v>HasPvalue</v>
          </cell>
        </row>
        <row r="2">
          <cell r="B2">
            <v>0</v>
          </cell>
          <cell r="C2">
            <v>0</v>
          </cell>
        </row>
        <row r="3">
          <cell r="B3">
            <v>1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1</v>
          </cell>
          <cell r="C11">
            <v>1</v>
          </cell>
        </row>
        <row r="12">
          <cell r="B12">
            <v>1</v>
          </cell>
          <cell r="C12">
            <v>0</v>
          </cell>
        </row>
        <row r="13">
          <cell r="B13">
            <v>6</v>
          </cell>
          <cell r="C13">
            <v>3</v>
          </cell>
        </row>
        <row r="14">
          <cell r="B14">
            <v>9</v>
          </cell>
          <cell r="C14">
            <v>7</v>
          </cell>
        </row>
        <row r="15">
          <cell r="B15">
            <v>15</v>
          </cell>
          <cell r="C15">
            <v>11</v>
          </cell>
        </row>
        <row r="16">
          <cell r="B16">
            <v>29</v>
          </cell>
          <cell r="C16">
            <v>24</v>
          </cell>
        </row>
        <row r="17">
          <cell r="B17">
            <v>47</v>
          </cell>
          <cell r="C17">
            <v>37</v>
          </cell>
        </row>
        <row r="18">
          <cell r="B18">
            <v>63</v>
          </cell>
          <cell r="C18">
            <v>44</v>
          </cell>
        </row>
        <row r="19">
          <cell r="B19">
            <v>91</v>
          </cell>
          <cell r="C19">
            <v>53</v>
          </cell>
        </row>
        <row r="20">
          <cell r="B20">
            <v>144</v>
          </cell>
          <cell r="C20">
            <v>113</v>
          </cell>
        </row>
        <row r="21">
          <cell r="B21">
            <v>211</v>
          </cell>
          <cell r="C21">
            <v>170</v>
          </cell>
        </row>
        <row r="22">
          <cell r="B22">
            <v>323</v>
          </cell>
          <cell r="C22">
            <v>247</v>
          </cell>
        </row>
        <row r="23">
          <cell r="B23">
            <v>520</v>
          </cell>
          <cell r="C23">
            <v>421</v>
          </cell>
        </row>
        <row r="24">
          <cell r="B24">
            <v>831</v>
          </cell>
          <cell r="C24">
            <v>691</v>
          </cell>
        </row>
        <row r="25">
          <cell r="B25">
            <v>1407</v>
          </cell>
          <cell r="C25">
            <v>1193</v>
          </cell>
        </row>
        <row r="26">
          <cell r="B26">
            <v>1853</v>
          </cell>
          <cell r="C26">
            <v>1612</v>
          </cell>
        </row>
        <row r="27">
          <cell r="B27">
            <v>2396</v>
          </cell>
          <cell r="C27">
            <v>2060</v>
          </cell>
        </row>
        <row r="28">
          <cell r="B28">
            <v>2857</v>
          </cell>
          <cell r="C28">
            <v>2494</v>
          </cell>
        </row>
        <row r="29">
          <cell r="B29">
            <v>2984</v>
          </cell>
          <cell r="C29">
            <v>2637</v>
          </cell>
        </row>
        <row r="30">
          <cell r="B30">
            <v>2934</v>
          </cell>
          <cell r="C30">
            <v>2570</v>
          </cell>
        </row>
        <row r="31">
          <cell r="B31">
            <v>3714</v>
          </cell>
          <cell r="C31">
            <v>3196</v>
          </cell>
        </row>
        <row r="32">
          <cell r="B32">
            <v>4716</v>
          </cell>
          <cell r="C32">
            <v>4069</v>
          </cell>
        </row>
        <row r="33">
          <cell r="B33">
            <v>5738</v>
          </cell>
          <cell r="C33">
            <v>4834</v>
          </cell>
        </row>
        <row r="34">
          <cell r="B34">
            <v>6757</v>
          </cell>
          <cell r="C34">
            <v>5832</v>
          </cell>
        </row>
        <row r="35">
          <cell r="B35">
            <v>6623</v>
          </cell>
          <cell r="C35">
            <v>5749</v>
          </cell>
        </row>
        <row r="36">
          <cell r="B36">
            <v>6825</v>
          </cell>
          <cell r="C36">
            <v>6034</v>
          </cell>
        </row>
        <row r="37">
          <cell r="B37">
            <v>5165</v>
          </cell>
          <cell r="C37">
            <v>4588</v>
          </cell>
        </row>
        <row r="38">
          <cell r="B38">
            <v>56261</v>
          </cell>
          <cell r="C38">
            <v>48690</v>
          </cell>
        </row>
        <row r="39">
          <cell r="B39">
            <v>6825</v>
          </cell>
          <cell r="C39">
            <v>6034</v>
          </cell>
        </row>
        <row r="40">
          <cell r="B40">
            <v>0</v>
          </cell>
          <cell r="C40">
            <v>0</v>
          </cell>
        </row>
      </sheetData>
      <sheetData sheetId="3">
        <row r="1">
          <cell r="B1" t="str">
            <v>Total article count</v>
          </cell>
          <cell r="C1" t="str">
            <v>HasPvalue</v>
          </cell>
        </row>
        <row r="2">
          <cell r="B2">
            <v>2</v>
          </cell>
          <cell r="C2">
            <v>0</v>
          </cell>
        </row>
        <row r="3">
          <cell r="B3">
            <v>3</v>
          </cell>
          <cell r="C3">
            <v>0</v>
          </cell>
        </row>
        <row r="4">
          <cell r="B4">
            <v>3</v>
          </cell>
          <cell r="C4">
            <v>0</v>
          </cell>
        </row>
        <row r="5">
          <cell r="B5">
            <v>9</v>
          </cell>
          <cell r="C5">
            <v>0</v>
          </cell>
        </row>
        <row r="6">
          <cell r="B6">
            <v>20</v>
          </cell>
          <cell r="C6">
            <v>3</v>
          </cell>
        </row>
        <row r="7">
          <cell r="B7">
            <v>10</v>
          </cell>
          <cell r="C7">
            <v>2</v>
          </cell>
        </row>
        <row r="8">
          <cell r="B8">
            <v>14</v>
          </cell>
          <cell r="C8">
            <v>1</v>
          </cell>
        </row>
        <row r="9">
          <cell r="B9">
            <v>89</v>
          </cell>
          <cell r="C9">
            <v>1</v>
          </cell>
        </row>
        <row r="10">
          <cell r="B10">
            <v>96</v>
          </cell>
          <cell r="C10">
            <v>2</v>
          </cell>
        </row>
        <row r="11">
          <cell r="B11">
            <v>118</v>
          </cell>
          <cell r="C11">
            <v>2</v>
          </cell>
        </row>
        <row r="12">
          <cell r="B12">
            <v>322</v>
          </cell>
          <cell r="C12">
            <v>24</v>
          </cell>
        </row>
        <row r="13">
          <cell r="B13">
            <v>303</v>
          </cell>
          <cell r="C13">
            <v>19</v>
          </cell>
        </row>
        <row r="14">
          <cell r="B14">
            <v>390</v>
          </cell>
          <cell r="C14">
            <v>49</v>
          </cell>
        </row>
        <row r="15">
          <cell r="B15">
            <v>498</v>
          </cell>
          <cell r="C15">
            <v>57</v>
          </cell>
        </row>
        <row r="16">
          <cell r="B16">
            <v>716</v>
          </cell>
          <cell r="C16">
            <v>116</v>
          </cell>
        </row>
        <row r="17">
          <cell r="B17">
            <v>784</v>
          </cell>
          <cell r="C17">
            <v>119</v>
          </cell>
        </row>
        <row r="18">
          <cell r="B18">
            <v>1323</v>
          </cell>
          <cell r="C18">
            <v>213</v>
          </cell>
        </row>
        <row r="19">
          <cell r="B19">
            <v>1565</v>
          </cell>
          <cell r="C19">
            <v>253</v>
          </cell>
        </row>
        <row r="20">
          <cell r="B20">
            <v>2058</v>
          </cell>
          <cell r="C20">
            <v>347</v>
          </cell>
        </row>
        <row r="21">
          <cell r="B21">
            <v>2546</v>
          </cell>
          <cell r="C21">
            <v>463</v>
          </cell>
        </row>
        <row r="22">
          <cell r="B22">
            <v>3812</v>
          </cell>
          <cell r="C22">
            <v>713</v>
          </cell>
        </row>
        <row r="23">
          <cell r="B23">
            <v>4439</v>
          </cell>
          <cell r="C23">
            <v>707</v>
          </cell>
        </row>
        <row r="24">
          <cell r="B24">
            <v>6045</v>
          </cell>
          <cell r="C24">
            <v>964</v>
          </cell>
        </row>
        <row r="25">
          <cell r="B25">
            <v>10802</v>
          </cell>
          <cell r="C25">
            <v>1709</v>
          </cell>
        </row>
        <row r="26">
          <cell r="B26">
            <v>17325</v>
          </cell>
          <cell r="C26">
            <v>2908</v>
          </cell>
        </row>
        <row r="27">
          <cell r="B27">
            <v>19202</v>
          </cell>
          <cell r="C27">
            <v>3265</v>
          </cell>
        </row>
        <row r="28">
          <cell r="B28">
            <v>21393</v>
          </cell>
          <cell r="C28">
            <v>3850</v>
          </cell>
        </row>
        <row r="29">
          <cell r="B29">
            <v>24074</v>
          </cell>
          <cell r="C29">
            <v>4248</v>
          </cell>
        </row>
        <row r="30">
          <cell r="B30">
            <v>28490</v>
          </cell>
          <cell r="C30">
            <v>4835</v>
          </cell>
        </row>
        <row r="31">
          <cell r="B31">
            <v>32879</v>
          </cell>
          <cell r="C31">
            <v>5656</v>
          </cell>
        </row>
        <row r="32">
          <cell r="B32">
            <v>52232</v>
          </cell>
          <cell r="C32">
            <v>8690</v>
          </cell>
        </row>
        <row r="33">
          <cell r="B33">
            <v>73226</v>
          </cell>
          <cell r="C33">
            <v>12993</v>
          </cell>
        </row>
        <row r="34">
          <cell r="B34">
            <v>77880</v>
          </cell>
          <cell r="C34">
            <v>14845</v>
          </cell>
        </row>
        <row r="35">
          <cell r="B35">
            <v>71057</v>
          </cell>
          <cell r="C35">
            <v>14539</v>
          </cell>
        </row>
        <row r="36">
          <cell r="B36">
            <v>65442</v>
          </cell>
          <cell r="C36">
            <v>13276</v>
          </cell>
        </row>
        <row r="37">
          <cell r="B37">
            <v>41287</v>
          </cell>
          <cell r="C37">
            <v>8673</v>
          </cell>
        </row>
        <row r="38">
          <cell r="B38">
            <v>560454</v>
          </cell>
          <cell r="C38">
            <v>103542</v>
          </cell>
        </row>
        <row r="39">
          <cell r="B39">
            <v>77880</v>
          </cell>
          <cell r="C39">
            <v>14845</v>
          </cell>
        </row>
        <row r="40">
          <cell r="B40">
            <v>2</v>
          </cell>
          <cell r="C40">
            <v>0</v>
          </cell>
        </row>
      </sheetData>
      <sheetData sheetId="4">
        <row r="1">
          <cell r="B1" t="str">
            <v>Total article count</v>
          </cell>
          <cell r="C1" t="str">
            <v>HasPvalue</v>
          </cell>
        </row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1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4</v>
          </cell>
          <cell r="C7">
            <v>2</v>
          </cell>
        </row>
        <row r="8">
          <cell r="B8">
            <v>8</v>
          </cell>
          <cell r="C8">
            <v>0</v>
          </cell>
        </row>
        <row r="9">
          <cell r="B9">
            <v>7</v>
          </cell>
          <cell r="C9">
            <v>1</v>
          </cell>
        </row>
        <row r="10">
          <cell r="B10">
            <v>6</v>
          </cell>
          <cell r="C10">
            <v>4</v>
          </cell>
        </row>
        <row r="11">
          <cell r="B11">
            <v>10</v>
          </cell>
          <cell r="C11">
            <v>3</v>
          </cell>
        </row>
        <row r="12">
          <cell r="B12">
            <v>11</v>
          </cell>
          <cell r="C12">
            <v>6</v>
          </cell>
        </row>
        <row r="13">
          <cell r="B13">
            <v>12</v>
          </cell>
          <cell r="C13">
            <v>4</v>
          </cell>
        </row>
        <row r="14">
          <cell r="B14">
            <v>618</v>
          </cell>
          <cell r="C14">
            <v>377</v>
          </cell>
        </row>
        <row r="15">
          <cell r="B15">
            <v>918</v>
          </cell>
          <cell r="C15">
            <v>468</v>
          </cell>
        </row>
        <row r="16">
          <cell r="B16">
            <v>958</v>
          </cell>
          <cell r="C16">
            <v>506</v>
          </cell>
        </row>
        <row r="17">
          <cell r="B17">
            <v>730</v>
          </cell>
          <cell r="C17">
            <v>411</v>
          </cell>
        </row>
        <row r="18">
          <cell r="B18">
            <v>750</v>
          </cell>
          <cell r="C18">
            <v>424</v>
          </cell>
        </row>
        <row r="19">
          <cell r="B19">
            <v>985</v>
          </cell>
          <cell r="C19">
            <v>551</v>
          </cell>
        </row>
        <row r="20">
          <cell r="B20">
            <v>1765</v>
          </cell>
          <cell r="C20">
            <v>1052</v>
          </cell>
        </row>
        <row r="21">
          <cell r="B21">
            <v>2244</v>
          </cell>
          <cell r="C21">
            <v>1468</v>
          </cell>
        </row>
        <row r="22">
          <cell r="B22">
            <v>2381</v>
          </cell>
          <cell r="C22">
            <v>1585</v>
          </cell>
        </row>
        <row r="23">
          <cell r="B23">
            <v>2625</v>
          </cell>
          <cell r="C23">
            <v>1724</v>
          </cell>
        </row>
        <row r="24">
          <cell r="B24">
            <v>2834</v>
          </cell>
          <cell r="C24">
            <v>1842</v>
          </cell>
        </row>
        <row r="25">
          <cell r="B25">
            <v>3865</v>
          </cell>
          <cell r="C25">
            <v>2472</v>
          </cell>
        </row>
        <row r="26">
          <cell r="B26">
            <v>4083</v>
          </cell>
          <cell r="C26">
            <v>2646</v>
          </cell>
        </row>
        <row r="27">
          <cell r="B27">
            <v>5830</v>
          </cell>
          <cell r="C27">
            <v>3847</v>
          </cell>
        </row>
        <row r="28">
          <cell r="B28">
            <v>7337</v>
          </cell>
          <cell r="C28">
            <v>4867</v>
          </cell>
        </row>
        <row r="29">
          <cell r="B29">
            <v>7990</v>
          </cell>
          <cell r="C29">
            <v>4720</v>
          </cell>
        </row>
        <row r="30">
          <cell r="B30">
            <v>8916</v>
          </cell>
          <cell r="C30">
            <v>5149</v>
          </cell>
        </row>
        <row r="31">
          <cell r="B31">
            <v>10152</v>
          </cell>
          <cell r="C31">
            <v>5688</v>
          </cell>
        </row>
        <row r="32">
          <cell r="B32">
            <v>17359</v>
          </cell>
          <cell r="C32">
            <v>7965</v>
          </cell>
        </row>
        <row r="33">
          <cell r="B33">
            <v>19099</v>
          </cell>
          <cell r="C33">
            <v>9519</v>
          </cell>
        </row>
        <row r="34">
          <cell r="B34">
            <v>18468</v>
          </cell>
          <cell r="C34">
            <v>10029</v>
          </cell>
        </row>
        <row r="35">
          <cell r="B35">
            <v>13801</v>
          </cell>
          <cell r="C35">
            <v>7937</v>
          </cell>
        </row>
        <row r="36">
          <cell r="B36">
            <v>11967</v>
          </cell>
          <cell r="C36">
            <v>7222</v>
          </cell>
        </row>
        <row r="37">
          <cell r="B37">
            <v>11252</v>
          </cell>
          <cell r="C37">
            <v>6659</v>
          </cell>
        </row>
        <row r="38">
          <cell r="B38">
            <v>156986</v>
          </cell>
          <cell r="C38">
            <v>89148</v>
          </cell>
        </row>
        <row r="39">
          <cell r="B39">
            <v>19099</v>
          </cell>
          <cell r="C39">
            <v>10029</v>
          </cell>
        </row>
        <row r="40">
          <cell r="B40">
            <v>0</v>
          </cell>
          <cell r="C40">
            <v>0</v>
          </cell>
        </row>
      </sheetData>
      <sheetData sheetId="5">
        <row r="1">
          <cell r="B1" t="str">
            <v>Total article count</v>
          </cell>
          <cell r="C1" t="str">
            <v>HasPvalue</v>
          </cell>
        </row>
        <row r="2">
          <cell r="B2">
            <v>230</v>
          </cell>
          <cell r="C2">
            <v>12</v>
          </cell>
        </row>
        <row r="3">
          <cell r="B3">
            <v>247</v>
          </cell>
          <cell r="C3">
            <v>11</v>
          </cell>
        </row>
        <row r="4">
          <cell r="B4">
            <v>223</v>
          </cell>
          <cell r="C4">
            <v>14</v>
          </cell>
        </row>
        <row r="5">
          <cell r="B5">
            <v>218</v>
          </cell>
          <cell r="C5">
            <v>16</v>
          </cell>
        </row>
        <row r="6">
          <cell r="B6">
            <v>324</v>
          </cell>
          <cell r="C6">
            <v>34</v>
          </cell>
        </row>
        <row r="7">
          <cell r="B7">
            <v>315</v>
          </cell>
          <cell r="C7">
            <v>32</v>
          </cell>
        </row>
        <row r="8">
          <cell r="B8">
            <v>366</v>
          </cell>
          <cell r="C8">
            <v>43</v>
          </cell>
        </row>
        <row r="9">
          <cell r="B9">
            <v>1647</v>
          </cell>
          <cell r="C9">
            <v>292</v>
          </cell>
        </row>
        <row r="10">
          <cell r="B10">
            <v>1753</v>
          </cell>
          <cell r="C10">
            <v>359</v>
          </cell>
        </row>
        <row r="11">
          <cell r="B11">
            <v>1940</v>
          </cell>
          <cell r="C11">
            <v>405</v>
          </cell>
        </row>
        <row r="12">
          <cell r="B12">
            <v>2698</v>
          </cell>
          <cell r="C12">
            <v>542</v>
          </cell>
        </row>
        <row r="13">
          <cell r="B13">
            <v>3733</v>
          </cell>
          <cell r="C13">
            <v>978</v>
          </cell>
        </row>
        <row r="14">
          <cell r="B14">
            <v>5091</v>
          </cell>
          <cell r="C14">
            <v>1658</v>
          </cell>
        </row>
        <row r="15">
          <cell r="B15">
            <v>7005</v>
          </cell>
          <cell r="C15">
            <v>2305</v>
          </cell>
        </row>
        <row r="16">
          <cell r="B16">
            <v>10246</v>
          </cell>
          <cell r="C16">
            <v>3427</v>
          </cell>
        </row>
        <row r="17">
          <cell r="B17">
            <v>15662</v>
          </cell>
          <cell r="C17">
            <v>5408</v>
          </cell>
        </row>
        <row r="18">
          <cell r="B18">
            <v>20055</v>
          </cell>
          <cell r="C18">
            <v>7289</v>
          </cell>
        </row>
        <row r="19">
          <cell r="B19">
            <v>27529</v>
          </cell>
          <cell r="C19">
            <v>10786</v>
          </cell>
        </row>
        <row r="20">
          <cell r="B20">
            <v>43398</v>
          </cell>
          <cell r="C20">
            <v>16522</v>
          </cell>
        </row>
        <row r="21">
          <cell r="B21">
            <v>58835</v>
          </cell>
          <cell r="C21">
            <v>23047</v>
          </cell>
        </row>
        <row r="22">
          <cell r="B22">
            <v>80146</v>
          </cell>
          <cell r="C22">
            <v>33387</v>
          </cell>
        </row>
        <row r="23">
          <cell r="B23">
            <v>109511</v>
          </cell>
          <cell r="C23">
            <v>47414</v>
          </cell>
        </row>
        <row r="24">
          <cell r="B24">
            <v>146163</v>
          </cell>
          <cell r="C24">
            <v>67238</v>
          </cell>
        </row>
        <row r="25">
          <cell r="B25">
            <v>184796</v>
          </cell>
          <cell r="C25">
            <v>88843</v>
          </cell>
        </row>
        <row r="26">
          <cell r="B26">
            <v>221453</v>
          </cell>
          <cell r="C26">
            <v>106587</v>
          </cell>
        </row>
        <row r="27">
          <cell r="B27">
            <v>252039</v>
          </cell>
          <cell r="C27">
            <v>123219</v>
          </cell>
        </row>
        <row r="28">
          <cell r="B28">
            <v>274180</v>
          </cell>
          <cell r="C28">
            <v>138200</v>
          </cell>
        </row>
        <row r="29">
          <cell r="B29">
            <v>306531</v>
          </cell>
          <cell r="C29">
            <v>157356</v>
          </cell>
        </row>
        <row r="30">
          <cell r="B30">
            <v>339348</v>
          </cell>
          <cell r="C30">
            <v>170166</v>
          </cell>
        </row>
        <row r="31">
          <cell r="B31">
            <v>390414</v>
          </cell>
          <cell r="C31">
            <v>198433</v>
          </cell>
        </row>
        <row r="32">
          <cell r="B32">
            <v>542079</v>
          </cell>
          <cell r="C32">
            <v>259936</v>
          </cell>
        </row>
        <row r="33">
          <cell r="B33">
            <v>677988</v>
          </cell>
          <cell r="C33">
            <v>335807</v>
          </cell>
        </row>
        <row r="34">
          <cell r="B34">
            <v>769707</v>
          </cell>
          <cell r="C34">
            <v>384088</v>
          </cell>
        </row>
        <row r="35">
          <cell r="B35">
            <v>693210</v>
          </cell>
          <cell r="C35">
            <v>342239</v>
          </cell>
        </row>
        <row r="36">
          <cell r="B36">
            <v>683803</v>
          </cell>
          <cell r="C36">
            <v>348872</v>
          </cell>
        </row>
        <row r="37">
          <cell r="B37">
            <v>524904</v>
          </cell>
          <cell r="C37">
            <v>279865</v>
          </cell>
        </row>
        <row r="38">
          <cell r="B38">
            <v>6397787</v>
          </cell>
          <cell r="C38">
            <v>3154830</v>
          </cell>
        </row>
        <row r="39">
          <cell r="B39">
            <v>769707</v>
          </cell>
          <cell r="C39">
            <v>384088</v>
          </cell>
        </row>
        <row r="40">
          <cell r="B40">
            <v>218</v>
          </cell>
          <cell r="C40">
            <v>11</v>
          </cell>
        </row>
      </sheetData>
      <sheetData sheetId="6">
        <row r="1">
          <cell r="B1" t="str">
            <v>Total article count</v>
          </cell>
          <cell r="C1" t="str">
            <v>HasPvalue</v>
          </cell>
        </row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1</v>
          </cell>
          <cell r="C18">
            <v>1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0</v>
          </cell>
          <cell r="C22">
            <v>0</v>
          </cell>
        </row>
        <row r="23">
          <cell r="B23">
            <v>1</v>
          </cell>
          <cell r="C23">
            <v>1</v>
          </cell>
        </row>
        <row r="24">
          <cell r="B24">
            <v>49</v>
          </cell>
          <cell r="C24">
            <v>47</v>
          </cell>
        </row>
        <row r="25">
          <cell r="B25">
            <v>599</v>
          </cell>
          <cell r="C25">
            <v>512</v>
          </cell>
        </row>
        <row r="26">
          <cell r="B26">
            <v>1469</v>
          </cell>
          <cell r="C26">
            <v>1209</v>
          </cell>
        </row>
        <row r="27">
          <cell r="B27">
            <v>2398</v>
          </cell>
          <cell r="C27">
            <v>2040</v>
          </cell>
        </row>
        <row r="28">
          <cell r="B28">
            <v>3067</v>
          </cell>
          <cell r="C28">
            <v>2591</v>
          </cell>
        </row>
        <row r="29">
          <cell r="B29">
            <v>3560</v>
          </cell>
          <cell r="C29">
            <v>2995</v>
          </cell>
        </row>
        <row r="30">
          <cell r="B30">
            <v>3981</v>
          </cell>
          <cell r="C30">
            <v>3354</v>
          </cell>
        </row>
        <row r="31">
          <cell r="B31">
            <v>5031</v>
          </cell>
          <cell r="C31">
            <v>4202</v>
          </cell>
        </row>
        <row r="32">
          <cell r="B32">
            <v>6512</v>
          </cell>
          <cell r="C32">
            <v>5454</v>
          </cell>
        </row>
        <row r="33">
          <cell r="B33">
            <v>8020</v>
          </cell>
          <cell r="C33">
            <v>6700</v>
          </cell>
        </row>
        <row r="34">
          <cell r="B34">
            <v>6540</v>
          </cell>
          <cell r="C34">
            <v>5419</v>
          </cell>
        </row>
        <row r="35">
          <cell r="B35">
            <v>5571</v>
          </cell>
          <cell r="C35">
            <v>4647</v>
          </cell>
        </row>
        <row r="36">
          <cell r="B36">
            <v>6859</v>
          </cell>
          <cell r="C36">
            <v>5747</v>
          </cell>
        </row>
        <row r="37">
          <cell r="B37">
            <v>5852</v>
          </cell>
          <cell r="C37">
            <v>4923</v>
          </cell>
        </row>
        <row r="38">
          <cell r="B38">
            <v>59510</v>
          </cell>
          <cell r="C38">
            <v>49842</v>
          </cell>
        </row>
        <row r="39">
          <cell r="B39">
            <v>8020</v>
          </cell>
          <cell r="C39">
            <v>6700</v>
          </cell>
        </row>
        <row r="40">
          <cell r="B40">
            <v>0</v>
          </cell>
          <cell r="C40">
            <v>0</v>
          </cell>
        </row>
      </sheetData>
      <sheetData sheetId="7"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1</v>
          </cell>
          <cell r="C12">
            <v>1</v>
          </cell>
        </row>
        <row r="13">
          <cell r="B13">
            <v>10</v>
          </cell>
          <cell r="C13">
            <v>5</v>
          </cell>
        </row>
        <row r="14">
          <cell r="B14">
            <v>15</v>
          </cell>
          <cell r="C14">
            <v>11</v>
          </cell>
        </row>
        <row r="15">
          <cell r="B15">
            <v>13</v>
          </cell>
          <cell r="C15">
            <v>8</v>
          </cell>
        </row>
        <row r="16">
          <cell r="B16">
            <v>29</v>
          </cell>
          <cell r="C16">
            <v>16</v>
          </cell>
        </row>
        <row r="17">
          <cell r="B17">
            <v>47</v>
          </cell>
          <cell r="C17">
            <v>30</v>
          </cell>
        </row>
        <row r="18">
          <cell r="B18">
            <v>86</v>
          </cell>
          <cell r="C18">
            <v>42</v>
          </cell>
        </row>
        <row r="19">
          <cell r="B19">
            <v>93</v>
          </cell>
          <cell r="C19">
            <v>53</v>
          </cell>
        </row>
        <row r="20">
          <cell r="B20">
            <v>160</v>
          </cell>
          <cell r="C20">
            <v>92</v>
          </cell>
        </row>
        <row r="21">
          <cell r="B21">
            <v>221</v>
          </cell>
          <cell r="C21">
            <v>139</v>
          </cell>
        </row>
        <row r="22">
          <cell r="B22">
            <v>356</v>
          </cell>
          <cell r="C22">
            <v>208</v>
          </cell>
        </row>
        <row r="23">
          <cell r="B23">
            <v>515</v>
          </cell>
          <cell r="C23">
            <v>320</v>
          </cell>
        </row>
        <row r="24">
          <cell r="B24">
            <v>746</v>
          </cell>
          <cell r="C24">
            <v>470</v>
          </cell>
        </row>
        <row r="25">
          <cell r="B25">
            <v>1175</v>
          </cell>
          <cell r="C25">
            <v>717</v>
          </cell>
        </row>
        <row r="26">
          <cell r="B26">
            <v>1666</v>
          </cell>
          <cell r="C26">
            <v>1051</v>
          </cell>
        </row>
        <row r="27">
          <cell r="B27">
            <v>2148</v>
          </cell>
          <cell r="C27">
            <v>1357</v>
          </cell>
        </row>
        <row r="28">
          <cell r="B28">
            <v>2655</v>
          </cell>
          <cell r="C28">
            <v>1682</v>
          </cell>
        </row>
        <row r="29">
          <cell r="B29">
            <v>3164</v>
          </cell>
          <cell r="C29">
            <v>2042</v>
          </cell>
        </row>
        <row r="30">
          <cell r="B30">
            <v>3469</v>
          </cell>
          <cell r="C30">
            <v>2186</v>
          </cell>
        </row>
        <row r="31">
          <cell r="B31">
            <v>5347</v>
          </cell>
          <cell r="C31">
            <v>3437</v>
          </cell>
        </row>
        <row r="32">
          <cell r="B32">
            <v>7329</v>
          </cell>
          <cell r="C32">
            <v>4627</v>
          </cell>
        </row>
        <row r="33">
          <cell r="B33">
            <v>10324</v>
          </cell>
          <cell r="C33">
            <v>6523</v>
          </cell>
        </row>
        <row r="34">
          <cell r="B34">
            <v>13111</v>
          </cell>
          <cell r="C34">
            <v>8377</v>
          </cell>
        </row>
        <row r="35">
          <cell r="B35">
            <v>11329</v>
          </cell>
          <cell r="C35">
            <v>7440</v>
          </cell>
        </row>
        <row r="36">
          <cell r="B36">
            <v>12605</v>
          </cell>
          <cell r="C36">
            <v>8336</v>
          </cell>
        </row>
        <row r="37">
          <cell r="B37">
            <v>10244</v>
          </cell>
          <cell r="C37">
            <v>6690</v>
          </cell>
        </row>
        <row r="38">
          <cell r="B38">
            <v>86858</v>
          </cell>
          <cell r="C38">
            <v>55860</v>
          </cell>
        </row>
        <row r="39">
          <cell r="B39">
            <v>13111</v>
          </cell>
          <cell r="C39">
            <v>8377</v>
          </cell>
        </row>
        <row r="40">
          <cell r="B40">
            <v>0</v>
          </cell>
          <cell r="C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topLeftCell="A13" workbookViewId="0">
      <selection activeCell="C27" sqref="C2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[1]RCT!B1</f>
        <v>Total article count</v>
      </c>
      <c r="C1" t="str">
        <f>[1]RCT!C1</f>
        <v>HasPvalue</v>
      </c>
      <c r="D1" t="s">
        <v>1</v>
      </c>
    </row>
    <row r="2" spans="1:4" x14ac:dyDescent="0.3">
      <c r="A2">
        <v>1990</v>
      </c>
      <c r="B2">
        <f>[1]RCT!B2</f>
        <v>1</v>
      </c>
      <c r="C2">
        <f>[1]RCT!C2</f>
        <v>0</v>
      </c>
      <c r="D2">
        <f>C2/B2*100</f>
        <v>0</v>
      </c>
    </row>
    <row r="3" spans="1:4" x14ac:dyDescent="0.3">
      <c r="A3">
        <v>1991</v>
      </c>
      <c r="B3">
        <f>[1]RCT!B3</f>
        <v>0</v>
      </c>
      <c r="C3">
        <f>[1]RCT!C3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[1]RCT!B4</f>
        <v>1</v>
      </c>
      <c r="C4">
        <f>[1]RCT!C4</f>
        <v>0</v>
      </c>
      <c r="D4">
        <f t="shared" si="0"/>
        <v>0</v>
      </c>
    </row>
    <row r="5" spans="1:4" x14ac:dyDescent="0.3">
      <c r="A5">
        <f t="shared" ref="A5:A36" si="1">A3+2</f>
        <v>1993</v>
      </c>
      <c r="B5">
        <f>[1]RCT!B5</f>
        <v>1</v>
      </c>
      <c r="C5">
        <f>[1]RCT!C5</f>
        <v>1</v>
      </c>
      <c r="D5">
        <f t="shared" si="0"/>
        <v>100</v>
      </c>
    </row>
    <row r="6" spans="1:4" x14ac:dyDescent="0.3">
      <c r="A6">
        <f t="shared" si="1"/>
        <v>1994</v>
      </c>
      <c r="B6">
        <f>[1]RCT!B6</f>
        <v>3</v>
      </c>
      <c r="C6">
        <f>[1]RCT!C6</f>
        <v>2</v>
      </c>
      <c r="D6">
        <f t="shared" si="0"/>
        <v>66.666666666666657</v>
      </c>
    </row>
    <row r="7" spans="1:4" x14ac:dyDescent="0.3">
      <c r="A7">
        <f t="shared" si="1"/>
        <v>1995</v>
      </c>
      <c r="B7">
        <f>[1]RCT!B7</f>
        <v>2</v>
      </c>
      <c r="C7">
        <f>[1]RCT!C7</f>
        <v>1</v>
      </c>
      <c r="D7">
        <f t="shared" si="0"/>
        <v>50</v>
      </c>
    </row>
    <row r="8" spans="1:4" x14ac:dyDescent="0.3">
      <c r="A8">
        <f t="shared" si="1"/>
        <v>1996</v>
      </c>
      <c r="B8">
        <f>[1]RCT!B8</f>
        <v>1</v>
      </c>
      <c r="C8">
        <f>[1]RCT!C8</f>
        <v>1</v>
      </c>
      <c r="D8">
        <f t="shared" si="0"/>
        <v>100</v>
      </c>
    </row>
    <row r="9" spans="1:4" x14ac:dyDescent="0.3">
      <c r="A9">
        <f t="shared" si="1"/>
        <v>1997</v>
      </c>
      <c r="B9">
        <f>[1]RCT!B9</f>
        <v>4</v>
      </c>
      <c r="C9">
        <f>[1]RCT!C9</f>
        <v>4</v>
      </c>
      <c r="D9">
        <f t="shared" si="0"/>
        <v>100</v>
      </c>
    </row>
    <row r="10" spans="1:4" x14ac:dyDescent="0.3">
      <c r="A10">
        <f t="shared" si="1"/>
        <v>1998</v>
      </c>
      <c r="B10">
        <f>[1]RCT!B10</f>
        <v>5</v>
      </c>
      <c r="C10">
        <f>[1]RCT!C10</f>
        <v>4</v>
      </c>
      <c r="D10">
        <f t="shared" si="0"/>
        <v>80</v>
      </c>
    </row>
    <row r="11" spans="1:4" x14ac:dyDescent="0.3">
      <c r="A11">
        <f t="shared" si="1"/>
        <v>1999</v>
      </c>
      <c r="B11">
        <f>[1]RCT!B11</f>
        <v>6</v>
      </c>
      <c r="C11">
        <f>[1]RCT!C11</f>
        <v>5</v>
      </c>
      <c r="D11">
        <f t="shared" si="0"/>
        <v>83.333333333333343</v>
      </c>
    </row>
    <row r="12" spans="1:4" x14ac:dyDescent="0.3">
      <c r="A12">
        <f t="shared" si="1"/>
        <v>2000</v>
      </c>
      <c r="B12">
        <f>[1]RCT!B12</f>
        <v>10</v>
      </c>
      <c r="C12">
        <f>[1]RCT!C12</f>
        <v>9</v>
      </c>
      <c r="D12">
        <f t="shared" si="0"/>
        <v>90</v>
      </c>
    </row>
    <row r="13" spans="1:4" x14ac:dyDescent="0.3">
      <c r="A13">
        <f t="shared" si="1"/>
        <v>2001</v>
      </c>
      <c r="B13">
        <f>[1]RCT!B13</f>
        <v>21</v>
      </c>
      <c r="C13">
        <f>[1]RCT!C13</f>
        <v>15</v>
      </c>
      <c r="D13">
        <f t="shared" si="0"/>
        <v>71.428571428571431</v>
      </c>
    </row>
    <row r="14" spans="1:4" x14ac:dyDescent="0.3">
      <c r="A14">
        <f t="shared" si="1"/>
        <v>2002</v>
      </c>
      <c r="B14">
        <f>[1]RCT!B14</f>
        <v>65</v>
      </c>
      <c r="C14">
        <f>[1]RCT!C14</f>
        <v>50</v>
      </c>
      <c r="D14">
        <f t="shared" si="0"/>
        <v>76.923076923076934</v>
      </c>
    </row>
    <row r="15" spans="1:4" x14ac:dyDescent="0.3">
      <c r="A15">
        <f t="shared" si="1"/>
        <v>2003</v>
      </c>
      <c r="B15">
        <f>[1]RCT!B15</f>
        <v>68</v>
      </c>
      <c r="C15">
        <f>[1]RCT!C15</f>
        <v>50</v>
      </c>
      <c r="D15">
        <f t="shared" si="0"/>
        <v>73.529411764705884</v>
      </c>
    </row>
    <row r="16" spans="1:4" x14ac:dyDescent="0.3">
      <c r="A16">
        <f t="shared" si="1"/>
        <v>2004</v>
      </c>
      <c r="B16">
        <f>[1]RCT!B16</f>
        <v>157</v>
      </c>
      <c r="C16">
        <f>[1]RCT!C16</f>
        <v>129</v>
      </c>
      <c r="D16">
        <f t="shared" si="0"/>
        <v>82.165605095541409</v>
      </c>
    </row>
    <row r="17" spans="1:4" x14ac:dyDescent="0.3">
      <c r="A17">
        <f t="shared" si="1"/>
        <v>2005</v>
      </c>
      <c r="B17">
        <f>[1]RCT!B17</f>
        <v>190</v>
      </c>
      <c r="C17">
        <f>[1]RCT!C17</f>
        <v>151</v>
      </c>
      <c r="D17">
        <f t="shared" si="0"/>
        <v>79.473684210526315</v>
      </c>
    </row>
    <row r="18" spans="1:4" x14ac:dyDescent="0.3">
      <c r="A18">
        <f t="shared" si="1"/>
        <v>2006</v>
      </c>
      <c r="B18">
        <f>[1]RCT!B18</f>
        <v>258</v>
      </c>
      <c r="C18">
        <f>[1]RCT!C18</f>
        <v>198</v>
      </c>
      <c r="D18">
        <f t="shared" si="0"/>
        <v>76.744186046511629</v>
      </c>
    </row>
    <row r="19" spans="1:4" x14ac:dyDescent="0.3">
      <c r="A19">
        <f t="shared" si="1"/>
        <v>2007</v>
      </c>
      <c r="B19">
        <f>[1]RCT!B19</f>
        <v>476</v>
      </c>
      <c r="C19">
        <f>[1]RCT!C19</f>
        <v>354</v>
      </c>
      <c r="D19">
        <f t="shared" si="0"/>
        <v>74.369747899159663</v>
      </c>
    </row>
    <row r="20" spans="1:4" x14ac:dyDescent="0.3">
      <c r="A20">
        <f t="shared" si="1"/>
        <v>2008</v>
      </c>
      <c r="B20">
        <f>[1]RCT!B20</f>
        <v>756</v>
      </c>
      <c r="C20">
        <f>[1]RCT!C20</f>
        <v>586</v>
      </c>
      <c r="D20">
        <f t="shared" si="0"/>
        <v>77.513227513227505</v>
      </c>
    </row>
    <row r="21" spans="1:4" x14ac:dyDescent="0.3">
      <c r="A21">
        <f t="shared" si="1"/>
        <v>2009</v>
      </c>
      <c r="B21">
        <f>[1]RCT!B21</f>
        <v>1076</v>
      </c>
      <c r="C21">
        <f>[1]RCT!C21</f>
        <v>791</v>
      </c>
      <c r="D21">
        <f t="shared" si="0"/>
        <v>73.513011152416354</v>
      </c>
    </row>
    <row r="22" spans="1:4" x14ac:dyDescent="0.3">
      <c r="A22">
        <f t="shared" si="1"/>
        <v>2010</v>
      </c>
      <c r="B22">
        <f>[1]RCT!B22</f>
        <v>1462</v>
      </c>
      <c r="C22">
        <f>[1]RCT!C22</f>
        <v>1058</v>
      </c>
      <c r="D22">
        <f t="shared" si="0"/>
        <v>72.366621067031474</v>
      </c>
    </row>
    <row r="23" spans="1:4" x14ac:dyDescent="0.3">
      <c r="A23">
        <f t="shared" si="1"/>
        <v>2011</v>
      </c>
      <c r="B23">
        <f>[1]RCT!B23</f>
        <v>2043</v>
      </c>
      <c r="C23">
        <f>[1]RCT!C23</f>
        <v>1480</v>
      </c>
      <c r="D23">
        <f t="shared" si="0"/>
        <v>72.442486539402836</v>
      </c>
    </row>
    <row r="24" spans="1:4" x14ac:dyDescent="0.3">
      <c r="A24">
        <f>A22+2</f>
        <v>2012</v>
      </c>
      <c r="B24">
        <f>[1]RCT!B24</f>
        <v>2521</v>
      </c>
      <c r="C24">
        <f>[1]RCT!C24</f>
        <v>1890</v>
      </c>
      <c r="D24">
        <f t="shared" si="0"/>
        <v>74.970249900833011</v>
      </c>
    </row>
    <row r="25" spans="1:4" x14ac:dyDescent="0.3">
      <c r="A25">
        <f t="shared" si="1"/>
        <v>2013</v>
      </c>
      <c r="B25">
        <f>[1]RCT!B25</f>
        <v>3459</v>
      </c>
      <c r="C25">
        <f>[1]RCT!C25</f>
        <v>2569</v>
      </c>
      <c r="D25">
        <f t="shared" si="0"/>
        <v>74.270020237062738</v>
      </c>
    </row>
    <row r="26" spans="1:4" x14ac:dyDescent="0.3">
      <c r="A26">
        <f t="shared" si="1"/>
        <v>2014</v>
      </c>
      <c r="B26">
        <f>[1]RCT!B26</f>
        <v>4252</v>
      </c>
      <c r="C26">
        <f>[1]RCT!C26</f>
        <v>3157</v>
      </c>
      <c r="D26">
        <f t="shared" si="0"/>
        <v>74.247412982126065</v>
      </c>
    </row>
    <row r="27" spans="1:4" x14ac:dyDescent="0.3">
      <c r="A27">
        <f t="shared" si="1"/>
        <v>2015</v>
      </c>
      <c r="B27">
        <f>[1]RCT!B27</f>
        <v>4706</v>
      </c>
      <c r="C27">
        <f>[1]RCT!C27</f>
        <v>3544</v>
      </c>
      <c r="D27">
        <f t="shared" si="0"/>
        <v>75.308117297067582</v>
      </c>
    </row>
    <row r="28" spans="1:4" x14ac:dyDescent="0.3">
      <c r="A28">
        <f t="shared" si="1"/>
        <v>2016</v>
      </c>
      <c r="B28">
        <f>[1]RCT!B28</f>
        <v>5058</v>
      </c>
      <c r="C28">
        <f>[1]RCT!C28</f>
        <v>3849</v>
      </c>
      <c r="D28">
        <f t="shared" si="0"/>
        <v>76.097271648873075</v>
      </c>
    </row>
    <row r="29" spans="1:4" x14ac:dyDescent="0.3">
      <c r="A29">
        <f t="shared" si="1"/>
        <v>2017</v>
      </c>
      <c r="B29">
        <f>[1]RCT!B29</f>
        <v>5499</v>
      </c>
      <c r="C29">
        <f>[1]RCT!C29</f>
        <v>4199</v>
      </c>
      <c r="D29">
        <f t="shared" si="0"/>
        <v>76.359338061465721</v>
      </c>
    </row>
    <row r="30" spans="1:4" x14ac:dyDescent="0.3">
      <c r="A30">
        <f t="shared" si="1"/>
        <v>2018</v>
      </c>
      <c r="B30">
        <f>[1]RCT!B30</f>
        <v>5323</v>
      </c>
      <c r="C30">
        <f>[1]RCT!C30</f>
        <v>4232</v>
      </c>
      <c r="D30">
        <f t="shared" si="0"/>
        <v>79.504039075709187</v>
      </c>
    </row>
    <row r="31" spans="1:4" x14ac:dyDescent="0.3">
      <c r="A31">
        <f t="shared" si="1"/>
        <v>2019</v>
      </c>
      <c r="B31">
        <f>[1]RCT!B31</f>
        <v>5881</v>
      </c>
      <c r="C31">
        <f>[1]RCT!C31</f>
        <v>4800</v>
      </c>
      <c r="D31">
        <f t="shared" si="0"/>
        <v>81.618772317633059</v>
      </c>
    </row>
    <row r="32" spans="1:4" x14ac:dyDescent="0.3">
      <c r="A32">
        <f t="shared" si="1"/>
        <v>2020</v>
      </c>
      <c r="B32">
        <f>[1]RCT!B32</f>
        <v>7067</v>
      </c>
      <c r="C32">
        <f>[1]RCT!C32</f>
        <v>5783</v>
      </c>
      <c r="D32">
        <f t="shared" si="0"/>
        <v>81.831045705391261</v>
      </c>
    </row>
    <row r="33" spans="1:4" x14ac:dyDescent="0.3">
      <c r="A33">
        <f t="shared" si="1"/>
        <v>2021</v>
      </c>
      <c r="B33">
        <f>[1]RCT!B33</f>
        <v>8152</v>
      </c>
      <c r="C33">
        <f>[1]RCT!C33</f>
        <v>6784</v>
      </c>
      <c r="D33">
        <f t="shared" si="0"/>
        <v>83.218842001962713</v>
      </c>
    </row>
    <row r="34" spans="1:4" x14ac:dyDescent="0.3">
      <c r="A34">
        <f t="shared" si="1"/>
        <v>2022</v>
      </c>
      <c r="B34">
        <f>[1]RCT!B34</f>
        <v>9721</v>
      </c>
      <c r="C34">
        <f>[1]RCT!C34</f>
        <v>8225</v>
      </c>
      <c r="D34">
        <f t="shared" si="0"/>
        <v>84.610636765764838</v>
      </c>
    </row>
    <row r="35" spans="1:4" x14ac:dyDescent="0.3">
      <c r="A35">
        <f t="shared" si="1"/>
        <v>2023</v>
      </c>
      <c r="B35">
        <f>[1]RCT!B35</f>
        <v>8052</v>
      </c>
      <c r="C35">
        <f>[1]RCT!C35</f>
        <v>6845</v>
      </c>
      <c r="D35">
        <f t="shared" si="0"/>
        <v>85.009935419771494</v>
      </c>
    </row>
    <row r="36" spans="1:4" x14ac:dyDescent="0.3">
      <c r="A36">
        <f t="shared" si="1"/>
        <v>2024</v>
      </c>
      <c r="B36">
        <f>[1]RCT!B36</f>
        <v>8653</v>
      </c>
      <c r="C36">
        <f>[1]RCT!C36</f>
        <v>7493</v>
      </c>
      <c r="D36">
        <f t="shared" si="0"/>
        <v>86.594244770599786</v>
      </c>
    </row>
    <row r="37" spans="1:4" x14ac:dyDescent="0.3">
      <c r="A37">
        <v>2025</v>
      </c>
      <c r="B37">
        <f>[1]RCT!B37</f>
        <v>7148</v>
      </c>
      <c r="C37">
        <f>[1]RCT!C37</f>
        <v>6234</v>
      </c>
      <c r="D37">
        <f t="shared" si="0"/>
        <v>87.213206491326247</v>
      </c>
    </row>
    <row r="38" spans="1:4" x14ac:dyDescent="0.3">
      <c r="A38" t="s">
        <v>8</v>
      </c>
      <c r="B38">
        <f>[1]RCT!B38</f>
        <v>92098</v>
      </c>
      <c r="C38">
        <f>[1]RCT!C38</f>
        <v>74493</v>
      </c>
    </row>
    <row r="39" spans="1:4" x14ac:dyDescent="0.3">
      <c r="A39" t="s">
        <v>6</v>
      </c>
      <c r="B39">
        <f>[1]RCT!B39</f>
        <v>9721</v>
      </c>
      <c r="C39">
        <f>[1]RCT!C39</f>
        <v>8225</v>
      </c>
      <c r="D39" t="e">
        <f>MAX(D2:D37)</f>
        <v>#DIV/0!</v>
      </c>
    </row>
    <row r="40" spans="1:4" x14ac:dyDescent="0.3">
      <c r="A40" t="s">
        <v>7</v>
      </c>
      <c r="B40">
        <f>[1]RCT!B40</f>
        <v>0</v>
      </c>
      <c r="C40">
        <f>[1]RCT!C40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workbookViewId="0">
      <selection activeCell="C11" sqref="C11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[1]CT!B1</f>
        <v>Total article count</v>
      </c>
      <c r="C1" t="str">
        <f>[1]CT!C1</f>
        <v>HasPvalue</v>
      </c>
      <c r="D1" t="s">
        <v>1</v>
      </c>
    </row>
    <row r="2" spans="1:4" x14ac:dyDescent="0.3">
      <c r="A2">
        <v>1990</v>
      </c>
      <c r="B2">
        <f>[1]CT!B2</f>
        <v>1</v>
      </c>
      <c r="C2">
        <f>[1]CT!C2</f>
        <v>1</v>
      </c>
      <c r="D2">
        <f>C2/B2*100</f>
        <v>100</v>
      </c>
    </row>
    <row r="3" spans="1:4" x14ac:dyDescent="0.3">
      <c r="A3">
        <v>1991</v>
      </c>
      <c r="B3">
        <f>[1]CT!B3</f>
        <v>0</v>
      </c>
      <c r="C3">
        <f>[1]CT!C3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[1]CT!B4</f>
        <v>0</v>
      </c>
      <c r="C4">
        <f>[1]CT!C4</f>
        <v>0</v>
      </c>
      <c r="D4" t="e">
        <f t="shared" si="0"/>
        <v>#DIV/0!</v>
      </c>
    </row>
    <row r="5" spans="1:4" x14ac:dyDescent="0.3">
      <c r="A5">
        <f t="shared" ref="A5:A36" si="1">A3+2</f>
        <v>1993</v>
      </c>
      <c r="B5">
        <f>[1]CT!B5</f>
        <v>0</v>
      </c>
      <c r="C5">
        <f>[1]CT!C5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[1]CT!B6</f>
        <v>0</v>
      </c>
      <c r="C6">
        <f>[1]CT!C6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[1]CT!B7</f>
        <v>2</v>
      </c>
      <c r="C7">
        <f>[1]CT!C7</f>
        <v>2</v>
      </c>
      <c r="D7">
        <f t="shared" si="0"/>
        <v>100</v>
      </c>
    </row>
    <row r="8" spans="1:4" x14ac:dyDescent="0.3">
      <c r="A8">
        <f t="shared" si="1"/>
        <v>1996</v>
      </c>
      <c r="B8">
        <f>[1]CT!B8</f>
        <v>2</v>
      </c>
      <c r="C8">
        <f>[1]CT!C8</f>
        <v>2</v>
      </c>
      <c r="D8">
        <f t="shared" si="0"/>
        <v>100</v>
      </c>
    </row>
    <row r="9" spans="1:4" x14ac:dyDescent="0.3">
      <c r="A9">
        <f t="shared" si="1"/>
        <v>1997</v>
      </c>
      <c r="B9">
        <f>[1]CT!B9</f>
        <v>14</v>
      </c>
      <c r="C9">
        <f>[1]CT!C9</f>
        <v>5</v>
      </c>
      <c r="D9">
        <f t="shared" si="0"/>
        <v>35.714285714285715</v>
      </c>
    </row>
    <row r="10" spans="1:4" x14ac:dyDescent="0.3">
      <c r="A10">
        <f t="shared" si="1"/>
        <v>1998</v>
      </c>
      <c r="B10">
        <f>[1]CT!B10</f>
        <v>20</v>
      </c>
      <c r="C10">
        <f>[1]CT!C10</f>
        <v>6</v>
      </c>
      <c r="D10">
        <f t="shared" si="0"/>
        <v>30</v>
      </c>
    </row>
    <row r="11" spans="1:4" x14ac:dyDescent="0.3">
      <c r="A11">
        <f t="shared" si="1"/>
        <v>1999</v>
      </c>
      <c r="B11">
        <f>[1]CT!B11</f>
        <v>10</v>
      </c>
      <c r="C11">
        <f>[1]CT!C11</f>
        <v>5</v>
      </c>
      <c r="D11">
        <f t="shared" si="0"/>
        <v>50</v>
      </c>
    </row>
    <row r="12" spans="1:4" x14ac:dyDescent="0.3">
      <c r="A12">
        <f t="shared" si="1"/>
        <v>2000</v>
      </c>
      <c r="B12">
        <f>[1]CT!B12</f>
        <v>24</v>
      </c>
      <c r="C12">
        <f>[1]CT!C12</f>
        <v>16</v>
      </c>
      <c r="D12">
        <f t="shared" si="0"/>
        <v>66.666666666666657</v>
      </c>
    </row>
    <row r="13" spans="1:4" x14ac:dyDescent="0.3">
      <c r="A13">
        <f t="shared" si="1"/>
        <v>2001</v>
      </c>
      <c r="B13">
        <f>[1]CT!B13</f>
        <v>24</v>
      </c>
      <c r="C13">
        <f>[1]CT!C13</f>
        <v>22</v>
      </c>
      <c r="D13">
        <f t="shared" si="0"/>
        <v>91.666666666666657</v>
      </c>
    </row>
    <row r="14" spans="1:4" x14ac:dyDescent="0.3">
      <c r="A14">
        <f t="shared" si="1"/>
        <v>2002</v>
      </c>
      <c r="B14">
        <f>[1]CT!B14</f>
        <v>81</v>
      </c>
      <c r="C14">
        <f>[1]CT!C14</f>
        <v>48</v>
      </c>
      <c r="D14">
        <f t="shared" si="0"/>
        <v>59.259259259259252</v>
      </c>
    </row>
    <row r="15" spans="1:4" x14ac:dyDescent="0.3">
      <c r="A15">
        <f t="shared" si="1"/>
        <v>2003</v>
      </c>
      <c r="B15">
        <f>[1]CT!B15</f>
        <v>103</v>
      </c>
      <c r="C15">
        <f>[1]CT!C15</f>
        <v>59</v>
      </c>
      <c r="D15">
        <f t="shared" si="0"/>
        <v>57.28155339805825</v>
      </c>
    </row>
    <row r="16" spans="1:4" x14ac:dyDescent="0.3">
      <c r="A16">
        <f t="shared" si="1"/>
        <v>2004</v>
      </c>
      <c r="B16">
        <f>[1]CT!B16</f>
        <v>196</v>
      </c>
      <c r="C16">
        <f>[1]CT!C16</f>
        <v>121</v>
      </c>
      <c r="D16">
        <f t="shared" si="0"/>
        <v>61.734693877551017</v>
      </c>
    </row>
    <row r="17" spans="1:4" x14ac:dyDescent="0.3">
      <c r="A17">
        <f t="shared" si="1"/>
        <v>2005</v>
      </c>
      <c r="B17">
        <f>[1]CT!B17</f>
        <v>175</v>
      </c>
      <c r="C17">
        <f>[1]CT!C17</f>
        <v>121</v>
      </c>
      <c r="D17">
        <f t="shared" si="0"/>
        <v>69.142857142857139</v>
      </c>
    </row>
    <row r="18" spans="1:4" x14ac:dyDescent="0.3">
      <c r="A18">
        <f t="shared" si="1"/>
        <v>2006</v>
      </c>
      <c r="B18">
        <f>[1]CT!B18</f>
        <v>123</v>
      </c>
      <c r="C18">
        <f>[1]CT!C18</f>
        <v>90</v>
      </c>
      <c r="D18">
        <f t="shared" si="0"/>
        <v>73.170731707317074</v>
      </c>
    </row>
    <row r="19" spans="1:4" x14ac:dyDescent="0.3">
      <c r="A19">
        <f t="shared" si="1"/>
        <v>2007</v>
      </c>
      <c r="B19">
        <f>[1]CT!B19</f>
        <v>145</v>
      </c>
      <c r="C19">
        <f>[1]CT!C19</f>
        <v>110</v>
      </c>
      <c r="D19">
        <f t="shared" si="0"/>
        <v>75.862068965517238</v>
      </c>
    </row>
    <row r="20" spans="1:4" x14ac:dyDescent="0.3">
      <c r="A20">
        <f t="shared" si="1"/>
        <v>2008</v>
      </c>
      <c r="B20">
        <f>[1]CT!B20</f>
        <v>181</v>
      </c>
      <c r="C20">
        <f>[1]CT!C20</f>
        <v>145</v>
      </c>
      <c r="D20">
        <f t="shared" si="0"/>
        <v>80.110497237569049</v>
      </c>
    </row>
    <row r="21" spans="1:4" x14ac:dyDescent="0.3">
      <c r="A21">
        <f t="shared" si="1"/>
        <v>2009</v>
      </c>
      <c r="B21">
        <f>[1]CT!B21</f>
        <v>217</v>
      </c>
      <c r="C21">
        <f>[1]CT!C21</f>
        <v>176</v>
      </c>
      <c r="D21">
        <f t="shared" si="0"/>
        <v>81.105990783410135</v>
      </c>
    </row>
    <row r="22" spans="1:4" x14ac:dyDescent="0.3">
      <c r="A22">
        <f t="shared" si="1"/>
        <v>2010</v>
      </c>
      <c r="B22">
        <f>[1]CT!B22</f>
        <v>362</v>
      </c>
      <c r="C22">
        <f>[1]CT!C22</f>
        <v>285</v>
      </c>
      <c r="D22">
        <f t="shared" si="0"/>
        <v>78.729281767955811</v>
      </c>
    </row>
    <row r="23" spans="1:4" x14ac:dyDescent="0.3">
      <c r="A23">
        <f t="shared" si="1"/>
        <v>2011</v>
      </c>
      <c r="B23">
        <f>[1]CT!B23</f>
        <v>508</v>
      </c>
      <c r="C23">
        <f>[1]CT!C23</f>
        <v>409</v>
      </c>
      <c r="D23">
        <f t="shared" si="0"/>
        <v>80.511811023622045</v>
      </c>
    </row>
    <row r="24" spans="1:4" x14ac:dyDescent="0.3">
      <c r="A24">
        <f>A22+2</f>
        <v>2012</v>
      </c>
      <c r="B24">
        <f>[1]CT!B24</f>
        <v>867</v>
      </c>
      <c r="C24">
        <f>[1]CT!C24</f>
        <v>722</v>
      </c>
      <c r="D24">
        <f t="shared" si="0"/>
        <v>83.275663206459043</v>
      </c>
    </row>
    <row r="25" spans="1:4" x14ac:dyDescent="0.3">
      <c r="A25">
        <f t="shared" si="1"/>
        <v>2013</v>
      </c>
      <c r="B25">
        <f>[1]CT!B25</f>
        <v>1306</v>
      </c>
      <c r="C25">
        <f>[1]CT!C25</f>
        <v>1083</v>
      </c>
      <c r="D25">
        <f t="shared" si="0"/>
        <v>82.924961715160791</v>
      </c>
    </row>
    <row r="26" spans="1:4" x14ac:dyDescent="0.3">
      <c r="A26">
        <f t="shared" si="1"/>
        <v>2014</v>
      </c>
      <c r="B26">
        <f>[1]CT!B26</f>
        <v>1459</v>
      </c>
      <c r="C26">
        <f>[1]CT!C26</f>
        <v>1201</v>
      </c>
      <c r="D26">
        <f t="shared" si="0"/>
        <v>82.316655243317342</v>
      </c>
    </row>
    <row r="27" spans="1:4" x14ac:dyDescent="0.3">
      <c r="A27">
        <f t="shared" si="1"/>
        <v>2015</v>
      </c>
      <c r="B27">
        <f>[1]CT!B27</f>
        <v>1465</v>
      </c>
      <c r="C27">
        <f>[1]CT!C27</f>
        <v>1219</v>
      </c>
      <c r="D27">
        <f t="shared" si="0"/>
        <v>83.208191126279857</v>
      </c>
    </row>
    <row r="28" spans="1:4" x14ac:dyDescent="0.3">
      <c r="A28">
        <f t="shared" si="1"/>
        <v>2016</v>
      </c>
      <c r="B28">
        <f>[1]CT!B28</f>
        <v>1482</v>
      </c>
      <c r="C28">
        <f>[1]CT!C28</f>
        <v>1256</v>
      </c>
      <c r="D28">
        <f t="shared" si="0"/>
        <v>84.750337381916324</v>
      </c>
    </row>
    <row r="29" spans="1:4" x14ac:dyDescent="0.3">
      <c r="A29">
        <f t="shared" si="1"/>
        <v>2017</v>
      </c>
      <c r="B29">
        <f>[1]CT!B29</f>
        <v>1346</v>
      </c>
      <c r="C29">
        <f>[1]CT!C29</f>
        <v>1148</v>
      </c>
      <c r="D29">
        <f t="shared" si="0"/>
        <v>85.289747399702819</v>
      </c>
    </row>
    <row r="30" spans="1:4" x14ac:dyDescent="0.3">
      <c r="A30">
        <f t="shared" si="1"/>
        <v>2018</v>
      </c>
      <c r="B30">
        <f>[1]CT!B30</f>
        <v>1827</v>
      </c>
      <c r="C30">
        <f>[1]CT!C30</f>
        <v>1508</v>
      </c>
      <c r="D30">
        <f t="shared" si="0"/>
        <v>82.539682539682531</v>
      </c>
    </row>
    <row r="31" spans="1:4" x14ac:dyDescent="0.3">
      <c r="A31">
        <f t="shared" si="1"/>
        <v>2019</v>
      </c>
      <c r="B31">
        <f>[1]CT!B31</f>
        <v>2145</v>
      </c>
      <c r="C31">
        <f>[1]CT!C31</f>
        <v>1741</v>
      </c>
      <c r="D31">
        <f t="shared" si="0"/>
        <v>81.165501165501169</v>
      </c>
    </row>
    <row r="32" spans="1:4" x14ac:dyDescent="0.3">
      <c r="A32">
        <f t="shared" si="1"/>
        <v>2020</v>
      </c>
      <c r="B32">
        <f>[1]CT!B32</f>
        <v>1930</v>
      </c>
      <c r="C32">
        <f>[1]CT!C32</f>
        <v>1565</v>
      </c>
      <c r="D32">
        <f t="shared" si="0"/>
        <v>81.088082901554401</v>
      </c>
    </row>
    <row r="33" spans="1:4" x14ac:dyDescent="0.3">
      <c r="A33">
        <f t="shared" si="1"/>
        <v>2021</v>
      </c>
      <c r="B33">
        <f>[1]CT!B33</f>
        <v>2316</v>
      </c>
      <c r="C33">
        <f>[1]CT!C33</f>
        <v>1887</v>
      </c>
      <c r="D33">
        <f t="shared" si="0"/>
        <v>81.476683937823836</v>
      </c>
    </row>
    <row r="34" spans="1:4" x14ac:dyDescent="0.3">
      <c r="A34">
        <f t="shared" si="1"/>
        <v>2022</v>
      </c>
      <c r="B34">
        <f>[1]CT!B34</f>
        <v>1433</v>
      </c>
      <c r="C34">
        <f>[1]CT!C34</f>
        <v>1141</v>
      </c>
      <c r="D34">
        <f t="shared" si="0"/>
        <v>79.623168178646196</v>
      </c>
    </row>
    <row r="35" spans="1:4" x14ac:dyDescent="0.3">
      <c r="A35">
        <f t="shared" si="1"/>
        <v>2023</v>
      </c>
      <c r="B35">
        <f>[1]CT!B35</f>
        <v>1068</v>
      </c>
      <c r="C35">
        <f>[1]CT!C35</f>
        <v>830</v>
      </c>
      <c r="D35">
        <f t="shared" si="0"/>
        <v>77.715355805243448</v>
      </c>
    </row>
    <row r="36" spans="1:4" x14ac:dyDescent="0.3">
      <c r="A36">
        <f t="shared" si="1"/>
        <v>2024</v>
      </c>
      <c r="B36">
        <f>[1]CT!B36</f>
        <v>902</v>
      </c>
      <c r="C36">
        <f>[1]CT!C36</f>
        <v>711</v>
      </c>
      <c r="D36">
        <f t="shared" si="0"/>
        <v>78.824833702882486</v>
      </c>
    </row>
    <row r="37" spans="1:4" x14ac:dyDescent="0.3">
      <c r="A37">
        <v>2025</v>
      </c>
      <c r="B37">
        <f>[1]CT!B37</f>
        <v>642</v>
      </c>
      <c r="C37">
        <f>[1]CT!C37</f>
        <v>531</v>
      </c>
      <c r="D37">
        <f t="shared" si="0"/>
        <v>82.710280373831779</v>
      </c>
    </row>
    <row r="38" spans="1:4" x14ac:dyDescent="0.3">
      <c r="A38" t="s">
        <v>8</v>
      </c>
      <c r="B38">
        <f>[1]CT!B38</f>
        <v>22376</v>
      </c>
      <c r="C38">
        <f>[1]CT!C38</f>
        <v>18166</v>
      </c>
    </row>
    <row r="39" spans="1:4" x14ac:dyDescent="0.3">
      <c r="A39" t="s">
        <v>6</v>
      </c>
      <c r="B39">
        <f>[1]CT!B39</f>
        <v>2316</v>
      </c>
      <c r="C39">
        <f>[1]CT!C39</f>
        <v>1887</v>
      </c>
      <c r="D39" t="e">
        <f>MAX(D2:D37)</f>
        <v>#DIV/0!</v>
      </c>
    </row>
    <row r="40" spans="1:4" x14ac:dyDescent="0.3">
      <c r="A40" t="s">
        <v>7</v>
      </c>
      <c r="B40">
        <f>[1]CT!B40</f>
        <v>0</v>
      </c>
      <c r="C40">
        <f>[1]CT!C40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workbookViewId="0">
      <selection activeCell="C24" sqref="C24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[1]META!B1</f>
        <v>Total article count</v>
      </c>
      <c r="C1" t="str">
        <f>[1]META!C1</f>
        <v>HasPvalue</v>
      </c>
      <c r="D1" t="s">
        <v>1</v>
      </c>
    </row>
    <row r="2" spans="1:4" x14ac:dyDescent="0.3">
      <c r="A2">
        <v>1990</v>
      </c>
      <c r="B2">
        <f>[1]META!B2</f>
        <v>0</v>
      </c>
      <c r="C2">
        <f>[1]META!C2</f>
        <v>0</v>
      </c>
      <c r="D2" t="e">
        <f>C2/B2*100</f>
        <v>#DIV/0!</v>
      </c>
    </row>
    <row r="3" spans="1:4" x14ac:dyDescent="0.3">
      <c r="A3">
        <v>1991</v>
      </c>
      <c r="B3">
        <f>[1]META!B3</f>
        <v>1</v>
      </c>
      <c r="C3">
        <f>[1]META!C3</f>
        <v>0</v>
      </c>
      <c r="D3">
        <f t="shared" ref="D3:D37" si="0">C3/B3*100</f>
        <v>0</v>
      </c>
    </row>
    <row r="4" spans="1:4" x14ac:dyDescent="0.3">
      <c r="A4">
        <f>A2+2</f>
        <v>1992</v>
      </c>
      <c r="B4">
        <f>[1]META!B4</f>
        <v>0</v>
      </c>
      <c r="C4">
        <f>[1]META!C4</f>
        <v>0</v>
      </c>
      <c r="D4" t="e">
        <f t="shared" si="0"/>
        <v>#DIV/0!</v>
      </c>
    </row>
    <row r="5" spans="1:4" x14ac:dyDescent="0.3">
      <c r="A5">
        <f t="shared" ref="A5:A20" si="1">A3+2</f>
        <v>1993</v>
      </c>
      <c r="B5">
        <f>[1]META!B5</f>
        <v>0</v>
      </c>
      <c r="C5">
        <f>[1]META!C5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[1]META!B6</f>
        <v>0</v>
      </c>
      <c r="C6">
        <f>[1]META!C6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[1]META!B7</f>
        <v>0</v>
      </c>
      <c r="C7">
        <f>[1]META!C7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[1]META!B8</f>
        <v>0</v>
      </c>
      <c r="C8">
        <f>[1]META!C8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[1]META!B9</f>
        <v>0</v>
      </c>
      <c r="C9">
        <f>[1]META!C9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[1]META!B10</f>
        <v>0</v>
      </c>
      <c r="C10">
        <f>[1]META!C10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[1]META!B11</f>
        <v>1</v>
      </c>
      <c r="C11">
        <f>[1]META!C11</f>
        <v>1</v>
      </c>
      <c r="D11">
        <f t="shared" si="0"/>
        <v>100</v>
      </c>
    </row>
    <row r="12" spans="1:4" x14ac:dyDescent="0.3">
      <c r="A12">
        <f t="shared" si="1"/>
        <v>2000</v>
      </c>
      <c r="B12">
        <f>[1]META!B12</f>
        <v>1</v>
      </c>
      <c r="C12">
        <f>[1]META!C12</f>
        <v>0</v>
      </c>
      <c r="D12">
        <f t="shared" si="0"/>
        <v>0</v>
      </c>
    </row>
    <row r="13" spans="1:4" x14ac:dyDescent="0.3">
      <c r="A13">
        <f t="shared" si="1"/>
        <v>2001</v>
      </c>
      <c r="B13">
        <f>[1]META!B13</f>
        <v>6</v>
      </c>
      <c r="C13">
        <f>[1]META!C13</f>
        <v>3</v>
      </c>
      <c r="D13">
        <f t="shared" si="0"/>
        <v>50</v>
      </c>
    </row>
    <row r="14" spans="1:4" x14ac:dyDescent="0.3">
      <c r="A14">
        <f t="shared" si="1"/>
        <v>2002</v>
      </c>
      <c r="B14">
        <f>[1]META!B14</f>
        <v>9</v>
      </c>
      <c r="C14">
        <f>[1]META!C14</f>
        <v>7</v>
      </c>
      <c r="D14">
        <f t="shared" si="0"/>
        <v>77.777777777777786</v>
      </c>
    </row>
    <row r="15" spans="1:4" x14ac:dyDescent="0.3">
      <c r="A15">
        <f t="shared" si="1"/>
        <v>2003</v>
      </c>
      <c r="B15">
        <f>[1]META!B15</f>
        <v>15</v>
      </c>
      <c r="C15">
        <f>[1]META!C15</f>
        <v>11</v>
      </c>
      <c r="D15">
        <f t="shared" si="0"/>
        <v>73.333333333333329</v>
      </c>
    </row>
    <row r="16" spans="1:4" x14ac:dyDescent="0.3">
      <c r="A16">
        <f t="shared" si="1"/>
        <v>2004</v>
      </c>
      <c r="B16">
        <f>[1]META!B16</f>
        <v>29</v>
      </c>
      <c r="C16">
        <f>[1]META!C16</f>
        <v>24</v>
      </c>
      <c r="D16">
        <f t="shared" si="0"/>
        <v>82.758620689655174</v>
      </c>
    </row>
    <row r="17" spans="1:4" x14ac:dyDescent="0.3">
      <c r="A17">
        <f t="shared" si="1"/>
        <v>2005</v>
      </c>
      <c r="B17">
        <f>[1]META!B17</f>
        <v>47</v>
      </c>
      <c r="C17">
        <f>[1]META!C17</f>
        <v>37</v>
      </c>
      <c r="D17">
        <f t="shared" si="0"/>
        <v>78.723404255319153</v>
      </c>
    </row>
    <row r="18" spans="1:4" x14ac:dyDescent="0.3">
      <c r="A18">
        <f t="shared" si="1"/>
        <v>2006</v>
      </c>
      <c r="B18">
        <f>[1]META!B18</f>
        <v>63</v>
      </c>
      <c r="C18">
        <f>[1]META!C18</f>
        <v>44</v>
      </c>
      <c r="D18">
        <f t="shared" si="0"/>
        <v>69.841269841269835</v>
      </c>
    </row>
    <row r="19" spans="1:4" x14ac:dyDescent="0.3">
      <c r="A19">
        <f t="shared" si="1"/>
        <v>2007</v>
      </c>
      <c r="B19">
        <f>[1]META!B19</f>
        <v>91</v>
      </c>
      <c r="C19">
        <f>[1]META!C19</f>
        <v>53</v>
      </c>
      <c r="D19">
        <f t="shared" si="0"/>
        <v>58.241758241758248</v>
      </c>
    </row>
    <row r="20" spans="1:4" x14ac:dyDescent="0.3">
      <c r="A20">
        <f t="shared" si="1"/>
        <v>2008</v>
      </c>
      <c r="B20">
        <f>[1]META!B20</f>
        <v>144</v>
      </c>
      <c r="C20">
        <f>[1]META!C20</f>
        <v>113</v>
      </c>
      <c r="D20">
        <f t="shared" si="0"/>
        <v>78.472222222222214</v>
      </c>
    </row>
    <row r="21" spans="1:4" x14ac:dyDescent="0.3">
      <c r="A21">
        <f t="shared" ref="A21:A36" si="2">A19+2</f>
        <v>2009</v>
      </c>
      <c r="B21">
        <f>[1]META!B21</f>
        <v>211</v>
      </c>
      <c r="C21">
        <f>[1]META!C21</f>
        <v>170</v>
      </c>
      <c r="D21">
        <f t="shared" si="0"/>
        <v>80.568720379146924</v>
      </c>
    </row>
    <row r="22" spans="1:4" x14ac:dyDescent="0.3">
      <c r="A22">
        <f t="shared" si="2"/>
        <v>2010</v>
      </c>
      <c r="B22">
        <f>[1]META!B22</f>
        <v>323</v>
      </c>
      <c r="C22">
        <f>[1]META!C22</f>
        <v>247</v>
      </c>
      <c r="D22">
        <f t="shared" si="0"/>
        <v>76.470588235294116</v>
      </c>
    </row>
    <row r="23" spans="1:4" x14ac:dyDescent="0.3">
      <c r="A23">
        <f t="shared" si="2"/>
        <v>2011</v>
      </c>
      <c r="B23">
        <f>[1]META!B23</f>
        <v>520</v>
      </c>
      <c r="C23">
        <f>[1]META!C23</f>
        <v>421</v>
      </c>
      <c r="D23">
        <f t="shared" si="0"/>
        <v>80.961538461538467</v>
      </c>
    </row>
    <row r="24" spans="1:4" x14ac:dyDescent="0.3">
      <c r="A24">
        <f>A22+2</f>
        <v>2012</v>
      </c>
      <c r="B24">
        <f>[1]META!B24</f>
        <v>831</v>
      </c>
      <c r="C24">
        <f>[1]META!C24</f>
        <v>691</v>
      </c>
      <c r="D24">
        <f t="shared" si="0"/>
        <v>83.152827918170885</v>
      </c>
    </row>
    <row r="25" spans="1:4" x14ac:dyDescent="0.3">
      <c r="A25">
        <f t="shared" si="2"/>
        <v>2013</v>
      </c>
      <c r="B25">
        <f>[1]META!B25</f>
        <v>1407</v>
      </c>
      <c r="C25">
        <f>[1]META!C25</f>
        <v>1193</v>
      </c>
      <c r="D25">
        <f t="shared" si="0"/>
        <v>84.790334044065389</v>
      </c>
    </row>
    <row r="26" spans="1:4" x14ac:dyDescent="0.3">
      <c r="A26">
        <f t="shared" si="2"/>
        <v>2014</v>
      </c>
      <c r="B26">
        <f>[1]META!B26</f>
        <v>1853</v>
      </c>
      <c r="C26">
        <f>[1]META!C26</f>
        <v>1612</v>
      </c>
      <c r="D26">
        <f t="shared" si="0"/>
        <v>86.994063680518082</v>
      </c>
    </row>
    <row r="27" spans="1:4" x14ac:dyDescent="0.3">
      <c r="A27">
        <f t="shared" si="2"/>
        <v>2015</v>
      </c>
      <c r="B27">
        <f>[1]META!B27</f>
        <v>2396</v>
      </c>
      <c r="C27">
        <f>[1]META!C27</f>
        <v>2060</v>
      </c>
      <c r="D27">
        <f t="shared" si="0"/>
        <v>85.976627712854764</v>
      </c>
    </row>
    <row r="28" spans="1:4" x14ac:dyDescent="0.3">
      <c r="A28">
        <f t="shared" si="2"/>
        <v>2016</v>
      </c>
      <c r="B28">
        <f>[1]META!B28</f>
        <v>2857</v>
      </c>
      <c r="C28">
        <f>[1]META!C28</f>
        <v>2494</v>
      </c>
      <c r="D28">
        <f t="shared" si="0"/>
        <v>87.294364718235911</v>
      </c>
    </row>
    <row r="29" spans="1:4" x14ac:dyDescent="0.3">
      <c r="A29">
        <f t="shared" si="2"/>
        <v>2017</v>
      </c>
      <c r="B29">
        <f>[1]META!B29</f>
        <v>2984</v>
      </c>
      <c r="C29">
        <f>[1]META!C29</f>
        <v>2637</v>
      </c>
      <c r="D29">
        <f t="shared" si="0"/>
        <v>88.371313672922241</v>
      </c>
    </row>
    <row r="30" spans="1:4" x14ac:dyDescent="0.3">
      <c r="A30">
        <f t="shared" si="2"/>
        <v>2018</v>
      </c>
      <c r="B30">
        <f>[1]META!B30</f>
        <v>2934</v>
      </c>
      <c r="C30">
        <f>[1]META!C30</f>
        <v>2570</v>
      </c>
      <c r="D30">
        <f t="shared" si="0"/>
        <v>87.59372869802317</v>
      </c>
    </row>
    <row r="31" spans="1:4" x14ac:dyDescent="0.3">
      <c r="A31">
        <f t="shared" si="2"/>
        <v>2019</v>
      </c>
      <c r="B31">
        <f>[1]META!B31</f>
        <v>3714</v>
      </c>
      <c r="C31">
        <f>[1]META!C31</f>
        <v>3196</v>
      </c>
      <c r="D31">
        <f t="shared" si="0"/>
        <v>86.0527732902531</v>
      </c>
    </row>
    <row r="32" spans="1:4" x14ac:dyDescent="0.3">
      <c r="A32">
        <f t="shared" si="2"/>
        <v>2020</v>
      </c>
      <c r="B32">
        <f>[1]META!B32</f>
        <v>4716</v>
      </c>
      <c r="C32">
        <f>[1]META!C32</f>
        <v>4069</v>
      </c>
      <c r="D32">
        <f t="shared" si="0"/>
        <v>86.280746395250205</v>
      </c>
    </row>
    <row r="33" spans="1:4" x14ac:dyDescent="0.3">
      <c r="A33">
        <f t="shared" si="2"/>
        <v>2021</v>
      </c>
      <c r="B33">
        <f>[1]META!B33</f>
        <v>5738</v>
      </c>
      <c r="C33">
        <f>[1]META!C33</f>
        <v>4834</v>
      </c>
      <c r="D33">
        <f t="shared" si="0"/>
        <v>84.245381666085734</v>
      </c>
    </row>
    <row r="34" spans="1:4" x14ac:dyDescent="0.3">
      <c r="A34">
        <f t="shared" si="2"/>
        <v>2022</v>
      </c>
      <c r="B34">
        <f>[1]META!B34</f>
        <v>6757</v>
      </c>
      <c r="C34">
        <f>[1]META!C34</f>
        <v>5832</v>
      </c>
      <c r="D34">
        <f t="shared" si="0"/>
        <v>86.310492822258396</v>
      </c>
    </row>
    <row r="35" spans="1:4" x14ac:dyDescent="0.3">
      <c r="A35">
        <f t="shared" si="2"/>
        <v>2023</v>
      </c>
      <c r="B35">
        <f>[1]META!B35</f>
        <v>6623</v>
      </c>
      <c r="C35">
        <f>[1]META!C35</f>
        <v>5749</v>
      </c>
      <c r="D35">
        <f t="shared" si="0"/>
        <v>86.803563339876192</v>
      </c>
    </row>
    <row r="36" spans="1:4" x14ac:dyDescent="0.3">
      <c r="A36">
        <f t="shared" si="2"/>
        <v>2024</v>
      </c>
      <c r="B36">
        <f>[1]META!B36</f>
        <v>6825</v>
      </c>
      <c r="C36">
        <f>[1]META!C36</f>
        <v>6034</v>
      </c>
      <c r="D36">
        <f t="shared" si="0"/>
        <v>88.410256410256409</v>
      </c>
    </row>
    <row r="37" spans="1:4" x14ac:dyDescent="0.3">
      <c r="A37">
        <v>2025</v>
      </c>
      <c r="B37">
        <f>[1]META!B37</f>
        <v>5165</v>
      </c>
      <c r="C37">
        <f>[1]META!C37</f>
        <v>4588</v>
      </c>
      <c r="D37">
        <f t="shared" si="0"/>
        <v>88.828654404646656</v>
      </c>
    </row>
    <row r="38" spans="1:4" x14ac:dyDescent="0.3">
      <c r="A38" t="s">
        <v>8</v>
      </c>
      <c r="B38">
        <f>[1]META!B38</f>
        <v>56261</v>
      </c>
      <c r="C38">
        <f>[1]META!C38</f>
        <v>48690</v>
      </c>
    </row>
    <row r="39" spans="1:4" x14ac:dyDescent="0.3">
      <c r="A39" t="s">
        <v>6</v>
      </c>
      <c r="B39">
        <f>[1]META!B39</f>
        <v>6825</v>
      </c>
      <c r="C39">
        <f>[1]META!C39</f>
        <v>6034</v>
      </c>
      <c r="D39" t="e">
        <f>MAX(D2:D37)</f>
        <v>#DIV/0!</v>
      </c>
    </row>
    <row r="40" spans="1:4" x14ac:dyDescent="0.3">
      <c r="A40" t="s">
        <v>7</v>
      </c>
      <c r="B40">
        <f>[1]META!B40</f>
        <v>0</v>
      </c>
      <c r="C40">
        <f>[1]META!C40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workbookViewId="0">
      <selection activeCell="D26" sqref="D26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[1]REVIEW!B1</f>
        <v>Total article count</v>
      </c>
      <c r="C1" t="str">
        <f>[1]REVIEW!C1</f>
        <v>HasPvalue</v>
      </c>
      <c r="D1" t="s">
        <v>1</v>
      </c>
    </row>
    <row r="2" spans="1:4" x14ac:dyDescent="0.3">
      <c r="A2">
        <v>1990</v>
      </c>
      <c r="B2">
        <f>[1]REVIEW!B2</f>
        <v>2</v>
      </c>
      <c r="C2">
        <f>[1]REVIEW!C2</f>
        <v>0</v>
      </c>
      <c r="D2">
        <f>C2/B2*100</f>
        <v>0</v>
      </c>
    </row>
    <row r="3" spans="1:4" x14ac:dyDescent="0.3">
      <c r="A3">
        <v>1991</v>
      </c>
      <c r="B3">
        <f>[1]REVIEW!B3</f>
        <v>3</v>
      </c>
      <c r="C3">
        <f>[1]REVIEW!C3</f>
        <v>0</v>
      </c>
      <c r="D3">
        <f t="shared" ref="D3:D37" si="0">C3/B3*100</f>
        <v>0</v>
      </c>
    </row>
    <row r="4" spans="1:4" x14ac:dyDescent="0.3">
      <c r="A4">
        <f>A2+2</f>
        <v>1992</v>
      </c>
      <c r="B4">
        <f>[1]REVIEW!B4</f>
        <v>3</v>
      </c>
      <c r="C4">
        <f>[1]REVIEW!C4</f>
        <v>0</v>
      </c>
      <c r="D4">
        <f t="shared" si="0"/>
        <v>0</v>
      </c>
    </row>
    <row r="5" spans="1:4" x14ac:dyDescent="0.3">
      <c r="A5">
        <f t="shared" ref="A5:A20" si="1">A3+2</f>
        <v>1993</v>
      </c>
      <c r="B5">
        <f>[1]REVIEW!B5</f>
        <v>9</v>
      </c>
      <c r="C5">
        <f>[1]REVIEW!C5</f>
        <v>0</v>
      </c>
      <c r="D5">
        <f t="shared" si="0"/>
        <v>0</v>
      </c>
    </row>
    <row r="6" spans="1:4" x14ac:dyDescent="0.3">
      <c r="A6">
        <f t="shared" si="1"/>
        <v>1994</v>
      </c>
      <c r="B6">
        <f>[1]REVIEW!B6</f>
        <v>20</v>
      </c>
      <c r="C6">
        <f>[1]REVIEW!C6</f>
        <v>3</v>
      </c>
      <c r="D6">
        <f t="shared" si="0"/>
        <v>15</v>
      </c>
    </row>
    <row r="7" spans="1:4" x14ac:dyDescent="0.3">
      <c r="A7">
        <f t="shared" si="1"/>
        <v>1995</v>
      </c>
      <c r="B7">
        <f>[1]REVIEW!B7</f>
        <v>10</v>
      </c>
      <c r="C7">
        <f>[1]REVIEW!C7</f>
        <v>2</v>
      </c>
      <c r="D7">
        <f t="shared" si="0"/>
        <v>20</v>
      </c>
    </row>
    <row r="8" spans="1:4" x14ac:dyDescent="0.3">
      <c r="A8">
        <f t="shared" si="1"/>
        <v>1996</v>
      </c>
      <c r="B8">
        <f>[1]REVIEW!B8</f>
        <v>14</v>
      </c>
      <c r="C8">
        <f>[1]REVIEW!C8</f>
        <v>1</v>
      </c>
      <c r="D8">
        <f t="shared" si="0"/>
        <v>7.1428571428571423</v>
      </c>
    </row>
    <row r="9" spans="1:4" x14ac:dyDescent="0.3">
      <c r="A9">
        <f t="shared" si="1"/>
        <v>1997</v>
      </c>
      <c r="B9">
        <f>[1]REVIEW!B9</f>
        <v>89</v>
      </c>
      <c r="C9">
        <f>[1]REVIEW!C9</f>
        <v>1</v>
      </c>
      <c r="D9">
        <f t="shared" si="0"/>
        <v>1.1235955056179776</v>
      </c>
    </row>
    <row r="10" spans="1:4" x14ac:dyDescent="0.3">
      <c r="A10">
        <f t="shared" si="1"/>
        <v>1998</v>
      </c>
      <c r="B10">
        <f>[1]REVIEW!B10</f>
        <v>96</v>
      </c>
      <c r="C10">
        <f>[1]REVIEW!C10</f>
        <v>2</v>
      </c>
      <c r="D10">
        <f t="shared" si="0"/>
        <v>2.083333333333333</v>
      </c>
    </row>
    <row r="11" spans="1:4" x14ac:dyDescent="0.3">
      <c r="A11">
        <f t="shared" si="1"/>
        <v>1999</v>
      </c>
      <c r="B11">
        <f>[1]REVIEW!B11</f>
        <v>118</v>
      </c>
      <c r="C11">
        <f>[1]REVIEW!C11</f>
        <v>2</v>
      </c>
      <c r="D11">
        <f t="shared" si="0"/>
        <v>1.6949152542372881</v>
      </c>
    </row>
    <row r="12" spans="1:4" x14ac:dyDescent="0.3">
      <c r="A12">
        <f t="shared" si="1"/>
        <v>2000</v>
      </c>
      <c r="B12">
        <f>[1]REVIEW!B12</f>
        <v>322</v>
      </c>
      <c r="C12">
        <f>[1]REVIEW!C12</f>
        <v>24</v>
      </c>
      <c r="D12">
        <f t="shared" si="0"/>
        <v>7.4534161490683228</v>
      </c>
    </row>
    <row r="13" spans="1:4" x14ac:dyDescent="0.3">
      <c r="A13">
        <f t="shared" si="1"/>
        <v>2001</v>
      </c>
      <c r="B13">
        <f>[1]REVIEW!B13</f>
        <v>303</v>
      </c>
      <c r="C13">
        <f>[1]REVIEW!C13</f>
        <v>19</v>
      </c>
      <c r="D13">
        <f t="shared" si="0"/>
        <v>6.2706270627062706</v>
      </c>
    </row>
    <row r="14" spans="1:4" x14ac:dyDescent="0.3">
      <c r="A14">
        <f t="shared" si="1"/>
        <v>2002</v>
      </c>
      <c r="B14">
        <f>[1]REVIEW!B14</f>
        <v>390</v>
      </c>
      <c r="C14">
        <f>[1]REVIEW!C14</f>
        <v>49</v>
      </c>
      <c r="D14">
        <f t="shared" si="0"/>
        <v>12.564102564102564</v>
      </c>
    </row>
    <row r="15" spans="1:4" x14ac:dyDescent="0.3">
      <c r="A15">
        <f t="shared" si="1"/>
        <v>2003</v>
      </c>
      <c r="B15">
        <f>[1]REVIEW!B15</f>
        <v>498</v>
      </c>
      <c r="C15">
        <f>[1]REVIEW!C15</f>
        <v>57</v>
      </c>
      <c r="D15">
        <f t="shared" si="0"/>
        <v>11.445783132530121</v>
      </c>
    </row>
    <row r="16" spans="1:4" x14ac:dyDescent="0.3">
      <c r="A16">
        <f t="shared" si="1"/>
        <v>2004</v>
      </c>
      <c r="B16">
        <f>[1]REVIEW!B16</f>
        <v>716</v>
      </c>
      <c r="C16">
        <f>[1]REVIEW!C16</f>
        <v>116</v>
      </c>
      <c r="D16">
        <f t="shared" si="0"/>
        <v>16.201117318435752</v>
      </c>
    </row>
    <row r="17" spans="1:4" x14ac:dyDescent="0.3">
      <c r="A17">
        <f t="shared" si="1"/>
        <v>2005</v>
      </c>
      <c r="B17">
        <f>[1]REVIEW!B17</f>
        <v>784</v>
      </c>
      <c r="C17">
        <f>[1]REVIEW!C17</f>
        <v>119</v>
      </c>
      <c r="D17">
        <f t="shared" si="0"/>
        <v>15.178571428571427</v>
      </c>
    </row>
    <row r="18" spans="1:4" x14ac:dyDescent="0.3">
      <c r="A18">
        <f t="shared" si="1"/>
        <v>2006</v>
      </c>
      <c r="B18">
        <f>[1]REVIEW!B18</f>
        <v>1323</v>
      </c>
      <c r="C18">
        <f>[1]REVIEW!C18</f>
        <v>213</v>
      </c>
      <c r="D18">
        <f t="shared" si="0"/>
        <v>16.099773242630384</v>
      </c>
    </row>
    <row r="19" spans="1:4" x14ac:dyDescent="0.3">
      <c r="A19">
        <f t="shared" si="1"/>
        <v>2007</v>
      </c>
      <c r="B19">
        <f>[1]REVIEW!B19</f>
        <v>1565</v>
      </c>
      <c r="C19">
        <f>[1]REVIEW!C19</f>
        <v>253</v>
      </c>
      <c r="D19">
        <f t="shared" si="0"/>
        <v>16.166134185303516</v>
      </c>
    </row>
    <row r="20" spans="1:4" x14ac:dyDescent="0.3">
      <c r="A20">
        <f t="shared" si="1"/>
        <v>2008</v>
      </c>
      <c r="B20">
        <f>[1]REVIEW!B20</f>
        <v>2058</v>
      </c>
      <c r="C20">
        <f>[1]REVIEW!C20</f>
        <v>347</v>
      </c>
      <c r="D20">
        <f t="shared" si="0"/>
        <v>16.861030126336249</v>
      </c>
    </row>
    <row r="21" spans="1:4" x14ac:dyDescent="0.3">
      <c r="A21">
        <f t="shared" ref="A21:A36" si="2">A19+2</f>
        <v>2009</v>
      </c>
      <c r="B21">
        <f>[1]REVIEW!B21</f>
        <v>2546</v>
      </c>
      <c r="C21">
        <f>[1]REVIEW!C21</f>
        <v>463</v>
      </c>
      <c r="D21">
        <f t="shared" si="0"/>
        <v>18.185388845247445</v>
      </c>
    </row>
    <row r="22" spans="1:4" x14ac:dyDescent="0.3">
      <c r="A22">
        <f t="shared" si="2"/>
        <v>2010</v>
      </c>
      <c r="B22">
        <f>[1]REVIEW!B22</f>
        <v>3812</v>
      </c>
      <c r="C22">
        <f>[1]REVIEW!C22</f>
        <v>713</v>
      </c>
      <c r="D22">
        <f t="shared" si="0"/>
        <v>18.704092339979013</v>
      </c>
    </row>
    <row r="23" spans="1:4" x14ac:dyDescent="0.3">
      <c r="A23">
        <f t="shared" si="2"/>
        <v>2011</v>
      </c>
      <c r="B23">
        <f>[1]REVIEW!B23</f>
        <v>4439</v>
      </c>
      <c r="C23">
        <f>[1]REVIEW!C23</f>
        <v>707</v>
      </c>
      <c r="D23">
        <f t="shared" si="0"/>
        <v>15.927010587970264</v>
      </c>
    </row>
    <row r="24" spans="1:4" x14ac:dyDescent="0.3">
      <c r="A24">
        <f>A22+2</f>
        <v>2012</v>
      </c>
      <c r="B24">
        <f>[1]REVIEW!B24</f>
        <v>6045</v>
      </c>
      <c r="C24">
        <f>[1]REVIEW!C24</f>
        <v>964</v>
      </c>
      <c r="D24">
        <f t="shared" si="0"/>
        <v>15.947063688999172</v>
      </c>
    </row>
    <row r="25" spans="1:4" x14ac:dyDescent="0.3">
      <c r="A25">
        <f t="shared" si="2"/>
        <v>2013</v>
      </c>
      <c r="B25">
        <f>[1]REVIEW!B25</f>
        <v>10802</v>
      </c>
      <c r="C25">
        <f>[1]REVIEW!C25</f>
        <v>1709</v>
      </c>
      <c r="D25">
        <f t="shared" si="0"/>
        <v>15.821144232549528</v>
      </c>
    </row>
    <row r="26" spans="1:4" x14ac:dyDescent="0.3">
      <c r="A26">
        <f t="shared" si="2"/>
        <v>2014</v>
      </c>
      <c r="B26">
        <f>[1]REVIEW!B26</f>
        <v>17325</v>
      </c>
      <c r="C26">
        <f>[1]REVIEW!C26</f>
        <v>2908</v>
      </c>
      <c r="D26">
        <f t="shared" si="0"/>
        <v>16.784992784992784</v>
      </c>
    </row>
    <row r="27" spans="1:4" x14ac:dyDescent="0.3">
      <c r="A27">
        <f t="shared" si="2"/>
        <v>2015</v>
      </c>
      <c r="B27">
        <f>[1]REVIEW!B27</f>
        <v>19202</v>
      </c>
      <c r="C27">
        <f>[1]REVIEW!C27</f>
        <v>3265</v>
      </c>
      <c r="D27">
        <f t="shared" si="0"/>
        <v>17.00343714196438</v>
      </c>
    </row>
    <row r="28" spans="1:4" x14ac:dyDescent="0.3">
      <c r="A28">
        <f t="shared" si="2"/>
        <v>2016</v>
      </c>
      <c r="B28">
        <f>[1]REVIEW!B28</f>
        <v>21393</v>
      </c>
      <c r="C28">
        <f>[1]REVIEW!C28</f>
        <v>3850</v>
      </c>
      <c r="D28">
        <f t="shared" si="0"/>
        <v>17.996540924601508</v>
      </c>
    </row>
    <row r="29" spans="1:4" x14ac:dyDescent="0.3">
      <c r="A29">
        <f t="shared" si="2"/>
        <v>2017</v>
      </c>
      <c r="B29">
        <f>[1]REVIEW!B29</f>
        <v>24074</v>
      </c>
      <c r="C29">
        <f>[1]REVIEW!C29</f>
        <v>4248</v>
      </c>
      <c r="D29">
        <f t="shared" si="0"/>
        <v>17.645592755670016</v>
      </c>
    </row>
    <row r="30" spans="1:4" x14ac:dyDescent="0.3">
      <c r="A30">
        <f t="shared" si="2"/>
        <v>2018</v>
      </c>
      <c r="B30">
        <f>[1]REVIEW!B30</f>
        <v>28490</v>
      </c>
      <c r="C30">
        <f>[1]REVIEW!C30</f>
        <v>4835</v>
      </c>
      <c r="D30">
        <f t="shared" si="0"/>
        <v>16.970866970866972</v>
      </c>
    </row>
    <row r="31" spans="1:4" x14ac:dyDescent="0.3">
      <c r="A31">
        <f t="shared" si="2"/>
        <v>2019</v>
      </c>
      <c r="B31">
        <f>[1]REVIEW!B31</f>
        <v>32879</v>
      </c>
      <c r="C31">
        <f>[1]REVIEW!C31</f>
        <v>5656</v>
      </c>
      <c r="D31">
        <f t="shared" si="0"/>
        <v>17.202469661486056</v>
      </c>
    </row>
    <row r="32" spans="1:4" x14ac:dyDescent="0.3">
      <c r="A32">
        <f t="shared" si="2"/>
        <v>2020</v>
      </c>
      <c r="B32">
        <f>[1]REVIEW!B32</f>
        <v>52232</v>
      </c>
      <c r="C32">
        <f>[1]REVIEW!C32</f>
        <v>8690</v>
      </c>
      <c r="D32">
        <f t="shared" si="0"/>
        <v>16.637310461020064</v>
      </c>
    </row>
    <row r="33" spans="1:4" x14ac:dyDescent="0.3">
      <c r="A33">
        <f t="shared" si="2"/>
        <v>2021</v>
      </c>
      <c r="B33">
        <f>[1]REVIEW!B33</f>
        <v>73226</v>
      </c>
      <c r="C33">
        <f>[1]REVIEW!C33</f>
        <v>12993</v>
      </c>
      <c r="D33">
        <f t="shared" si="0"/>
        <v>17.743697593750856</v>
      </c>
    </row>
    <row r="34" spans="1:4" x14ac:dyDescent="0.3">
      <c r="A34">
        <f t="shared" si="2"/>
        <v>2022</v>
      </c>
      <c r="B34">
        <f>[1]REVIEW!B34</f>
        <v>77880</v>
      </c>
      <c r="C34">
        <f>[1]REVIEW!C34</f>
        <v>14845</v>
      </c>
      <c r="D34">
        <f t="shared" si="0"/>
        <v>19.061376476630716</v>
      </c>
    </row>
    <row r="35" spans="1:4" x14ac:dyDescent="0.3">
      <c r="A35">
        <f t="shared" si="2"/>
        <v>2023</v>
      </c>
      <c r="B35">
        <f>[1]REVIEW!B35</f>
        <v>71057</v>
      </c>
      <c r="C35">
        <f>[1]REVIEW!C35</f>
        <v>14539</v>
      </c>
      <c r="D35">
        <f t="shared" si="0"/>
        <v>20.461038321347651</v>
      </c>
    </row>
    <row r="36" spans="1:4" x14ac:dyDescent="0.3">
      <c r="A36">
        <f t="shared" si="2"/>
        <v>2024</v>
      </c>
      <c r="B36">
        <f>[1]REVIEW!B36</f>
        <v>65442</v>
      </c>
      <c r="C36">
        <f>[1]REVIEW!C36</f>
        <v>13276</v>
      </c>
      <c r="D36">
        <f t="shared" si="0"/>
        <v>20.286666055438403</v>
      </c>
    </row>
    <row r="37" spans="1:4" x14ac:dyDescent="0.3">
      <c r="A37">
        <v>2025</v>
      </c>
      <c r="B37">
        <f>[1]REVIEW!B37</f>
        <v>41287</v>
      </c>
      <c r="C37">
        <f>[1]REVIEW!C37</f>
        <v>8673</v>
      </c>
      <c r="D37">
        <f t="shared" si="0"/>
        <v>21.006612250829559</v>
      </c>
    </row>
    <row r="38" spans="1:4" x14ac:dyDescent="0.3">
      <c r="A38" t="s">
        <v>8</v>
      </c>
      <c r="B38">
        <f>[1]REVIEW!B38</f>
        <v>560454</v>
      </c>
      <c r="C38">
        <f>[1]REVIEW!C38</f>
        <v>103542</v>
      </c>
    </row>
    <row r="39" spans="1:4" x14ac:dyDescent="0.3">
      <c r="A39" t="s">
        <v>6</v>
      </c>
      <c r="B39">
        <f>[1]REVIEW!B39</f>
        <v>77880</v>
      </c>
      <c r="C39">
        <f>[1]REVIEW!C39</f>
        <v>14845</v>
      </c>
      <c r="D39">
        <f>MAX(D2:D37)</f>
        <v>21.006612250829559</v>
      </c>
    </row>
    <row r="40" spans="1:4" x14ac:dyDescent="0.3">
      <c r="A40" t="s">
        <v>7</v>
      </c>
      <c r="B40">
        <f>[1]REVIEW!B40</f>
        <v>2</v>
      </c>
      <c r="C40">
        <f>[1]REVIEW!C40</f>
        <v>0</v>
      </c>
      <c r="D40">
        <f>MIN(D2:D37)</f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workbookViewId="0">
      <selection activeCell="C14" sqref="C14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[1]CCJ!B1</f>
        <v>Total article count</v>
      </c>
      <c r="C1" t="str">
        <f>[1]CCJ!C1</f>
        <v>HasPvalue</v>
      </c>
      <c r="D1" t="s">
        <v>1</v>
      </c>
    </row>
    <row r="2" spans="1:4" x14ac:dyDescent="0.3">
      <c r="A2">
        <v>1990</v>
      </c>
      <c r="B2">
        <f>[1]CCJ!B2</f>
        <v>0</v>
      </c>
      <c r="C2">
        <f>[1]CCJ!C2</f>
        <v>0</v>
      </c>
      <c r="D2" t="e">
        <f>C2/B2*100</f>
        <v>#DIV/0!</v>
      </c>
    </row>
    <row r="3" spans="1:4" x14ac:dyDescent="0.3">
      <c r="A3">
        <v>1991</v>
      </c>
      <c r="B3">
        <f>[1]CCJ!B3</f>
        <v>0</v>
      </c>
      <c r="C3">
        <f>[1]CCJ!C3</f>
        <v>0</v>
      </c>
      <c r="D3" t="e">
        <f t="shared" ref="D3:D37" si="0">C3/B3*100</f>
        <v>#DIV/0!</v>
      </c>
    </row>
    <row r="4" spans="1:4" x14ac:dyDescent="0.3">
      <c r="A4">
        <f>A2+2</f>
        <v>1992</v>
      </c>
      <c r="B4">
        <f>[1]CCJ!B4</f>
        <v>1</v>
      </c>
      <c r="C4">
        <f>[1]CCJ!C4</f>
        <v>0</v>
      </c>
      <c r="D4">
        <f t="shared" si="0"/>
        <v>0</v>
      </c>
    </row>
    <row r="5" spans="1:4" x14ac:dyDescent="0.3">
      <c r="A5">
        <f t="shared" ref="A5:A20" si="1">A3+2</f>
        <v>1993</v>
      </c>
      <c r="B5">
        <f>[1]CCJ!B5</f>
        <v>0</v>
      </c>
      <c r="C5">
        <f>[1]CCJ!C5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[1]CCJ!B6</f>
        <v>0</v>
      </c>
      <c r="C6">
        <f>[1]CCJ!C6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[1]CCJ!B7</f>
        <v>4</v>
      </c>
      <c r="C7">
        <f>[1]CCJ!C7</f>
        <v>2</v>
      </c>
      <c r="D7">
        <f t="shared" si="0"/>
        <v>50</v>
      </c>
    </row>
    <row r="8" spans="1:4" x14ac:dyDescent="0.3">
      <c r="A8">
        <f t="shared" si="1"/>
        <v>1996</v>
      </c>
      <c r="B8">
        <f>[1]CCJ!B8</f>
        <v>8</v>
      </c>
      <c r="C8">
        <f>[1]CCJ!C8</f>
        <v>0</v>
      </c>
      <c r="D8">
        <f t="shared" si="0"/>
        <v>0</v>
      </c>
    </row>
    <row r="9" spans="1:4" x14ac:dyDescent="0.3">
      <c r="A9">
        <f t="shared" si="1"/>
        <v>1997</v>
      </c>
      <c r="B9">
        <f>[1]CCJ!B9</f>
        <v>7</v>
      </c>
      <c r="C9">
        <f>[1]CCJ!C9</f>
        <v>1</v>
      </c>
      <c r="D9">
        <f t="shared" si="0"/>
        <v>14.285714285714285</v>
      </c>
    </row>
    <row r="10" spans="1:4" x14ac:dyDescent="0.3">
      <c r="A10">
        <f t="shared" si="1"/>
        <v>1998</v>
      </c>
      <c r="B10">
        <f>[1]CCJ!B10</f>
        <v>6</v>
      </c>
      <c r="C10">
        <f>[1]CCJ!C10</f>
        <v>4</v>
      </c>
      <c r="D10">
        <f t="shared" si="0"/>
        <v>66.666666666666657</v>
      </c>
    </row>
    <row r="11" spans="1:4" x14ac:dyDescent="0.3">
      <c r="A11">
        <f t="shared" si="1"/>
        <v>1999</v>
      </c>
      <c r="B11">
        <f>[1]CCJ!B11</f>
        <v>10</v>
      </c>
      <c r="C11">
        <f>[1]CCJ!C11</f>
        <v>3</v>
      </c>
      <c r="D11">
        <f t="shared" si="0"/>
        <v>30</v>
      </c>
    </row>
    <row r="12" spans="1:4" x14ac:dyDescent="0.3">
      <c r="A12">
        <f t="shared" si="1"/>
        <v>2000</v>
      </c>
      <c r="B12">
        <f>[1]CCJ!B12</f>
        <v>11</v>
      </c>
      <c r="C12">
        <f>[1]CCJ!C12</f>
        <v>6</v>
      </c>
      <c r="D12">
        <f t="shared" si="0"/>
        <v>54.54545454545454</v>
      </c>
    </row>
    <row r="13" spans="1:4" x14ac:dyDescent="0.3">
      <c r="A13">
        <f t="shared" si="1"/>
        <v>2001</v>
      </c>
      <c r="B13">
        <f>[1]CCJ!B13</f>
        <v>12</v>
      </c>
      <c r="C13">
        <f>[1]CCJ!C13</f>
        <v>4</v>
      </c>
      <c r="D13">
        <f t="shared" si="0"/>
        <v>33.333333333333329</v>
      </c>
    </row>
    <row r="14" spans="1:4" x14ac:dyDescent="0.3">
      <c r="A14">
        <f t="shared" si="1"/>
        <v>2002</v>
      </c>
      <c r="B14">
        <f>[1]CCJ!B14</f>
        <v>618</v>
      </c>
      <c r="C14">
        <f>[1]CCJ!C14</f>
        <v>377</v>
      </c>
      <c r="D14">
        <f t="shared" si="0"/>
        <v>61.003236245954696</v>
      </c>
    </row>
    <row r="15" spans="1:4" x14ac:dyDescent="0.3">
      <c r="A15">
        <f t="shared" si="1"/>
        <v>2003</v>
      </c>
      <c r="B15">
        <f>[1]CCJ!B15</f>
        <v>918</v>
      </c>
      <c r="C15">
        <f>[1]CCJ!C15</f>
        <v>468</v>
      </c>
      <c r="D15">
        <f t="shared" si="0"/>
        <v>50.980392156862742</v>
      </c>
    </row>
    <row r="16" spans="1:4" x14ac:dyDescent="0.3">
      <c r="A16">
        <f t="shared" si="1"/>
        <v>2004</v>
      </c>
      <c r="B16">
        <f>[1]CCJ!B16</f>
        <v>958</v>
      </c>
      <c r="C16">
        <f>[1]CCJ!C16</f>
        <v>506</v>
      </c>
      <c r="D16">
        <f t="shared" si="0"/>
        <v>52.818371607515658</v>
      </c>
    </row>
    <row r="17" spans="1:4" x14ac:dyDescent="0.3">
      <c r="A17">
        <f t="shared" si="1"/>
        <v>2005</v>
      </c>
      <c r="B17">
        <f>[1]CCJ!B17</f>
        <v>730</v>
      </c>
      <c r="C17">
        <f>[1]CCJ!C17</f>
        <v>411</v>
      </c>
      <c r="D17">
        <f t="shared" si="0"/>
        <v>56.301369863013697</v>
      </c>
    </row>
    <row r="18" spans="1:4" x14ac:dyDescent="0.3">
      <c r="A18">
        <f t="shared" si="1"/>
        <v>2006</v>
      </c>
      <c r="B18">
        <f>[1]CCJ!B18</f>
        <v>750</v>
      </c>
      <c r="C18">
        <f>[1]CCJ!C18</f>
        <v>424</v>
      </c>
      <c r="D18">
        <f t="shared" si="0"/>
        <v>56.533333333333339</v>
      </c>
    </row>
    <row r="19" spans="1:4" x14ac:dyDescent="0.3">
      <c r="A19">
        <f t="shared" si="1"/>
        <v>2007</v>
      </c>
      <c r="B19">
        <f>[1]CCJ!B19</f>
        <v>985</v>
      </c>
      <c r="C19">
        <f>[1]CCJ!C19</f>
        <v>551</v>
      </c>
      <c r="D19">
        <f t="shared" si="0"/>
        <v>55.939086294416242</v>
      </c>
    </row>
    <row r="20" spans="1:4" x14ac:dyDescent="0.3">
      <c r="A20">
        <f t="shared" si="1"/>
        <v>2008</v>
      </c>
      <c r="B20">
        <f>[1]CCJ!B20</f>
        <v>1765</v>
      </c>
      <c r="C20">
        <f>[1]CCJ!C20</f>
        <v>1052</v>
      </c>
      <c r="D20">
        <f t="shared" si="0"/>
        <v>59.603399433427761</v>
      </c>
    </row>
    <row r="21" spans="1:4" x14ac:dyDescent="0.3">
      <c r="A21">
        <f t="shared" ref="A21:A36" si="2">A19+2</f>
        <v>2009</v>
      </c>
      <c r="B21">
        <f>[1]CCJ!B21</f>
        <v>2244</v>
      </c>
      <c r="C21">
        <f>[1]CCJ!C21</f>
        <v>1468</v>
      </c>
      <c r="D21">
        <f t="shared" si="0"/>
        <v>65.418894830659539</v>
      </c>
    </row>
    <row r="22" spans="1:4" x14ac:dyDescent="0.3">
      <c r="A22">
        <f t="shared" si="2"/>
        <v>2010</v>
      </c>
      <c r="B22">
        <f>[1]CCJ!B22</f>
        <v>2381</v>
      </c>
      <c r="C22">
        <f>[1]CCJ!C22</f>
        <v>1585</v>
      </c>
      <c r="D22">
        <f t="shared" si="0"/>
        <v>66.568668626627471</v>
      </c>
    </row>
    <row r="23" spans="1:4" x14ac:dyDescent="0.3">
      <c r="A23">
        <f t="shared" si="2"/>
        <v>2011</v>
      </c>
      <c r="B23">
        <f>[1]CCJ!B23</f>
        <v>2625</v>
      </c>
      <c r="C23">
        <f>[1]CCJ!C23</f>
        <v>1724</v>
      </c>
      <c r="D23">
        <f t="shared" si="0"/>
        <v>65.67619047619047</v>
      </c>
    </row>
    <row r="24" spans="1:4" x14ac:dyDescent="0.3">
      <c r="A24">
        <f>A22+2</f>
        <v>2012</v>
      </c>
      <c r="B24">
        <f>[1]CCJ!B24</f>
        <v>2834</v>
      </c>
      <c r="C24">
        <f>[1]CCJ!C24</f>
        <v>1842</v>
      </c>
      <c r="D24">
        <f t="shared" si="0"/>
        <v>64.996471418489762</v>
      </c>
    </row>
    <row r="25" spans="1:4" x14ac:dyDescent="0.3">
      <c r="A25">
        <f t="shared" si="2"/>
        <v>2013</v>
      </c>
      <c r="B25">
        <f>[1]CCJ!B25</f>
        <v>3865</v>
      </c>
      <c r="C25">
        <f>[1]CCJ!C25</f>
        <v>2472</v>
      </c>
      <c r="D25">
        <f t="shared" si="0"/>
        <v>63.958602846054333</v>
      </c>
    </row>
    <row r="26" spans="1:4" x14ac:dyDescent="0.3">
      <c r="A26">
        <f t="shared" si="2"/>
        <v>2014</v>
      </c>
      <c r="B26">
        <f>[1]CCJ!B26</f>
        <v>4083</v>
      </c>
      <c r="C26">
        <f>[1]CCJ!C26</f>
        <v>2646</v>
      </c>
      <c r="D26">
        <f t="shared" si="0"/>
        <v>64.805290227773696</v>
      </c>
    </row>
    <row r="27" spans="1:4" x14ac:dyDescent="0.3">
      <c r="A27">
        <f t="shared" si="2"/>
        <v>2015</v>
      </c>
      <c r="B27">
        <f>[1]CCJ!B27</f>
        <v>5830</v>
      </c>
      <c r="C27">
        <f>[1]CCJ!C27</f>
        <v>3847</v>
      </c>
      <c r="D27">
        <f t="shared" si="0"/>
        <v>65.986277873070335</v>
      </c>
    </row>
    <row r="28" spans="1:4" x14ac:dyDescent="0.3">
      <c r="A28">
        <f t="shared" si="2"/>
        <v>2016</v>
      </c>
      <c r="B28">
        <f>[1]CCJ!B28</f>
        <v>7337</v>
      </c>
      <c r="C28">
        <f>[1]CCJ!C28</f>
        <v>4867</v>
      </c>
      <c r="D28">
        <f t="shared" si="0"/>
        <v>66.335014311026313</v>
      </c>
    </row>
    <row r="29" spans="1:4" x14ac:dyDescent="0.3">
      <c r="A29">
        <f t="shared" si="2"/>
        <v>2017</v>
      </c>
      <c r="B29">
        <f>[1]CCJ!B29</f>
        <v>7990</v>
      </c>
      <c r="C29">
        <f>[1]CCJ!C29</f>
        <v>4720</v>
      </c>
      <c r="D29">
        <f t="shared" si="0"/>
        <v>59.073842302878596</v>
      </c>
    </row>
    <row r="30" spans="1:4" x14ac:dyDescent="0.3">
      <c r="A30">
        <f t="shared" si="2"/>
        <v>2018</v>
      </c>
      <c r="B30">
        <f>[1]CCJ!B30</f>
        <v>8916</v>
      </c>
      <c r="C30">
        <f>[1]CCJ!C30</f>
        <v>5149</v>
      </c>
      <c r="D30">
        <f t="shared" si="0"/>
        <v>57.750112157918352</v>
      </c>
    </row>
    <row r="31" spans="1:4" x14ac:dyDescent="0.3">
      <c r="A31">
        <f t="shared" si="2"/>
        <v>2019</v>
      </c>
      <c r="B31">
        <f>[1]CCJ!B31</f>
        <v>10152</v>
      </c>
      <c r="C31">
        <f>[1]CCJ!C31</f>
        <v>5688</v>
      </c>
      <c r="D31">
        <f t="shared" si="0"/>
        <v>56.028368794326241</v>
      </c>
    </row>
    <row r="32" spans="1:4" x14ac:dyDescent="0.3">
      <c r="A32">
        <f t="shared" si="2"/>
        <v>2020</v>
      </c>
      <c r="B32">
        <f>[1]CCJ!B32</f>
        <v>17359</v>
      </c>
      <c r="C32">
        <f>[1]CCJ!C32</f>
        <v>7965</v>
      </c>
      <c r="D32">
        <f t="shared" si="0"/>
        <v>45.883979491906217</v>
      </c>
    </row>
    <row r="33" spans="1:4" x14ac:dyDescent="0.3">
      <c r="A33">
        <f t="shared" si="2"/>
        <v>2021</v>
      </c>
      <c r="B33">
        <f>[1]CCJ!B33</f>
        <v>19099</v>
      </c>
      <c r="C33">
        <f>[1]CCJ!C33</f>
        <v>9519</v>
      </c>
      <c r="D33">
        <f t="shared" si="0"/>
        <v>49.840305775171473</v>
      </c>
    </row>
    <row r="34" spans="1:4" x14ac:dyDescent="0.3">
      <c r="A34">
        <f t="shared" si="2"/>
        <v>2022</v>
      </c>
      <c r="B34">
        <f>[1]CCJ!B34</f>
        <v>18468</v>
      </c>
      <c r="C34">
        <f>[1]CCJ!C34</f>
        <v>10029</v>
      </c>
      <c r="D34">
        <f t="shared" si="0"/>
        <v>54.304743339831063</v>
      </c>
    </row>
    <row r="35" spans="1:4" x14ac:dyDescent="0.3">
      <c r="A35">
        <f t="shared" si="2"/>
        <v>2023</v>
      </c>
      <c r="B35">
        <f>[1]CCJ!B35</f>
        <v>13801</v>
      </c>
      <c r="C35">
        <f>[1]CCJ!C35</f>
        <v>7937</v>
      </c>
      <c r="D35">
        <f t="shared" si="0"/>
        <v>57.51032533874357</v>
      </c>
    </row>
    <row r="36" spans="1:4" x14ac:dyDescent="0.3">
      <c r="A36">
        <f t="shared" si="2"/>
        <v>2024</v>
      </c>
      <c r="B36">
        <f>[1]CCJ!B36</f>
        <v>11967</v>
      </c>
      <c r="C36">
        <f>[1]CCJ!C36</f>
        <v>7222</v>
      </c>
      <c r="D36">
        <f t="shared" si="0"/>
        <v>60.349293891535048</v>
      </c>
    </row>
    <row r="37" spans="1:4" x14ac:dyDescent="0.3">
      <c r="A37">
        <v>2025</v>
      </c>
      <c r="B37">
        <f>[1]CCJ!B37</f>
        <v>11252</v>
      </c>
      <c r="C37">
        <f>[1]CCJ!C37</f>
        <v>6659</v>
      </c>
      <c r="D37">
        <f t="shared" si="0"/>
        <v>59.180590117312484</v>
      </c>
    </row>
    <row r="38" spans="1:4" x14ac:dyDescent="0.3">
      <c r="A38" t="s">
        <v>8</v>
      </c>
      <c r="B38">
        <f>[1]CCJ!B38</f>
        <v>156986</v>
      </c>
      <c r="C38">
        <f>[1]CCJ!C38</f>
        <v>89148</v>
      </c>
    </row>
    <row r="39" spans="1:4" x14ac:dyDescent="0.3">
      <c r="A39" t="s">
        <v>6</v>
      </c>
      <c r="B39">
        <f>[1]CCJ!B39</f>
        <v>19099</v>
      </c>
      <c r="C39">
        <f>[1]CCJ!C39</f>
        <v>10029</v>
      </c>
      <c r="D39" t="e">
        <f>MAX(D2:D37)</f>
        <v>#DIV/0!</v>
      </c>
    </row>
    <row r="40" spans="1:4" x14ac:dyDescent="0.3">
      <c r="A40" t="s">
        <v>7</v>
      </c>
      <c r="B40">
        <f>[1]CCJ!B40</f>
        <v>0</v>
      </c>
      <c r="C40">
        <f>[1]CCJ!C40</f>
        <v>0</v>
      </c>
      <c r="D40" t="e">
        <f>MIN(D2:D37)</f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F40"/>
  <sheetViews>
    <sheetView tabSelected="1" workbookViewId="0">
      <selection activeCell="E2" sqref="E2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</row>
    <row r="2" spans="1:6" x14ac:dyDescent="0.3">
      <c r="A2">
        <v>1990</v>
      </c>
      <c r="B2">
        <f>[1]ALL!B2</f>
        <v>230</v>
      </c>
      <c r="C2">
        <f>[1]ALL!C2</f>
        <v>12</v>
      </c>
      <c r="D2">
        <f>C2/B2*100</f>
        <v>5.2173913043478262</v>
      </c>
      <c r="E2">
        <f>D2-1.96*SQRT(D2*(100-D2)/B2)</f>
        <v>2.3434149731422131</v>
      </c>
      <c r="F2">
        <f>D2+1.96*SQRT(D2*(100-D2)/B2)</f>
        <v>8.0913676355534392</v>
      </c>
    </row>
    <row r="3" spans="1:6" x14ac:dyDescent="0.3">
      <c r="A3">
        <v>1991</v>
      </c>
      <c r="B3">
        <f>[1]ALL!B3</f>
        <v>247</v>
      </c>
      <c r="C3">
        <f>[1]ALL!C3</f>
        <v>11</v>
      </c>
      <c r="D3">
        <f t="shared" ref="D3:D37" si="0">C3/B3*100</f>
        <v>4.4534412955465585</v>
      </c>
      <c r="E3">
        <f t="shared" ref="E3:E37" si="1">D3-1.96*SQRT(D3*(100-D3)/B3)</f>
        <v>1.8808962648918559</v>
      </c>
      <c r="F3">
        <f t="shared" ref="F3:F37" si="2">D3+1.96*SQRT(D3*(100-D3)/B3)</f>
        <v>7.0259863262012612</v>
      </c>
    </row>
    <row r="4" spans="1:6" x14ac:dyDescent="0.3">
      <c r="A4">
        <f>A2+2</f>
        <v>1992</v>
      </c>
      <c r="B4">
        <f>[1]ALL!B4</f>
        <v>223</v>
      </c>
      <c r="C4">
        <f>[1]ALL!C4</f>
        <v>14</v>
      </c>
      <c r="D4">
        <f t="shared" si="0"/>
        <v>6.2780269058295968</v>
      </c>
      <c r="E4">
        <f t="shared" si="1"/>
        <v>3.0942990470819858</v>
      </c>
      <c r="F4">
        <f t="shared" si="2"/>
        <v>9.4617547645772078</v>
      </c>
    </row>
    <row r="5" spans="1:6" x14ac:dyDescent="0.3">
      <c r="A5">
        <f t="shared" ref="A5:A20" si="3">A3+2</f>
        <v>1993</v>
      </c>
      <c r="B5">
        <f>[1]ALL!B5</f>
        <v>218</v>
      </c>
      <c r="C5">
        <f>[1]ALL!C5</f>
        <v>16</v>
      </c>
      <c r="D5">
        <f t="shared" si="0"/>
        <v>7.3394495412844041</v>
      </c>
      <c r="E5">
        <f t="shared" si="1"/>
        <v>3.8776094192841923</v>
      </c>
      <c r="F5">
        <f t="shared" si="2"/>
        <v>10.801289663284615</v>
      </c>
    </row>
    <row r="6" spans="1:6" x14ac:dyDescent="0.3">
      <c r="A6">
        <f t="shared" si="3"/>
        <v>1994</v>
      </c>
      <c r="B6">
        <f>[1]ALL!B6</f>
        <v>324</v>
      </c>
      <c r="C6">
        <f>[1]ALL!C6</f>
        <v>34</v>
      </c>
      <c r="D6">
        <f t="shared" si="0"/>
        <v>10.493827160493826</v>
      </c>
      <c r="E6">
        <f t="shared" si="1"/>
        <v>7.156667282425162</v>
      </c>
      <c r="F6">
        <f t="shared" si="2"/>
        <v>13.83098703856249</v>
      </c>
    </row>
    <row r="7" spans="1:6" x14ac:dyDescent="0.3">
      <c r="A7">
        <f t="shared" si="3"/>
        <v>1995</v>
      </c>
      <c r="B7">
        <f>[1]ALL!B7</f>
        <v>315</v>
      </c>
      <c r="C7">
        <f>[1]ALL!C7</f>
        <v>32</v>
      </c>
      <c r="D7">
        <f t="shared" si="0"/>
        <v>10.158730158730158</v>
      </c>
      <c r="E7">
        <f t="shared" si="1"/>
        <v>6.8224812280750022</v>
      </c>
      <c r="F7">
        <f t="shared" si="2"/>
        <v>13.494979089385314</v>
      </c>
    </row>
    <row r="8" spans="1:6" x14ac:dyDescent="0.3">
      <c r="A8">
        <f t="shared" si="3"/>
        <v>1996</v>
      </c>
      <c r="B8">
        <f>[1]ALL!B8</f>
        <v>366</v>
      </c>
      <c r="C8">
        <f>[1]ALL!C8</f>
        <v>43</v>
      </c>
      <c r="D8">
        <f t="shared" si="0"/>
        <v>11.748633879781421</v>
      </c>
      <c r="E8">
        <f t="shared" si="1"/>
        <v>8.4497279450042448</v>
      </c>
      <c r="F8">
        <f t="shared" si="2"/>
        <v>15.047539814558597</v>
      </c>
    </row>
    <row r="9" spans="1:6" x14ac:dyDescent="0.3">
      <c r="A9">
        <f t="shared" si="3"/>
        <v>1997</v>
      </c>
      <c r="B9">
        <f>[1]ALL!B9</f>
        <v>1647</v>
      </c>
      <c r="C9">
        <f>[1]ALL!C9</f>
        <v>292</v>
      </c>
      <c r="D9">
        <f t="shared" si="0"/>
        <v>17.729204614450516</v>
      </c>
      <c r="E9">
        <f t="shared" si="1"/>
        <v>15.884712741852029</v>
      </c>
      <c r="F9">
        <f t="shared" si="2"/>
        <v>19.573696487049006</v>
      </c>
    </row>
    <row r="10" spans="1:6" x14ac:dyDescent="0.3">
      <c r="A10">
        <f t="shared" si="3"/>
        <v>1998</v>
      </c>
      <c r="B10">
        <f>[1]ALL!B10</f>
        <v>1753</v>
      </c>
      <c r="C10">
        <f>[1]ALL!C10</f>
        <v>359</v>
      </c>
      <c r="D10">
        <f t="shared" si="0"/>
        <v>20.479178551055334</v>
      </c>
      <c r="E10">
        <f t="shared" si="1"/>
        <v>18.590048709514772</v>
      </c>
      <c r="F10">
        <f t="shared" si="2"/>
        <v>22.368308392595896</v>
      </c>
    </row>
    <row r="11" spans="1:6" x14ac:dyDescent="0.3">
      <c r="A11">
        <f t="shared" si="3"/>
        <v>1999</v>
      </c>
      <c r="B11">
        <f>[1]ALL!B11</f>
        <v>1940</v>
      </c>
      <c r="C11">
        <f>[1]ALL!C11</f>
        <v>405</v>
      </c>
      <c r="D11">
        <f t="shared" si="0"/>
        <v>20.876288659793815</v>
      </c>
      <c r="E11">
        <f t="shared" si="1"/>
        <v>19.067719262160768</v>
      </c>
      <c r="F11">
        <f t="shared" si="2"/>
        <v>22.684858057426862</v>
      </c>
    </row>
    <row r="12" spans="1:6" x14ac:dyDescent="0.3">
      <c r="A12">
        <f t="shared" si="3"/>
        <v>2000</v>
      </c>
      <c r="B12">
        <f>[1]ALL!B12</f>
        <v>2698</v>
      </c>
      <c r="C12">
        <f>[1]ALL!C12</f>
        <v>542</v>
      </c>
      <c r="D12">
        <f t="shared" si="0"/>
        <v>20.088954781319497</v>
      </c>
      <c r="E12">
        <f t="shared" si="1"/>
        <v>18.577075293416101</v>
      </c>
      <c r="F12">
        <f t="shared" si="2"/>
        <v>21.600834269222894</v>
      </c>
    </row>
    <row r="13" spans="1:6" x14ac:dyDescent="0.3">
      <c r="A13">
        <f t="shared" si="3"/>
        <v>2001</v>
      </c>
      <c r="B13">
        <f>[1]ALL!B13</f>
        <v>3733</v>
      </c>
      <c r="C13">
        <f>[1]ALL!C13</f>
        <v>978</v>
      </c>
      <c r="D13">
        <f t="shared" si="0"/>
        <v>26.198767747120279</v>
      </c>
      <c r="E13">
        <f t="shared" si="1"/>
        <v>24.78818257121042</v>
      </c>
      <c r="F13">
        <f t="shared" si="2"/>
        <v>27.609352923030137</v>
      </c>
    </row>
    <row r="14" spans="1:6" x14ac:dyDescent="0.3">
      <c r="A14">
        <f t="shared" si="3"/>
        <v>2002</v>
      </c>
      <c r="B14">
        <f>[1]ALL!B14</f>
        <v>5091</v>
      </c>
      <c r="C14">
        <f>[1]ALL!C14</f>
        <v>1658</v>
      </c>
      <c r="D14">
        <f t="shared" si="0"/>
        <v>32.567275584364566</v>
      </c>
      <c r="E14">
        <f t="shared" si="1"/>
        <v>31.279973149730356</v>
      </c>
      <c r="F14">
        <f t="shared" si="2"/>
        <v>33.854578018998772</v>
      </c>
    </row>
    <row r="15" spans="1:6" x14ac:dyDescent="0.3">
      <c r="A15">
        <f t="shared" si="3"/>
        <v>2003</v>
      </c>
      <c r="B15">
        <f>[1]ALL!B15</f>
        <v>7005</v>
      </c>
      <c r="C15">
        <f>[1]ALL!C15</f>
        <v>2305</v>
      </c>
      <c r="D15">
        <f t="shared" si="0"/>
        <v>32.905067808708068</v>
      </c>
      <c r="E15">
        <f t="shared" si="1"/>
        <v>31.804724375990013</v>
      </c>
      <c r="F15">
        <f t="shared" si="2"/>
        <v>34.005411241426124</v>
      </c>
    </row>
    <row r="16" spans="1:6" x14ac:dyDescent="0.3">
      <c r="A16">
        <f t="shared" si="3"/>
        <v>2004</v>
      </c>
      <c r="B16">
        <f>[1]ALL!B16</f>
        <v>10246</v>
      </c>
      <c r="C16">
        <f>[1]ALL!C16</f>
        <v>3427</v>
      </c>
      <c r="D16">
        <f t="shared" si="0"/>
        <v>33.447198906890499</v>
      </c>
      <c r="E16">
        <f t="shared" si="1"/>
        <v>32.533628671713053</v>
      </c>
      <c r="F16">
        <f t="shared" si="2"/>
        <v>34.360769142067944</v>
      </c>
    </row>
    <row r="17" spans="1:6" x14ac:dyDescent="0.3">
      <c r="A17">
        <f t="shared" si="3"/>
        <v>2005</v>
      </c>
      <c r="B17">
        <f>[1]ALL!B17</f>
        <v>15662</v>
      </c>
      <c r="C17">
        <f>[1]ALL!C17</f>
        <v>5408</v>
      </c>
      <c r="D17">
        <f t="shared" si="0"/>
        <v>34.529434299578597</v>
      </c>
      <c r="E17">
        <f t="shared" si="1"/>
        <v>33.784787649790374</v>
      </c>
      <c r="F17">
        <f t="shared" si="2"/>
        <v>35.274080949366819</v>
      </c>
    </row>
    <row r="18" spans="1:6" x14ac:dyDescent="0.3">
      <c r="A18">
        <f t="shared" si="3"/>
        <v>2006</v>
      </c>
      <c r="B18">
        <f>[1]ALL!B18</f>
        <v>20055</v>
      </c>
      <c r="C18">
        <f>[1]ALL!C18</f>
        <v>7289</v>
      </c>
      <c r="D18">
        <f t="shared" si="0"/>
        <v>36.345051109449017</v>
      </c>
      <c r="E18">
        <f t="shared" si="1"/>
        <v>35.679343583069588</v>
      </c>
      <c r="F18">
        <f t="shared" si="2"/>
        <v>37.010758635828445</v>
      </c>
    </row>
    <row r="19" spans="1:6" x14ac:dyDescent="0.3">
      <c r="A19">
        <f t="shared" si="3"/>
        <v>2007</v>
      </c>
      <c r="B19">
        <f>[1]ALL!B19</f>
        <v>27529</v>
      </c>
      <c r="C19">
        <f>[1]ALL!C19</f>
        <v>10786</v>
      </c>
      <c r="D19">
        <f t="shared" si="0"/>
        <v>39.180500563042607</v>
      </c>
      <c r="E19">
        <f t="shared" si="1"/>
        <v>38.603843966695472</v>
      </c>
      <c r="F19">
        <f t="shared" si="2"/>
        <v>39.757157159389742</v>
      </c>
    </row>
    <row r="20" spans="1:6" x14ac:dyDescent="0.3">
      <c r="A20">
        <f t="shared" si="3"/>
        <v>2008</v>
      </c>
      <c r="B20">
        <f>[1]ALL!B20</f>
        <v>43398</v>
      </c>
      <c r="C20">
        <f>[1]ALL!C20</f>
        <v>16522</v>
      </c>
      <c r="D20">
        <f t="shared" si="0"/>
        <v>38.070878842342964</v>
      </c>
      <c r="E20">
        <f t="shared" si="1"/>
        <v>37.614037790012873</v>
      </c>
      <c r="F20">
        <f t="shared" si="2"/>
        <v>38.527719894673055</v>
      </c>
    </row>
    <row r="21" spans="1:6" x14ac:dyDescent="0.3">
      <c r="A21">
        <f t="shared" ref="A21:A36" si="4">A19+2</f>
        <v>2009</v>
      </c>
      <c r="B21">
        <f>[1]ALL!B21</f>
        <v>58835</v>
      </c>
      <c r="C21">
        <f>[1]ALL!C21</f>
        <v>23047</v>
      </c>
      <c r="D21">
        <f t="shared" si="0"/>
        <v>39.172261409025239</v>
      </c>
      <c r="E21">
        <f t="shared" si="1"/>
        <v>38.777823770613097</v>
      </c>
      <c r="F21">
        <f t="shared" si="2"/>
        <v>39.566699047437382</v>
      </c>
    </row>
    <row r="22" spans="1:6" x14ac:dyDescent="0.3">
      <c r="A22">
        <f t="shared" si="4"/>
        <v>2010</v>
      </c>
      <c r="B22">
        <f>[1]ALL!B22</f>
        <v>80146</v>
      </c>
      <c r="C22">
        <f>[1]ALL!C22</f>
        <v>33387</v>
      </c>
      <c r="D22">
        <f t="shared" si="0"/>
        <v>41.657724652509174</v>
      </c>
      <c r="E22">
        <f t="shared" si="1"/>
        <v>41.31641026219603</v>
      </c>
      <c r="F22">
        <f t="shared" si="2"/>
        <v>41.999039042822318</v>
      </c>
    </row>
    <row r="23" spans="1:6" x14ac:dyDescent="0.3">
      <c r="A23">
        <f t="shared" si="4"/>
        <v>2011</v>
      </c>
      <c r="B23">
        <f>[1]ALL!B23</f>
        <v>109511</v>
      </c>
      <c r="C23">
        <f>[1]ALL!C23</f>
        <v>47414</v>
      </c>
      <c r="D23">
        <f t="shared" si="0"/>
        <v>43.296107240368549</v>
      </c>
      <c r="E23">
        <f t="shared" si="1"/>
        <v>43.002641058609193</v>
      </c>
      <c r="F23">
        <f t="shared" si="2"/>
        <v>43.589573422127906</v>
      </c>
    </row>
    <row r="24" spans="1:6" x14ac:dyDescent="0.3">
      <c r="A24">
        <f>A22+2</f>
        <v>2012</v>
      </c>
      <c r="B24">
        <f>[1]ALL!B24</f>
        <v>146163</v>
      </c>
      <c r="C24">
        <f>[1]ALL!C24</f>
        <v>67238</v>
      </c>
      <c r="D24">
        <f t="shared" si="0"/>
        <v>46.002066186380958</v>
      </c>
      <c r="E24">
        <f t="shared" si="1"/>
        <v>45.746552253002761</v>
      </c>
      <c r="F24">
        <f t="shared" si="2"/>
        <v>46.257580119759155</v>
      </c>
    </row>
    <row r="25" spans="1:6" x14ac:dyDescent="0.3">
      <c r="A25">
        <f t="shared" si="4"/>
        <v>2013</v>
      </c>
      <c r="B25">
        <f>[1]ALL!B25</f>
        <v>184796</v>
      </c>
      <c r="C25">
        <f>[1]ALL!C25</f>
        <v>88843</v>
      </c>
      <c r="D25">
        <f t="shared" si="0"/>
        <v>48.076257061841169</v>
      </c>
      <c r="E25">
        <f t="shared" si="1"/>
        <v>47.848454760042642</v>
      </c>
      <c r="F25">
        <f t="shared" si="2"/>
        <v>48.304059363639695</v>
      </c>
    </row>
    <row r="26" spans="1:6" x14ac:dyDescent="0.3">
      <c r="A26">
        <f t="shared" si="4"/>
        <v>2014</v>
      </c>
      <c r="B26">
        <f>[1]ALL!B26</f>
        <v>221453</v>
      </c>
      <c r="C26">
        <f>[1]ALL!C26</f>
        <v>106587</v>
      </c>
      <c r="D26">
        <f t="shared" si="0"/>
        <v>48.130754607072376</v>
      </c>
      <c r="E26">
        <f t="shared" si="1"/>
        <v>47.922650051376671</v>
      </c>
      <c r="F26">
        <f t="shared" si="2"/>
        <v>48.338859162768081</v>
      </c>
    </row>
    <row r="27" spans="1:6" x14ac:dyDescent="0.3">
      <c r="A27">
        <f t="shared" si="4"/>
        <v>2015</v>
      </c>
      <c r="B27">
        <f>[1]ALL!B27</f>
        <v>252039</v>
      </c>
      <c r="C27">
        <f>[1]ALL!C27</f>
        <v>123219</v>
      </c>
      <c r="D27">
        <f t="shared" si="0"/>
        <v>48.888862437956035</v>
      </c>
      <c r="E27">
        <f t="shared" si="1"/>
        <v>48.693705076859601</v>
      </c>
      <c r="F27">
        <f t="shared" si="2"/>
        <v>49.08401979905247</v>
      </c>
    </row>
    <row r="28" spans="1:6" x14ac:dyDescent="0.3">
      <c r="A28">
        <f t="shared" si="4"/>
        <v>2016</v>
      </c>
      <c r="B28">
        <f>[1]ALL!B28</f>
        <v>274180</v>
      </c>
      <c r="C28">
        <f>[1]ALL!C28</f>
        <v>138200</v>
      </c>
      <c r="D28">
        <f t="shared" si="0"/>
        <v>50.404843533445188</v>
      </c>
      <c r="E28">
        <f t="shared" si="1"/>
        <v>50.21769175727556</v>
      </c>
      <c r="F28">
        <f t="shared" si="2"/>
        <v>50.591995309614816</v>
      </c>
    </row>
    <row r="29" spans="1:6" x14ac:dyDescent="0.3">
      <c r="A29">
        <f t="shared" si="4"/>
        <v>2017</v>
      </c>
      <c r="B29">
        <f>[1]ALL!B29</f>
        <v>306531</v>
      </c>
      <c r="C29">
        <f>[1]ALL!C29</f>
        <v>157356</v>
      </c>
      <c r="D29">
        <f t="shared" si="0"/>
        <v>51.334449044305472</v>
      </c>
      <c r="E29">
        <f t="shared" si="1"/>
        <v>51.157505735096827</v>
      </c>
      <c r="F29">
        <f t="shared" si="2"/>
        <v>51.511392353514118</v>
      </c>
    </row>
    <row r="30" spans="1:6" x14ac:dyDescent="0.3">
      <c r="A30">
        <f t="shared" si="4"/>
        <v>2018</v>
      </c>
      <c r="B30">
        <f>[1]ALL!B30</f>
        <v>339348</v>
      </c>
      <c r="C30">
        <f>[1]ALL!C30</f>
        <v>170166</v>
      </c>
      <c r="D30">
        <f t="shared" si="0"/>
        <v>50.144983910322146</v>
      </c>
      <c r="E30">
        <f t="shared" si="1"/>
        <v>49.976754623853047</v>
      </c>
      <c r="F30">
        <f t="shared" si="2"/>
        <v>50.313213196791246</v>
      </c>
    </row>
    <row r="31" spans="1:6" x14ac:dyDescent="0.3">
      <c r="A31">
        <f t="shared" si="4"/>
        <v>2019</v>
      </c>
      <c r="B31">
        <f>[1]ALL!B31</f>
        <v>390414</v>
      </c>
      <c r="C31">
        <f>[1]ALL!C31</f>
        <v>198433</v>
      </c>
      <c r="D31">
        <f t="shared" si="0"/>
        <v>50.826302335469528</v>
      </c>
      <c r="E31">
        <f t="shared" si="1"/>
        <v>50.669481388850592</v>
      </c>
      <c r="F31">
        <f t="shared" si="2"/>
        <v>50.983123282088464</v>
      </c>
    </row>
    <row r="32" spans="1:6" x14ac:dyDescent="0.3">
      <c r="A32">
        <f t="shared" si="4"/>
        <v>2020</v>
      </c>
      <c r="B32">
        <f>[1]ALL!B32</f>
        <v>542079</v>
      </c>
      <c r="C32">
        <f>[1]ALL!C32</f>
        <v>259936</v>
      </c>
      <c r="D32">
        <f t="shared" si="0"/>
        <v>47.951682319366732</v>
      </c>
      <c r="E32">
        <f t="shared" si="1"/>
        <v>47.818688930589197</v>
      </c>
      <c r="F32">
        <f t="shared" si="2"/>
        <v>48.084675708144268</v>
      </c>
    </row>
    <row r="33" spans="1:6" x14ac:dyDescent="0.3">
      <c r="A33">
        <f t="shared" si="4"/>
        <v>2021</v>
      </c>
      <c r="B33">
        <f>[1]ALL!B33</f>
        <v>677988</v>
      </c>
      <c r="C33">
        <f>[1]ALL!C33</f>
        <v>335807</v>
      </c>
      <c r="D33">
        <f t="shared" si="0"/>
        <v>49.52993268317433</v>
      </c>
      <c r="E33">
        <f t="shared" si="1"/>
        <v>49.410919278722794</v>
      </c>
      <c r="F33">
        <f t="shared" si="2"/>
        <v>49.648946087625866</v>
      </c>
    </row>
    <row r="34" spans="1:6" x14ac:dyDescent="0.3">
      <c r="A34">
        <f t="shared" si="4"/>
        <v>2022</v>
      </c>
      <c r="B34">
        <f>[1]ALL!B34</f>
        <v>769707</v>
      </c>
      <c r="C34">
        <f>[1]ALL!C34</f>
        <v>384088</v>
      </c>
      <c r="D34">
        <f t="shared" si="0"/>
        <v>49.900546571617511</v>
      </c>
      <c r="E34">
        <f t="shared" si="1"/>
        <v>49.788844173123557</v>
      </c>
      <c r="F34">
        <f t="shared" si="2"/>
        <v>50.012248970111465</v>
      </c>
    </row>
    <row r="35" spans="1:6" x14ac:dyDescent="0.3">
      <c r="A35">
        <f t="shared" si="4"/>
        <v>2023</v>
      </c>
      <c r="B35">
        <f>[1]ALL!B35</f>
        <v>693210</v>
      </c>
      <c r="C35">
        <f>[1]ALL!C35</f>
        <v>342239</v>
      </c>
      <c r="D35">
        <f t="shared" si="0"/>
        <v>49.370176425614169</v>
      </c>
      <c r="E35">
        <f t="shared" si="1"/>
        <v>49.252481101711751</v>
      </c>
      <c r="F35">
        <f t="shared" si="2"/>
        <v>49.487871749516586</v>
      </c>
    </row>
    <row r="36" spans="1:6" x14ac:dyDescent="0.3">
      <c r="A36">
        <f t="shared" si="4"/>
        <v>2024</v>
      </c>
      <c r="B36">
        <f>[1]ALL!B36</f>
        <v>683803</v>
      </c>
      <c r="C36">
        <f>[1]ALL!C36</f>
        <v>348872</v>
      </c>
      <c r="D36">
        <f t="shared" si="0"/>
        <v>51.019372538582019</v>
      </c>
      <c r="E36">
        <f t="shared" si="1"/>
        <v>50.900885648923364</v>
      </c>
      <c r="F36">
        <f t="shared" si="2"/>
        <v>51.137859428240674</v>
      </c>
    </row>
    <row r="37" spans="1:6" x14ac:dyDescent="0.3">
      <c r="A37">
        <v>2025</v>
      </c>
      <c r="B37">
        <f>[1]ALL!B37</f>
        <v>524904</v>
      </c>
      <c r="C37">
        <f>[1]ALL!C37</f>
        <v>279865</v>
      </c>
      <c r="D37">
        <f t="shared" si="0"/>
        <v>53.317368509289324</v>
      </c>
      <c r="E37">
        <f t="shared" si="1"/>
        <v>53.18240133729897</v>
      </c>
      <c r="F37">
        <f t="shared" si="2"/>
        <v>53.452335681279678</v>
      </c>
    </row>
    <row r="38" spans="1:6" x14ac:dyDescent="0.3">
      <c r="A38" t="s">
        <v>8</v>
      </c>
      <c r="B38">
        <f>[1]ALL!B38</f>
        <v>6397787</v>
      </c>
      <c r="C38">
        <f>[1]ALL!C38</f>
        <v>3154830</v>
      </c>
    </row>
    <row r="39" spans="1:6" x14ac:dyDescent="0.3">
      <c r="A39" t="s">
        <v>6</v>
      </c>
      <c r="B39">
        <f>[1]ALL!B39</f>
        <v>769707</v>
      </c>
      <c r="C39">
        <f>[1]ALL!C39</f>
        <v>384088</v>
      </c>
      <c r="D39">
        <f>MAX(D2:D37)</f>
        <v>53.317368509289324</v>
      </c>
    </row>
    <row r="40" spans="1:6" x14ac:dyDescent="0.3">
      <c r="A40" t="s">
        <v>7</v>
      </c>
      <c r="B40">
        <f>[1]ALL!B40</f>
        <v>218</v>
      </c>
      <c r="C40">
        <f>[1]ALL!C40</f>
        <v>11</v>
      </c>
      <c r="D40">
        <f>MIN(D2:D37)</f>
        <v>4.4534412955465585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C20" sqref="C20"/>
    </sheetView>
  </sheetViews>
  <sheetFormatPr defaultRowHeight="17.25" x14ac:dyDescent="0.3"/>
  <sheetData>
    <row r="1" spans="1:4" x14ac:dyDescent="0.3">
      <c r="A1" t="s">
        <v>0</v>
      </c>
      <c r="B1" t="str">
        <f>[1]OBS!B1</f>
        <v>Total article count</v>
      </c>
      <c r="C1" t="str">
        <f>[1]OBS!C1</f>
        <v>HasPvalue</v>
      </c>
      <c r="D1" t="s">
        <v>1</v>
      </c>
    </row>
    <row r="2" spans="1:4" x14ac:dyDescent="0.3">
      <c r="A2">
        <v>1990</v>
      </c>
      <c r="B2">
        <f>[1]OBS!B2</f>
        <v>0</v>
      </c>
      <c r="C2">
        <f>[1]OBS!C2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[1]OBS!B3</f>
        <v>0</v>
      </c>
      <c r="C3">
        <f>[1]OBS!C3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[1]OBS!B4</f>
        <v>0</v>
      </c>
      <c r="C4">
        <f>[1]OBS!C4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[1]OBS!B5</f>
        <v>0</v>
      </c>
      <c r="C5">
        <f>[1]OBS!C5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[1]OBS!B6</f>
        <v>0</v>
      </c>
      <c r="C6">
        <f>[1]OBS!C6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[1]OBS!B7</f>
        <v>0</v>
      </c>
      <c r="C7">
        <f>[1]OBS!C7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[1]OBS!B8</f>
        <v>0</v>
      </c>
      <c r="C8">
        <f>[1]OBS!C8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[1]OBS!B9</f>
        <v>0</v>
      </c>
      <c r="C9">
        <f>[1]OBS!C9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[1]OBS!B10</f>
        <v>0</v>
      </c>
      <c r="C10">
        <f>[1]OBS!C10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[1]OBS!B11</f>
        <v>0</v>
      </c>
      <c r="C11">
        <f>[1]OBS!C11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[1]OBS!B12</f>
        <v>0</v>
      </c>
      <c r="C12">
        <f>[1]OBS!C12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[1]OBS!B13</f>
        <v>0</v>
      </c>
      <c r="C13">
        <f>[1]OBS!C13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[1]OBS!B14</f>
        <v>0</v>
      </c>
      <c r="C14">
        <f>[1]OBS!C14</f>
        <v>0</v>
      </c>
      <c r="D14" t="e">
        <f t="shared" si="0"/>
        <v>#DIV/0!</v>
      </c>
    </row>
    <row r="15" spans="1:4" x14ac:dyDescent="0.3">
      <c r="A15">
        <f t="shared" si="1"/>
        <v>2003</v>
      </c>
      <c r="B15">
        <f>[1]OBS!B15</f>
        <v>0</v>
      </c>
      <c r="C15">
        <f>[1]OBS!C15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[1]OBS!B16</f>
        <v>0</v>
      </c>
      <c r="C16">
        <f>[1]OBS!C16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[1]OBS!B17</f>
        <v>0</v>
      </c>
      <c r="C17">
        <f>[1]OBS!C17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[1]OBS!B18</f>
        <v>1</v>
      </c>
      <c r="C18">
        <f>[1]OBS!C18</f>
        <v>1</v>
      </c>
      <c r="D18">
        <f t="shared" si="0"/>
        <v>100</v>
      </c>
    </row>
    <row r="19" spans="1:4" x14ac:dyDescent="0.3">
      <c r="A19">
        <f t="shared" si="1"/>
        <v>2007</v>
      </c>
      <c r="B19">
        <f>[1]OBS!B19</f>
        <v>0</v>
      </c>
      <c r="C19">
        <f>[1]OBS!C19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[1]OBS!B20</f>
        <v>0</v>
      </c>
      <c r="C20">
        <f>[1]OBS!C20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[1]OBS!B21</f>
        <v>0</v>
      </c>
      <c r="C21">
        <f>[1]OBS!C21</f>
        <v>0</v>
      </c>
      <c r="D21" t="e">
        <f t="shared" si="0"/>
        <v>#DIV/0!</v>
      </c>
    </row>
    <row r="22" spans="1:4" x14ac:dyDescent="0.3">
      <c r="A22">
        <f t="shared" si="1"/>
        <v>2010</v>
      </c>
      <c r="B22">
        <f>[1]OBS!B22</f>
        <v>0</v>
      </c>
      <c r="C22">
        <f>[1]OBS!C22</f>
        <v>0</v>
      </c>
      <c r="D22" t="e">
        <f t="shared" si="0"/>
        <v>#DIV/0!</v>
      </c>
    </row>
    <row r="23" spans="1:4" x14ac:dyDescent="0.3">
      <c r="A23">
        <f t="shared" si="1"/>
        <v>2011</v>
      </c>
      <c r="B23">
        <f>[1]OBS!B23</f>
        <v>1</v>
      </c>
      <c r="C23">
        <f>[1]OBS!C23</f>
        <v>1</v>
      </c>
      <c r="D23">
        <f t="shared" si="0"/>
        <v>100</v>
      </c>
    </row>
    <row r="24" spans="1:4" x14ac:dyDescent="0.3">
      <c r="A24">
        <f t="shared" si="1"/>
        <v>2012</v>
      </c>
      <c r="B24">
        <f>[1]OBS!B24</f>
        <v>49</v>
      </c>
      <c r="C24">
        <f>[1]OBS!C24</f>
        <v>47</v>
      </c>
      <c r="D24">
        <f t="shared" si="0"/>
        <v>95.918367346938766</v>
      </c>
    </row>
    <row r="25" spans="1:4" x14ac:dyDescent="0.3">
      <c r="A25">
        <f t="shared" si="1"/>
        <v>2013</v>
      </c>
      <c r="B25">
        <f>[1]OBS!B25</f>
        <v>599</v>
      </c>
      <c r="C25">
        <f>[1]OBS!C25</f>
        <v>512</v>
      </c>
      <c r="D25">
        <f t="shared" si="0"/>
        <v>85.475792988313856</v>
      </c>
    </row>
    <row r="26" spans="1:4" x14ac:dyDescent="0.3">
      <c r="A26">
        <f t="shared" si="1"/>
        <v>2014</v>
      </c>
      <c r="B26">
        <f>[1]OBS!B26</f>
        <v>1469</v>
      </c>
      <c r="C26">
        <f>[1]OBS!C26</f>
        <v>1209</v>
      </c>
      <c r="D26">
        <f t="shared" si="0"/>
        <v>82.30088495575221</v>
      </c>
    </row>
    <row r="27" spans="1:4" x14ac:dyDescent="0.3">
      <c r="A27">
        <f t="shared" si="1"/>
        <v>2015</v>
      </c>
      <c r="B27">
        <f>[1]OBS!B27</f>
        <v>2398</v>
      </c>
      <c r="C27">
        <f>[1]OBS!C27</f>
        <v>2040</v>
      </c>
      <c r="D27">
        <f t="shared" si="0"/>
        <v>85.070892410341941</v>
      </c>
    </row>
    <row r="28" spans="1:4" x14ac:dyDescent="0.3">
      <c r="A28">
        <f t="shared" si="1"/>
        <v>2016</v>
      </c>
      <c r="B28">
        <f>[1]OBS!B28</f>
        <v>3067</v>
      </c>
      <c r="C28">
        <f>[1]OBS!C28</f>
        <v>2591</v>
      </c>
      <c r="D28">
        <f t="shared" si="0"/>
        <v>84.479947831757414</v>
      </c>
    </row>
    <row r="29" spans="1:4" x14ac:dyDescent="0.3">
      <c r="A29">
        <f t="shared" si="1"/>
        <v>2017</v>
      </c>
      <c r="B29">
        <f>[1]OBS!B29</f>
        <v>3560</v>
      </c>
      <c r="C29">
        <f>[1]OBS!C29</f>
        <v>2995</v>
      </c>
      <c r="D29">
        <f t="shared" si="0"/>
        <v>84.129213483146074</v>
      </c>
    </row>
    <row r="30" spans="1:4" x14ac:dyDescent="0.3">
      <c r="A30">
        <f t="shared" si="1"/>
        <v>2018</v>
      </c>
      <c r="B30">
        <f>[1]OBS!B30</f>
        <v>3981</v>
      </c>
      <c r="C30">
        <f>[1]OBS!C30</f>
        <v>3354</v>
      </c>
      <c r="D30">
        <f t="shared" si="0"/>
        <v>84.250188394875664</v>
      </c>
    </row>
    <row r="31" spans="1:4" x14ac:dyDescent="0.3">
      <c r="A31">
        <f t="shared" si="1"/>
        <v>2019</v>
      </c>
      <c r="B31">
        <f>[1]OBS!B31</f>
        <v>5031</v>
      </c>
      <c r="C31">
        <f>[1]OBS!C31</f>
        <v>4202</v>
      </c>
      <c r="D31">
        <f t="shared" si="0"/>
        <v>83.522162591930041</v>
      </c>
    </row>
    <row r="32" spans="1:4" x14ac:dyDescent="0.3">
      <c r="A32">
        <f t="shared" si="1"/>
        <v>2020</v>
      </c>
      <c r="B32">
        <f>[1]OBS!B32</f>
        <v>6512</v>
      </c>
      <c r="C32">
        <f>[1]OBS!C32</f>
        <v>5454</v>
      </c>
      <c r="D32">
        <f t="shared" si="0"/>
        <v>83.753071253071255</v>
      </c>
    </row>
    <row r="33" spans="1:4" x14ac:dyDescent="0.3">
      <c r="A33">
        <f t="shared" si="1"/>
        <v>2021</v>
      </c>
      <c r="B33">
        <f>[1]OBS!B33</f>
        <v>8020</v>
      </c>
      <c r="C33">
        <f>[1]OBS!C33</f>
        <v>6700</v>
      </c>
      <c r="D33">
        <f t="shared" si="0"/>
        <v>83.541147132169584</v>
      </c>
    </row>
    <row r="34" spans="1:4" x14ac:dyDescent="0.3">
      <c r="A34">
        <f t="shared" si="1"/>
        <v>2022</v>
      </c>
      <c r="B34">
        <f>[1]OBS!B34</f>
        <v>6540</v>
      </c>
      <c r="C34">
        <f>[1]OBS!C34</f>
        <v>5419</v>
      </c>
      <c r="D34">
        <f t="shared" si="0"/>
        <v>82.859327217125383</v>
      </c>
    </row>
    <row r="35" spans="1:4" x14ac:dyDescent="0.3">
      <c r="A35">
        <f t="shared" si="1"/>
        <v>2023</v>
      </c>
      <c r="B35">
        <f>[1]OBS!B35</f>
        <v>5571</v>
      </c>
      <c r="C35">
        <f>[1]OBS!C35</f>
        <v>4647</v>
      </c>
      <c r="D35">
        <f t="shared" si="0"/>
        <v>83.414108777598273</v>
      </c>
    </row>
    <row r="36" spans="1:4" x14ac:dyDescent="0.3">
      <c r="A36">
        <f t="shared" si="1"/>
        <v>2024</v>
      </c>
      <c r="B36">
        <f>[1]OBS!B36</f>
        <v>6859</v>
      </c>
      <c r="C36">
        <f>[1]OBS!C36</f>
        <v>5747</v>
      </c>
      <c r="D36">
        <f t="shared" si="0"/>
        <v>83.787724158040533</v>
      </c>
    </row>
    <row r="37" spans="1:4" x14ac:dyDescent="0.3">
      <c r="A37">
        <f t="shared" si="1"/>
        <v>2025</v>
      </c>
      <c r="B37">
        <f>[1]OBS!B37</f>
        <v>5852</v>
      </c>
      <c r="C37">
        <f>[1]OBS!C37</f>
        <v>4923</v>
      </c>
      <c r="D37">
        <f t="shared" si="0"/>
        <v>84.125085440874912</v>
      </c>
    </row>
    <row r="38" spans="1:4" x14ac:dyDescent="0.3">
      <c r="A38" t="s">
        <v>8</v>
      </c>
      <c r="B38">
        <f>[1]OBS!B38</f>
        <v>59510</v>
      </c>
      <c r="C38">
        <f>[1]OBS!C38</f>
        <v>49842</v>
      </c>
      <c r="D38">
        <f t="shared" si="0"/>
        <v>83.753990925894811</v>
      </c>
    </row>
    <row r="39" spans="1:4" x14ac:dyDescent="0.3">
      <c r="A39" t="s">
        <v>6</v>
      </c>
      <c r="B39">
        <f>[1]OBS!B39</f>
        <v>8020</v>
      </c>
      <c r="C39">
        <f>[1]OBS!C39</f>
        <v>6700</v>
      </c>
      <c r="D39">
        <f t="shared" si="0"/>
        <v>83.541147132169584</v>
      </c>
    </row>
    <row r="40" spans="1:4" x14ac:dyDescent="0.3">
      <c r="A40" t="s">
        <v>7</v>
      </c>
      <c r="B40">
        <f>[1]OBS!B40</f>
        <v>0</v>
      </c>
      <c r="C40">
        <f>[1]OBS!C40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topLeftCell="A19" workbookViewId="0">
      <selection activeCell="B32" sqref="B32"/>
    </sheetView>
  </sheetViews>
  <sheetFormatPr defaultRowHeight="17.25" x14ac:dyDescent="0.3"/>
  <sheetData>
    <row r="1" spans="1:4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</row>
    <row r="2" spans="1:4" x14ac:dyDescent="0.3">
      <c r="A2">
        <v>1990</v>
      </c>
      <c r="B2">
        <f>[1]SYSREV!B2</f>
        <v>0</v>
      </c>
      <c r="C2">
        <f>[1]SYSREV!C2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[1]SYSREV!B3</f>
        <v>0</v>
      </c>
      <c r="C3">
        <f>[1]SYSREV!C3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[1]SYSREV!B4</f>
        <v>0</v>
      </c>
      <c r="C4">
        <f>[1]SYSREV!C4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[1]SYSREV!B5</f>
        <v>0</v>
      </c>
      <c r="C5">
        <f>[1]SYSREV!C5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[1]SYSREV!B6</f>
        <v>0</v>
      </c>
      <c r="C6">
        <f>[1]SYSREV!C6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[1]SYSREV!B7</f>
        <v>0</v>
      </c>
      <c r="C7">
        <f>[1]SYSREV!C7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[1]SYSREV!B8</f>
        <v>0</v>
      </c>
      <c r="C8">
        <f>[1]SYSREV!C8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[1]SYSREV!B9</f>
        <v>0</v>
      </c>
      <c r="C9">
        <f>[1]SYSREV!C9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[1]SYSREV!B10</f>
        <v>0</v>
      </c>
      <c r="C10">
        <f>[1]SYSREV!C10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[1]SYSREV!B11</f>
        <v>0</v>
      </c>
      <c r="C11">
        <f>[1]SYSREV!C11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[1]SYSREV!B12</f>
        <v>1</v>
      </c>
      <c r="C12">
        <f>[1]SYSREV!C12</f>
        <v>1</v>
      </c>
      <c r="D12">
        <f t="shared" si="0"/>
        <v>100</v>
      </c>
    </row>
    <row r="13" spans="1:4" x14ac:dyDescent="0.3">
      <c r="A13">
        <f t="shared" si="1"/>
        <v>2001</v>
      </c>
      <c r="B13">
        <f>[1]SYSREV!B13</f>
        <v>10</v>
      </c>
      <c r="C13">
        <f>[1]SYSREV!C13</f>
        <v>5</v>
      </c>
      <c r="D13">
        <f t="shared" si="0"/>
        <v>50</v>
      </c>
    </row>
    <row r="14" spans="1:4" x14ac:dyDescent="0.3">
      <c r="A14">
        <f t="shared" si="1"/>
        <v>2002</v>
      </c>
      <c r="B14">
        <f>[1]SYSREV!B14</f>
        <v>15</v>
      </c>
      <c r="C14">
        <f>[1]SYSREV!C14</f>
        <v>11</v>
      </c>
      <c r="D14">
        <f t="shared" si="0"/>
        <v>73.333333333333329</v>
      </c>
    </row>
    <row r="15" spans="1:4" x14ac:dyDescent="0.3">
      <c r="A15">
        <f t="shared" si="1"/>
        <v>2003</v>
      </c>
      <c r="B15">
        <f>[1]SYSREV!B15</f>
        <v>13</v>
      </c>
      <c r="C15">
        <f>[1]SYSREV!C15</f>
        <v>8</v>
      </c>
      <c r="D15">
        <f t="shared" si="0"/>
        <v>61.53846153846154</v>
      </c>
    </row>
    <row r="16" spans="1:4" x14ac:dyDescent="0.3">
      <c r="A16">
        <f t="shared" si="1"/>
        <v>2004</v>
      </c>
      <c r="B16">
        <f>[1]SYSREV!B16</f>
        <v>29</v>
      </c>
      <c r="C16">
        <f>[1]SYSREV!C16</f>
        <v>16</v>
      </c>
      <c r="D16">
        <f t="shared" si="0"/>
        <v>55.172413793103445</v>
      </c>
    </row>
    <row r="17" spans="1:4" x14ac:dyDescent="0.3">
      <c r="A17">
        <f t="shared" si="1"/>
        <v>2005</v>
      </c>
      <c r="B17">
        <f>[1]SYSREV!B17</f>
        <v>47</v>
      </c>
      <c r="C17">
        <f>[1]SYSREV!C17</f>
        <v>30</v>
      </c>
      <c r="D17">
        <f t="shared" si="0"/>
        <v>63.829787234042556</v>
      </c>
    </row>
    <row r="18" spans="1:4" x14ac:dyDescent="0.3">
      <c r="A18">
        <f t="shared" si="1"/>
        <v>2006</v>
      </c>
      <c r="B18">
        <f>[1]SYSREV!B18</f>
        <v>86</v>
      </c>
      <c r="C18">
        <f>[1]SYSREV!C18</f>
        <v>42</v>
      </c>
      <c r="D18">
        <f t="shared" si="0"/>
        <v>48.837209302325576</v>
      </c>
    </row>
    <row r="19" spans="1:4" x14ac:dyDescent="0.3">
      <c r="A19">
        <f t="shared" si="1"/>
        <v>2007</v>
      </c>
      <c r="B19">
        <f>[1]SYSREV!B19</f>
        <v>93</v>
      </c>
      <c r="C19">
        <f>[1]SYSREV!C19</f>
        <v>53</v>
      </c>
      <c r="D19">
        <f t="shared" si="0"/>
        <v>56.98924731182796</v>
      </c>
    </row>
    <row r="20" spans="1:4" x14ac:dyDescent="0.3">
      <c r="A20">
        <f t="shared" si="1"/>
        <v>2008</v>
      </c>
      <c r="B20">
        <f>[1]SYSREV!B20</f>
        <v>160</v>
      </c>
      <c r="C20">
        <f>[1]SYSREV!C20</f>
        <v>92</v>
      </c>
      <c r="D20">
        <f t="shared" si="0"/>
        <v>57.499999999999993</v>
      </c>
    </row>
    <row r="21" spans="1:4" x14ac:dyDescent="0.3">
      <c r="A21">
        <f t="shared" si="1"/>
        <v>2009</v>
      </c>
      <c r="B21">
        <f>[1]SYSREV!B21</f>
        <v>221</v>
      </c>
      <c r="C21">
        <f>[1]SYSREV!C21</f>
        <v>139</v>
      </c>
      <c r="D21">
        <f t="shared" si="0"/>
        <v>62.895927601809952</v>
      </c>
    </row>
    <row r="22" spans="1:4" x14ac:dyDescent="0.3">
      <c r="A22">
        <f t="shared" si="1"/>
        <v>2010</v>
      </c>
      <c r="B22">
        <f>[1]SYSREV!B22</f>
        <v>356</v>
      </c>
      <c r="C22">
        <f>[1]SYSREV!C22</f>
        <v>208</v>
      </c>
      <c r="D22">
        <f t="shared" si="0"/>
        <v>58.426966292134829</v>
      </c>
    </row>
    <row r="23" spans="1:4" x14ac:dyDescent="0.3">
      <c r="A23">
        <f t="shared" si="1"/>
        <v>2011</v>
      </c>
      <c r="B23">
        <f>[1]SYSREV!B23</f>
        <v>515</v>
      </c>
      <c r="C23">
        <f>[1]SYSREV!C23</f>
        <v>320</v>
      </c>
      <c r="D23">
        <f t="shared" si="0"/>
        <v>62.135922330097081</v>
      </c>
    </row>
    <row r="24" spans="1:4" x14ac:dyDescent="0.3">
      <c r="A24">
        <f t="shared" si="1"/>
        <v>2012</v>
      </c>
      <c r="B24">
        <f>[1]SYSREV!B24</f>
        <v>746</v>
      </c>
      <c r="C24">
        <f>[1]SYSREV!C24</f>
        <v>470</v>
      </c>
      <c r="D24">
        <f t="shared" si="0"/>
        <v>63.002680965147448</v>
      </c>
    </row>
    <row r="25" spans="1:4" x14ac:dyDescent="0.3">
      <c r="A25">
        <f t="shared" si="1"/>
        <v>2013</v>
      </c>
      <c r="B25">
        <f>[1]SYSREV!B25</f>
        <v>1175</v>
      </c>
      <c r="C25">
        <f>[1]SYSREV!C25</f>
        <v>717</v>
      </c>
      <c r="D25">
        <f t="shared" si="0"/>
        <v>61.021276595744681</v>
      </c>
    </row>
    <row r="26" spans="1:4" x14ac:dyDescent="0.3">
      <c r="A26">
        <f t="shared" si="1"/>
        <v>2014</v>
      </c>
      <c r="B26">
        <f>[1]SYSREV!B26</f>
        <v>1666</v>
      </c>
      <c r="C26">
        <f>[1]SYSREV!C26</f>
        <v>1051</v>
      </c>
      <c r="D26">
        <f t="shared" si="0"/>
        <v>63.085234093637453</v>
      </c>
    </row>
    <row r="27" spans="1:4" x14ac:dyDescent="0.3">
      <c r="A27">
        <f t="shared" si="1"/>
        <v>2015</v>
      </c>
      <c r="B27">
        <f>[1]SYSREV!B27</f>
        <v>2148</v>
      </c>
      <c r="C27">
        <f>[1]SYSREV!C27</f>
        <v>1357</v>
      </c>
      <c r="D27">
        <f t="shared" si="0"/>
        <v>63.175046554934823</v>
      </c>
    </row>
    <row r="28" spans="1:4" x14ac:dyDescent="0.3">
      <c r="A28">
        <f t="shared" si="1"/>
        <v>2016</v>
      </c>
      <c r="B28">
        <f>[1]SYSREV!B28</f>
        <v>2655</v>
      </c>
      <c r="C28">
        <f>[1]SYSREV!C28</f>
        <v>1682</v>
      </c>
      <c r="D28">
        <f t="shared" si="0"/>
        <v>63.35216572504708</v>
      </c>
    </row>
    <row r="29" spans="1:4" x14ac:dyDescent="0.3">
      <c r="A29">
        <f t="shared" si="1"/>
        <v>2017</v>
      </c>
      <c r="B29">
        <f>[1]SYSREV!B29</f>
        <v>3164</v>
      </c>
      <c r="C29">
        <f>[1]SYSREV!C29</f>
        <v>2042</v>
      </c>
      <c r="D29">
        <f t="shared" si="0"/>
        <v>64.5385587863464</v>
      </c>
    </row>
    <row r="30" spans="1:4" x14ac:dyDescent="0.3">
      <c r="A30">
        <f t="shared" si="1"/>
        <v>2018</v>
      </c>
      <c r="B30">
        <f>[1]SYSREV!B30</f>
        <v>3469</v>
      </c>
      <c r="C30">
        <f>[1]SYSREV!C30</f>
        <v>2186</v>
      </c>
      <c r="D30">
        <f t="shared" si="0"/>
        <v>63.015278178149323</v>
      </c>
    </row>
    <row r="31" spans="1:4" x14ac:dyDescent="0.3">
      <c r="A31">
        <f t="shared" si="1"/>
        <v>2019</v>
      </c>
      <c r="B31">
        <f>[1]SYSREV!B31</f>
        <v>5347</v>
      </c>
      <c r="C31">
        <f>[1]SYSREV!C31</f>
        <v>3437</v>
      </c>
      <c r="D31">
        <f t="shared" si="0"/>
        <v>64.279034972881988</v>
      </c>
    </row>
    <row r="32" spans="1:4" x14ac:dyDescent="0.3">
      <c r="A32">
        <f t="shared" si="1"/>
        <v>2020</v>
      </c>
      <c r="B32">
        <f>[1]SYSREV!B32</f>
        <v>7329</v>
      </c>
      <c r="C32">
        <f>[1]SYSREV!C32</f>
        <v>4627</v>
      </c>
      <c r="D32">
        <f t="shared" si="0"/>
        <v>63.132760267430754</v>
      </c>
    </row>
    <row r="33" spans="1:4" x14ac:dyDescent="0.3">
      <c r="A33">
        <f t="shared" si="1"/>
        <v>2021</v>
      </c>
      <c r="B33">
        <f>[1]SYSREV!B33</f>
        <v>10324</v>
      </c>
      <c r="C33">
        <f>[1]SYSREV!C33</f>
        <v>6523</v>
      </c>
      <c r="D33">
        <f t="shared" si="0"/>
        <v>63.182874854707485</v>
      </c>
    </row>
    <row r="34" spans="1:4" x14ac:dyDescent="0.3">
      <c r="A34">
        <f t="shared" si="1"/>
        <v>2022</v>
      </c>
      <c r="B34">
        <f>[1]SYSREV!B34</f>
        <v>13111</v>
      </c>
      <c r="C34">
        <f>[1]SYSREV!C34</f>
        <v>8377</v>
      </c>
      <c r="D34">
        <f t="shared" si="0"/>
        <v>63.892914346731757</v>
      </c>
    </row>
    <row r="35" spans="1:4" x14ac:dyDescent="0.3">
      <c r="A35">
        <f t="shared" si="1"/>
        <v>2023</v>
      </c>
      <c r="B35">
        <f>[1]SYSREV!B35</f>
        <v>11329</v>
      </c>
      <c r="C35">
        <f>[1]SYSREV!C35</f>
        <v>7440</v>
      </c>
      <c r="D35">
        <f t="shared" si="0"/>
        <v>65.672168770412213</v>
      </c>
    </row>
    <row r="36" spans="1:4" x14ac:dyDescent="0.3">
      <c r="A36">
        <f t="shared" si="1"/>
        <v>2024</v>
      </c>
      <c r="B36">
        <f>[1]SYSREV!B36</f>
        <v>12605</v>
      </c>
      <c r="C36">
        <f>[1]SYSREV!C36</f>
        <v>8336</v>
      </c>
      <c r="D36">
        <f t="shared" si="0"/>
        <v>66.132487108290363</v>
      </c>
    </row>
    <row r="37" spans="1:4" x14ac:dyDescent="0.3">
      <c r="A37">
        <f t="shared" si="1"/>
        <v>2025</v>
      </c>
      <c r="B37">
        <f>[1]SYSREV!B37</f>
        <v>10244</v>
      </c>
      <c r="C37">
        <f>[1]SYSREV!C37</f>
        <v>6690</v>
      </c>
      <c r="D37">
        <f t="shared" si="0"/>
        <v>65.306520890277227</v>
      </c>
    </row>
    <row r="38" spans="1:4" x14ac:dyDescent="0.3">
      <c r="A38" t="s">
        <v>8</v>
      </c>
      <c r="B38">
        <f>[1]SYSREV!B38</f>
        <v>86858</v>
      </c>
      <c r="C38">
        <f>[1]SYSREV!C38</f>
        <v>55860</v>
      </c>
      <c r="D38">
        <f t="shared" si="0"/>
        <v>64.311865343434121</v>
      </c>
    </row>
    <row r="39" spans="1:4" x14ac:dyDescent="0.3">
      <c r="A39" t="s">
        <v>6</v>
      </c>
      <c r="B39">
        <f>[1]SYSREV!B39</f>
        <v>13111</v>
      </c>
      <c r="C39">
        <f>[1]SYSREV!C39</f>
        <v>8377</v>
      </c>
      <c r="D39">
        <f t="shared" si="0"/>
        <v>63.892914346731757</v>
      </c>
    </row>
    <row r="40" spans="1:4" x14ac:dyDescent="0.3">
      <c r="A40" t="s">
        <v>7</v>
      </c>
      <c r="B40">
        <f>[1]SYSREV!B40</f>
        <v>0</v>
      </c>
      <c r="C40">
        <f>[1]SYSREV!C40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0</v>
      </c>
      <c r="C2">
        <f>CT!D2</f>
        <v>100</v>
      </c>
      <c r="D2" t="e">
        <f>META!D2</f>
        <v>#DIV/0!</v>
      </c>
      <c r="E2">
        <f>REVIEW!D2</f>
        <v>0</v>
      </c>
      <c r="F2" t="e">
        <f>CCJ!D2</f>
        <v>#DIV/0!</v>
      </c>
      <c r="G2">
        <f>ALL!D2</f>
        <v>5.2173913043478262</v>
      </c>
      <c r="I2" t="str">
        <v>Randomized controlled trial</v>
      </c>
      <c r="J2">
        <v>0</v>
      </c>
      <c r="K2" t="e">
        <v>#DIV/0!</v>
      </c>
      <c r="L2">
        <v>0</v>
      </c>
      <c r="M2">
        <v>100</v>
      </c>
      <c r="N2">
        <v>66.666666666666657</v>
      </c>
      <c r="O2">
        <v>50</v>
      </c>
      <c r="P2">
        <v>100</v>
      </c>
      <c r="Q2">
        <v>100</v>
      </c>
      <c r="R2">
        <v>80</v>
      </c>
      <c r="S2">
        <v>83.333333333333343</v>
      </c>
      <c r="T2">
        <v>90</v>
      </c>
      <c r="U2">
        <v>71.428571428571431</v>
      </c>
      <c r="V2">
        <v>76.923076923076934</v>
      </c>
      <c r="W2">
        <v>73.529411764705884</v>
      </c>
      <c r="X2">
        <v>82.165605095541409</v>
      </c>
      <c r="Y2">
        <v>79.473684210526315</v>
      </c>
      <c r="Z2">
        <v>76.744186046511629</v>
      </c>
      <c r="AA2">
        <v>74.369747899159663</v>
      </c>
      <c r="AB2">
        <v>77.513227513227505</v>
      </c>
      <c r="AC2">
        <v>73.513011152416354</v>
      </c>
      <c r="AD2">
        <v>72.366621067031474</v>
      </c>
      <c r="AE2">
        <v>72.442486539402836</v>
      </c>
      <c r="AF2">
        <v>74.970249900833011</v>
      </c>
      <c r="AG2">
        <v>74.270020237062738</v>
      </c>
      <c r="AH2">
        <v>74.247412982126065</v>
      </c>
      <c r="AI2">
        <v>75.308117297067582</v>
      </c>
      <c r="AJ2">
        <v>76.097271648873075</v>
      </c>
      <c r="AK2">
        <v>76.359338061465721</v>
      </c>
      <c r="AL2">
        <v>79.504039075709187</v>
      </c>
      <c r="AM2">
        <v>81.618772317633059</v>
      </c>
      <c r="AN2">
        <v>81.831045705391261</v>
      </c>
      <c r="AO2">
        <v>83.218842001962713</v>
      </c>
      <c r="AP2">
        <v>84.610636765764838</v>
      </c>
      <c r="AQ2">
        <v>85.009935419771494</v>
      </c>
      <c r="AR2">
        <v>86.594244770599786</v>
      </c>
      <c r="AS2">
        <v>87.213206491326247</v>
      </c>
    </row>
    <row r="3" spans="1:45" x14ac:dyDescent="0.3">
      <c r="A3">
        <v>1991</v>
      </c>
      <c r="B3" t="e">
        <f>RCT!D3</f>
        <v>#DIV/0!</v>
      </c>
      <c r="C3" t="e">
        <f>CT!D3</f>
        <v>#DIV/0!</v>
      </c>
      <c r="D3">
        <f>META!D3</f>
        <v>0</v>
      </c>
      <c r="E3">
        <f>REVIEW!D3</f>
        <v>0</v>
      </c>
      <c r="F3" t="e">
        <f>CCJ!D3</f>
        <v>#DIV/0!</v>
      </c>
      <c r="G3">
        <f>ALL!D3</f>
        <v>4.4534412955465585</v>
      </c>
      <c r="I3" t="str">
        <v>Clinical trial</v>
      </c>
      <c r="J3">
        <v>100</v>
      </c>
      <c r="K3" t="e">
        <v>#DIV/0!</v>
      </c>
      <c r="L3" t="e">
        <v>#DIV/0!</v>
      </c>
      <c r="M3" t="e">
        <v>#DIV/0!</v>
      </c>
      <c r="N3" t="e">
        <v>#DIV/0!</v>
      </c>
      <c r="O3">
        <v>100</v>
      </c>
      <c r="P3">
        <v>100</v>
      </c>
      <c r="Q3">
        <v>35.714285714285715</v>
      </c>
      <c r="R3">
        <v>30</v>
      </c>
      <c r="S3">
        <v>50</v>
      </c>
      <c r="T3">
        <v>66.666666666666657</v>
      </c>
      <c r="U3">
        <v>91.666666666666657</v>
      </c>
      <c r="V3">
        <v>59.259259259259252</v>
      </c>
      <c r="W3">
        <v>57.28155339805825</v>
      </c>
      <c r="X3">
        <v>61.734693877551017</v>
      </c>
      <c r="Y3">
        <v>69.142857142857139</v>
      </c>
      <c r="Z3">
        <v>73.170731707317074</v>
      </c>
      <c r="AA3">
        <v>75.862068965517238</v>
      </c>
      <c r="AB3">
        <v>80.110497237569049</v>
      </c>
      <c r="AC3">
        <v>81.105990783410135</v>
      </c>
      <c r="AD3">
        <v>78.729281767955811</v>
      </c>
      <c r="AE3">
        <v>80.511811023622045</v>
      </c>
      <c r="AF3">
        <v>83.275663206459043</v>
      </c>
      <c r="AG3">
        <v>82.924961715160791</v>
      </c>
      <c r="AH3">
        <v>82.316655243317342</v>
      </c>
      <c r="AI3">
        <v>83.208191126279857</v>
      </c>
      <c r="AJ3">
        <v>84.750337381916324</v>
      </c>
      <c r="AK3">
        <v>85.289747399702819</v>
      </c>
      <c r="AL3">
        <v>82.539682539682531</v>
      </c>
      <c r="AM3">
        <v>81.165501165501169</v>
      </c>
      <c r="AN3">
        <v>81.088082901554401</v>
      </c>
      <c r="AO3">
        <v>81.476683937823836</v>
      </c>
      <c r="AP3">
        <v>79.623168178646196</v>
      </c>
      <c r="AQ3">
        <v>77.715355805243448</v>
      </c>
      <c r="AR3">
        <v>78.824833702882486</v>
      </c>
      <c r="AS3">
        <v>82.710280373831779</v>
      </c>
    </row>
    <row r="4" spans="1:45" x14ac:dyDescent="0.3">
      <c r="A4">
        <f>A2+2</f>
        <v>1992</v>
      </c>
      <c r="B4">
        <f>RCT!D4</f>
        <v>0</v>
      </c>
      <c r="C4" t="e">
        <f>CT!D4</f>
        <v>#DIV/0!</v>
      </c>
      <c r="D4" t="e">
        <f>META!D4</f>
        <v>#DIV/0!</v>
      </c>
      <c r="E4">
        <f>REVIEW!D4</f>
        <v>0</v>
      </c>
      <c r="F4">
        <f>CCJ!D4</f>
        <v>0</v>
      </c>
      <c r="G4">
        <f>ALL!D4</f>
        <v>6.2780269058295968</v>
      </c>
      <c r="I4" t="str">
        <v>Meta-analysis</v>
      </c>
      <c r="J4" t="e">
        <v>#DIV/0!</v>
      </c>
      <c r="K4">
        <v>0</v>
      </c>
      <c r="L4" t="e">
        <v>#DIV/0!</v>
      </c>
      <c r="M4" t="e">
        <v>#DIV/0!</v>
      </c>
      <c r="N4" t="e">
        <v>#DIV/0!</v>
      </c>
      <c r="O4" t="e">
        <v>#DIV/0!</v>
      </c>
      <c r="P4" t="e">
        <v>#DIV/0!</v>
      </c>
      <c r="Q4" t="e">
        <v>#DIV/0!</v>
      </c>
      <c r="R4" t="e">
        <v>#DIV/0!</v>
      </c>
      <c r="S4">
        <v>100</v>
      </c>
      <c r="T4">
        <v>0</v>
      </c>
      <c r="U4">
        <v>50</v>
      </c>
      <c r="V4">
        <v>77.777777777777786</v>
      </c>
      <c r="W4">
        <v>73.333333333333329</v>
      </c>
      <c r="X4">
        <v>82.758620689655174</v>
      </c>
      <c r="Y4">
        <v>78.723404255319153</v>
      </c>
      <c r="Z4">
        <v>69.841269841269835</v>
      </c>
      <c r="AA4">
        <v>58.241758241758248</v>
      </c>
      <c r="AB4">
        <v>78.472222222222214</v>
      </c>
      <c r="AC4">
        <v>80.568720379146924</v>
      </c>
      <c r="AD4">
        <v>76.470588235294116</v>
      </c>
      <c r="AE4">
        <v>80.961538461538467</v>
      </c>
      <c r="AF4">
        <v>83.152827918170885</v>
      </c>
      <c r="AG4">
        <v>84.790334044065389</v>
      </c>
      <c r="AH4">
        <v>86.994063680518082</v>
      </c>
      <c r="AI4">
        <v>85.976627712854764</v>
      </c>
      <c r="AJ4">
        <v>87.294364718235911</v>
      </c>
      <c r="AK4">
        <v>88.371313672922241</v>
      </c>
      <c r="AL4">
        <v>87.59372869802317</v>
      </c>
      <c r="AM4">
        <v>86.0527732902531</v>
      </c>
      <c r="AN4">
        <v>86.280746395250205</v>
      </c>
      <c r="AO4">
        <v>84.245381666085734</v>
      </c>
      <c r="AP4">
        <v>86.310492822258396</v>
      </c>
      <c r="AQ4">
        <v>86.803563339876192</v>
      </c>
      <c r="AR4">
        <v>88.410256410256409</v>
      </c>
      <c r="AS4">
        <v>88.828654404646656</v>
      </c>
    </row>
    <row r="5" spans="1:45" x14ac:dyDescent="0.3">
      <c r="A5">
        <f t="shared" ref="A5:A36" si="0">A3+2</f>
        <v>1993</v>
      </c>
      <c r="B5">
        <f>RCT!D5</f>
        <v>100</v>
      </c>
      <c r="C5" t="e">
        <f>CT!D5</f>
        <v>#DIV/0!</v>
      </c>
      <c r="D5" t="e">
        <f>META!D5</f>
        <v>#DIV/0!</v>
      </c>
      <c r="E5">
        <f>REVIEW!D5</f>
        <v>0</v>
      </c>
      <c r="F5" t="e">
        <f>CCJ!D5</f>
        <v>#DIV/0!</v>
      </c>
      <c r="G5">
        <f>ALL!D5</f>
        <v>7.3394495412844041</v>
      </c>
      <c r="I5" t="str">
        <v>Review</v>
      </c>
      <c r="J5">
        <v>0</v>
      </c>
      <c r="K5">
        <v>0</v>
      </c>
      <c r="L5">
        <v>0</v>
      </c>
      <c r="M5">
        <v>0</v>
      </c>
      <c r="N5">
        <v>15</v>
      </c>
      <c r="O5">
        <v>20</v>
      </c>
      <c r="P5">
        <v>7.1428571428571423</v>
      </c>
      <c r="Q5">
        <v>1.1235955056179776</v>
      </c>
      <c r="R5">
        <v>2.083333333333333</v>
      </c>
      <c r="S5">
        <v>1.6949152542372881</v>
      </c>
      <c r="T5">
        <v>7.4534161490683228</v>
      </c>
      <c r="U5">
        <v>6.2706270627062706</v>
      </c>
      <c r="V5">
        <v>12.564102564102564</v>
      </c>
      <c r="W5">
        <v>11.445783132530121</v>
      </c>
      <c r="X5">
        <v>16.201117318435752</v>
      </c>
      <c r="Y5">
        <v>15.178571428571427</v>
      </c>
      <c r="Z5">
        <v>16.099773242630384</v>
      </c>
      <c r="AA5">
        <v>16.166134185303516</v>
      </c>
      <c r="AB5">
        <v>16.861030126336249</v>
      </c>
      <c r="AC5">
        <v>18.185388845247445</v>
      </c>
      <c r="AD5">
        <v>18.704092339979013</v>
      </c>
      <c r="AE5">
        <v>15.927010587970264</v>
      </c>
      <c r="AF5">
        <v>15.947063688999172</v>
      </c>
      <c r="AG5">
        <v>15.821144232549528</v>
      </c>
      <c r="AH5">
        <v>16.784992784992784</v>
      </c>
      <c r="AI5">
        <v>17.00343714196438</v>
      </c>
      <c r="AJ5">
        <v>17.996540924601508</v>
      </c>
      <c r="AK5">
        <v>17.645592755670016</v>
      </c>
      <c r="AL5">
        <v>16.970866970866972</v>
      </c>
      <c r="AM5">
        <v>17.202469661486056</v>
      </c>
      <c r="AN5">
        <v>16.637310461020064</v>
      </c>
      <c r="AO5">
        <v>17.743697593750856</v>
      </c>
      <c r="AP5">
        <v>19.061376476630716</v>
      </c>
      <c r="AQ5">
        <v>20.461038321347651</v>
      </c>
      <c r="AR5">
        <v>20.286666055438403</v>
      </c>
      <c r="AS5">
        <v>21.006612250829559</v>
      </c>
    </row>
    <row r="6" spans="1:45" x14ac:dyDescent="0.3">
      <c r="A6">
        <f t="shared" si="0"/>
        <v>1994</v>
      </c>
      <c r="B6">
        <f>RCT!D6</f>
        <v>66.666666666666657</v>
      </c>
      <c r="C6" t="e">
        <f>CT!D6</f>
        <v>#DIV/0!</v>
      </c>
      <c r="D6" t="e">
        <f>META!D6</f>
        <v>#DIV/0!</v>
      </c>
      <c r="E6">
        <f>REVIEW!D6</f>
        <v>15</v>
      </c>
      <c r="F6" t="e">
        <f>CCJ!D6</f>
        <v>#DIV/0!</v>
      </c>
      <c r="G6">
        <f>ALL!D6</f>
        <v>10.493827160493826</v>
      </c>
      <c r="I6" t="str">
        <v>Clinical useful journal</v>
      </c>
      <c r="J6" t="e">
        <v>#DIV/0!</v>
      </c>
      <c r="K6" t="e">
        <v>#DIV/0!</v>
      </c>
      <c r="L6">
        <v>0</v>
      </c>
      <c r="M6" t="e">
        <v>#DIV/0!</v>
      </c>
      <c r="N6" t="e">
        <v>#DIV/0!</v>
      </c>
      <c r="O6">
        <v>50</v>
      </c>
      <c r="P6">
        <v>0</v>
      </c>
      <c r="Q6">
        <v>14.285714285714285</v>
      </c>
      <c r="R6">
        <v>66.666666666666657</v>
      </c>
      <c r="S6">
        <v>30</v>
      </c>
      <c r="T6">
        <v>54.54545454545454</v>
      </c>
      <c r="U6">
        <v>33.333333333333329</v>
      </c>
      <c r="V6">
        <v>61.003236245954696</v>
      </c>
      <c r="W6">
        <v>50.980392156862742</v>
      </c>
      <c r="X6">
        <v>52.818371607515658</v>
      </c>
      <c r="Y6">
        <v>56.301369863013697</v>
      </c>
      <c r="Z6">
        <v>56.533333333333339</v>
      </c>
      <c r="AA6">
        <v>55.939086294416242</v>
      </c>
      <c r="AB6">
        <v>59.603399433427761</v>
      </c>
      <c r="AC6">
        <v>65.418894830659539</v>
      </c>
      <c r="AD6">
        <v>66.568668626627471</v>
      </c>
      <c r="AE6">
        <v>65.67619047619047</v>
      </c>
      <c r="AF6">
        <v>64.996471418489762</v>
      </c>
      <c r="AG6">
        <v>63.958602846054333</v>
      </c>
      <c r="AH6">
        <v>64.805290227773696</v>
      </c>
      <c r="AI6">
        <v>65.986277873070335</v>
      </c>
      <c r="AJ6">
        <v>66.335014311026313</v>
      </c>
      <c r="AK6">
        <v>59.073842302878596</v>
      </c>
      <c r="AL6">
        <v>57.750112157918352</v>
      </c>
      <c r="AM6">
        <v>56.028368794326241</v>
      </c>
      <c r="AN6">
        <v>45.883979491906217</v>
      </c>
      <c r="AO6">
        <v>49.840305775171473</v>
      </c>
      <c r="AP6">
        <v>54.304743339831063</v>
      </c>
      <c r="AQ6">
        <v>57.51032533874357</v>
      </c>
      <c r="AR6">
        <v>60.349293891535048</v>
      </c>
      <c r="AS6">
        <v>59.180590117312484</v>
      </c>
    </row>
    <row r="7" spans="1:45" x14ac:dyDescent="0.3">
      <c r="A7">
        <f t="shared" si="0"/>
        <v>1995</v>
      </c>
      <c r="B7">
        <f>RCT!D7</f>
        <v>50</v>
      </c>
      <c r="C7">
        <f>CT!D7</f>
        <v>100</v>
      </c>
      <c r="D7" t="e">
        <f>META!D7</f>
        <v>#DIV/0!</v>
      </c>
      <c r="E7">
        <f>REVIEW!D7</f>
        <v>20</v>
      </c>
      <c r="F7">
        <f>CCJ!D7</f>
        <v>50</v>
      </c>
      <c r="G7">
        <f>ALL!D7</f>
        <v>10.158730158730158</v>
      </c>
      <c r="I7" t="str">
        <v>All PubMed</v>
      </c>
      <c r="J7">
        <v>5.2173913043478262</v>
      </c>
      <c r="K7">
        <v>4.4534412955465585</v>
      </c>
      <c r="L7">
        <v>6.2780269058295968</v>
      </c>
      <c r="M7">
        <v>7.3394495412844041</v>
      </c>
      <c r="N7">
        <v>10.493827160493826</v>
      </c>
      <c r="O7">
        <v>10.158730158730158</v>
      </c>
      <c r="P7">
        <v>11.748633879781421</v>
      </c>
      <c r="Q7">
        <v>17.729204614450516</v>
      </c>
      <c r="R7">
        <v>20.479178551055334</v>
      </c>
      <c r="S7">
        <v>20.876288659793815</v>
      </c>
      <c r="T7">
        <v>20.088954781319497</v>
      </c>
      <c r="U7">
        <v>26.198767747120279</v>
      </c>
      <c r="V7">
        <v>32.567275584364566</v>
      </c>
      <c r="W7">
        <v>32.905067808708068</v>
      </c>
      <c r="X7">
        <v>33.447198906890499</v>
      </c>
      <c r="Y7">
        <v>34.529434299578597</v>
      </c>
      <c r="Z7">
        <v>36.345051109449017</v>
      </c>
      <c r="AA7">
        <v>39.180500563042607</v>
      </c>
      <c r="AB7">
        <v>38.070878842342964</v>
      </c>
      <c r="AC7">
        <v>39.172261409025239</v>
      </c>
      <c r="AD7">
        <v>41.657724652509174</v>
      </c>
      <c r="AE7">
        <v>43.296107240368549</v>
      </c>
      <c r="AF7">
        <v>46.002066186380958</v>
      </c>
      <c r="AG7">
        <v>48.076257061841169</v>
      </c>
      <c r="AH7">
        <v>48.130754607072376</v>
      </c>
      <c r="AI7">
        <v>48.888862437956035</v>
      </c>
      <c r="AJ7">
        <v>50.404843533445188</v>
      </c>
      <c r="AK7">
        <v>51.334449044305472</v>
      </c>
      <c r="AL7">
        <v>50.144983910322146</v>
      </c>
      <c r="AM7">
        <v>50.826302335469528</v>
      </c>
      <c r="AN7">
        <v>47.951682319366732</v>
      </c>
      <c r="AO7">
        <v>49.52993268317433</v>
      </c>
      <c r="AP7">
        <v>49.900546571617511</v>
      </c>
      <c r="AQ7">
        <v>49.370176425614169</v>
      </c>
      <c r="AR7">
        <v>51.019372538582019</v>
      </c>
      <c r="AS7">
        <v>53.317368509289324</v>
      </c>
    </row>
    <row r="8" spans="1:45" x14ac:dyDescent="0.3">
      <c r="A8">
        <f t="shared" si="0"/>
        <v>1996</v>
      </c>
      <c r="B8">
        <f>RCT!D8</f>
        <v>100</v>
      </c>
      <c r="C8">
        <f>CT!D8</f>
        <v>100</v>
      </c>
      <c r="D8" t="e">
        <f>META!D8</f>
        <v>#DIV/0!</v>
      </c>
      <c r="E8">
        <f>REVIEW!D8</f>
        <v>7.1428571428571423</v>
      </c>
      <c r="F8">
        <f>CCJ!D8</f>
        <v>0</v>
      </c>
      <c r="G8">
        <f>ALL!D8</f>
        <v>11.748633879781421</v>
      </c>
    </row>
    <row r="9" spans="1:45" x14ac:dyDescent="0.3">
      <c r="A9">
        <f t="shared" si="0"/>
        <v>1997</v>
      </c>
      <c r="B9">
        <f>RCT!D9</f>
        <v>100</v>
      </c>
      <c r="C9">
        <f>CT!D9</f>
        <v>35.714285714285715</v>
      </c>
      <c r="D9" t="e">
        <f>META!D9</f>
        <v>#DIV/0!</v>
      </c>
      <c r="E9">
        <f>REVIEW!D9</f>
        <v>1.1235955056179776</v>
      </c>
      <c r="F9">
        <f>CCJ!D9</f>
        <v>14.285714285714285</v>
      </c>
      <c r="G9">
        <f>ALL!D9</f>
        <v>17.729204614450516</v>
      </c>
    </row>
    <row r="10" spans="1:45" x14ac:dyDescent="0.3">
      <c r="A10">
        <f t="shared" si="0"/>
        <v>1998</v>
      </c>
      <c r="B10">
        <f>RCT!D10</f>
        <v>80</v>
      </c>
      <c r="C10">
        <f>CT!D10</f>
        <v>30</v>
      </c>
      <c r="D10" t="e">
        <f>META!D10</f>
        <v>#DIV/0!</v>
      </c>
      <c r="E10">
        <f>REVIEW!D10</f>
        <v>2.083333333333333</v>
      </c>
      <c r="F10">
        <f>CCJ!D10</f>
        <v>66.666666666666657</v>
      </c>
      <c r="G10">
        <f>ALL!D10</f>
        <v>20.479178551055334</v>
      </c>
    </row>
    <row r="11" spans="1:45" x14ac:dyDescent="0.3">
      <c r="A11">
        <f t="shared" si="0"/>
        <v>1999</v>
      </c>
      <c r="B11">
        <f>RCT!D11</f>
        <v>83.333333333333343</v>
      </c>
      <c r="C11">
        <f>CT!D11</f>
        <v>50</v>
      </c>
      <c r="D11">
        <f>META!D11</f>
        <v>100</v>
      </c>
      <c r="E11">
        <f>REVIEW!D11</f>
        <v>1.6949152542372881</v>
      </c>
      <c r="F11">
        <f>CCJ!D11</f>
        <v>30</v>
      </c>
      <c r="G11">
        <f>ALL!D11</f>
        <v>20.876288659793815</v>
      </c>
    </row>
    <row r="12" spans="1:45" x14ac:dyDescent="0.3">
      <c r="A12">
        <f t="shared" si="0"/>
        <v>2000</v>
      </c>
      <c r="B12">
        <f>RCT!D12</f>
        <v>90</v>
      </c>
      <c r="C12">
        <f>CT!D12</f>
        <v>66.666666666666657</v>
      </c>
      <c r="D12">
        <f>META!D12</f>
        <v>0</v>
      </c>
      <c r="E12">
        <f>REVIEW!D12</f>
        <v>7.4534161490683228</v>
      </c>
      <c r="F12">
        <f>CCJ!D12</f>
        <v>54.54545454545454</v>
      </c>
      <c r="G12">
        <f>ALL!D12</f>
        <v>20.088954781319497</v>
      </c>
    </row>
    <row r="13" spans="1:45" x14ac:dyDescent="0.3">
      <c r="A13">
        <f t="shared" si="0"/>
        <v>2001</v>
      </c>
      <c r="B13">
        <f>RCT!D13</f>
        <v>71.428571428571431</v>
      </c>
      <c r="C13">
        <f>CT!D13</f>
        <v>91.666666666666657</v>
      </c>
      <c r="D13">
        <f>META!D13</f>
        <v>50</v>
      </c>
      <c r="E13">
        <f>REVIEW!D13</f>
        <v>6.2706270627062706</v>
      </c>
      <c r="F13">
        <f>CCJ!D13</f>
        <v>33.333333333333329</v>
      </c>
      <c r="G13">
        <f>ALL!D13</f>
        <v>26.198767747120279</v>
      </c>
    </row>
    <row r="14" spans="1:45" x14ac:dyDescent="0.3">
      <c r="A14">
        <f t="shared" si="0"/>
        <v>2002</v>
      </c>
      <c r="B14">
        <f>RCT!D14</f>
        <v>76.923076923076934</v>
      </c>
      <c r="C14">
        <f>CT!D14</f>
        <v>59.259259259259252</v>
      </c>
      <c r="D14">
        <f>META!D14</f>
        <v>77.777777777777786</v>
      </c>
      <c r="E14">
        <f>REVIEW!D14</f>
        <v>12.564102564102564</v>
      </c>
      <c r="F14">
        <f>CCJ!D14</f>
        <v>61.003236245954696</v>
      </c>
      <c r="G14">
        <f>ALL!D14</f>
        <v>32.567275584364566</v>
      </c>
    </row>
    <row r="15" spans="1:45" x14ac:dyDescent="0.3">
      <c r="A15">
        <f t="shared" si="0"/>
        <v>2003</v>
      </c>
      <c r="B15">
        <f>RCT!D15</f>
        <v>73.529411764705884</v>
      </c>
      <c r="C15">
        <f>CT!D15</f>
        <v>57.28155339805825</v>
      </c>
      <c r="D15">
        <f>META!D15</f>
        <v>73.333333333333329</v>
      </c>
      <c r="E15">
        <f>REVIEW!D15</f>
        <v>11.445783132530121</v>
      </c>
      <c r="F15">
        <f>CCJ!D15</f>
        <v>50.980392156862742</v>
      </c>
      <c r="G15">
        <f>ALL!D15</f>
        <v>32.905067808708068</v>
      </c>
    </row>
    <row r="16" spans="1:45" x14ac:dyDescent="0.3">
      <c r="A16">
        <f t="shared" si="0"/>
        <v>2004</v>
      </c>
      <c r="B16">
        <f>RCT!D16</f>
        <v>82.165605095541409</v>
      </c>
      <c r="C16">
        <f>CT!D16</f>
        <v>61.734693877551017</v>
      </c>
      <c r="D16">
        <f>META!D16</f>
        <v>82.758620689655174</v>
      </c>
      <c r="E16">
        <f>REVIEW!D16</f>
        <v>16.201117318435752</v>
      </c>
      <c r="F16">
        <f>CCJ!D16</f>
        <v>52.818371607515658</v>
      </c>
      <c r="G16">
        <f>ALL!D16</f>
        <v>33.447198906890499</v>
      </c>
    </row>
    <row r="17" spans="1:7" x14ac:dyDescent="0.3">
      <c r="A17">
        <f t="shared" si="0"/>
        <v>2005</v>
      </c>
      <c r="B17">
        <f>RCT!D17</f>
        <v>79.473684210526315</v>
      </c>
      <c r="C17">
        <f>CT!D17</f>
        <v>69.142857142857139</v>
      </c>
      <c r="D17">
        <f>META!D17</f>
        <v>78.723404255319153</v>
      </c>
      <c r="E17">
        <f>REVIEW!D17</f>
        <v>15.178571428571427</v>
      </c>
      <c r="F17">
        <f>CCJ!D17</f>
        <v>56.301369863013697</v>
      </c>
      <c r="G17">
        <f>ALL!D17</f>
        <v>34.529434299578597</v>
      </c>
    </row>
    <row r="18" spans="1:7" x14ac:dyDescent="0.3">
      <c r="A18">
        <f t="shared" si="0"/>
        <v>2006</v>
      </c>
      <c r="B18">
        <f>RCT!D18</f>
        <v>76.744186046511629</v>
      </c>
      <c r="C18">
        <f>CT!D18</f>
        <v>73.170731707317074</v>
      </c>
      <c r="D18">
        <f>META!D18</f>
        <v>69.841269841269835</v>
      </c>
      <c r="E18">
        <f>REVIEW!D18</f>
        <v>16.099773242630384</v>
      </c>
      <c r="F18">
        <f>CCJ!D18</f>
        <v>56.533333333333339</v>
      </c>
      <c r="G18">
        <f>ALL!D18</f>
        <v>36.345051109449017</v>
      </c>
    </row>
    <row r="19" spans="1:7" x14ac:dyDescent="0.3">
      <c r="A19">
        <f t="shared" si="0"/>
        <v>2007</v>
      </c>
      <c r="B19">
        <f>RCT!D19</f>
        <v>74.369747899159663</v>
      </c>
      <c r="C19">
        <f>CT!D19</f>
        <v>75.862068965517238</v>
      </c>
      <c r="D19">
        <f>META!D19</f>
        <v>58.241758241758248</v>
      </c>
      <c r="E19">
        <f>REVIEW!D19</f>
        <v>16.166134185303516</v>
      </c>
      <c r="F19">
        <f>CCJ!D19</f>
        <v>55.939086294416242</v>
      </c>
      <c r="G19">
        <f>ALL!D19</f>
        <v>39.180500563042607</v>
      </c>
    </row>
    <row r="20" spans="1:7" x14ac:dyDescent="0.3">
      <c r="A20">
        <f t="shared" si="0"/>
        <v>2008</v>
      </c>
      <c r="B20">
        <f>RCT!D20</f>
        <v>77.513227513227505</v>
      </c>
      <c r="C20">
        <f>CT!D20</f>
        <v>80.110497237569049</v>
      </c>
      <c r="D20">
        <f>META!D20</f>
        <v>78.472222222222214</v>
      </c>
      <c r="E20">
        <f>REVIEW!D20</f>
        <v>16.861030126336249</v>
      </c>
      <c r="F20">
        <f>CCJ!D20</f>
        <v>59.603399433427761</v>
      </c>
      <c r="G20">
        <f>ALL!D20</f>
        <v>38.070878842342964</v>
      </c>
    </row>
    <row r="21" spans="1:7" x14ac:dyDescent="0.3">
      <c r="A21">
        <f t="shared" si="0"/>
        <v>2009</v>
      </c>
      <c r="B21">
        <f>RCT!D21</f>
        <v>73.513011152416354</v>
      </c>
      <c r="C21">
        <f>CT!D21</f>
        <v>81.105990783410135</v>
      </c>
      <c r="D21">
        <f>META!D21</f>
        <v>80.568720379146924</v>
      </c>
      <c r="E21">
        <f>REVIEW!D21</f>
        <v>18.185388845247445</v>
      </c>
      <c r="F21">
        <f>CCJ!D21</f>
        <v>65.418894830659539</v>
      </c>
      <c r="G21">
        <f>ALL!D21</f>
        <v>39.172261409025239</v>
      </c>
    </row>
    <row r="22" spans="1:7" x14ac:dyDescent="0.3">
      <c r="A22">
        <f t="shared" si="0"/>
        <v>2010</v>
      </c>
      <c r="B22">
        <f>RCT!D22</f>
        <v>72.366621067031474</v>
      </c>
      <c r="C22">
        <f>CT!D22</f>
        <v>78.729281767955811</v>
      </c>
      <c r="D22">
        <f>META!D22</f>
        <v>76.470588235294116</v>
      </c>
      <c r="E22">
        <f>REVIEW!D22</f>
        <v>18.704092339979013</v>
      </c>
      <c r="F22">
        <f>CCJ!D22</f>
        <v>66.568668626627471</v>
      </c>
      <c r="G22">
        <f>ALL!D22</f>
        <v>41.657724652509174</v>
      </c>
    </row>
    <row r="23" spans="1:7" x14ac:dyDescent="0.3">
      <c r="A23">
        <f t="shared" si="0"/>
        <v>2011</v>
      </c>
      <c r="B23">
        <f>RCT!D23</f>
        <v>72.442486539402836</v>
      </c>
      <c r="C23">
        <f>CT!D23</f>
        <v>80.511811023622045</v>
      </c>
      <c r="D23">
        <f>META!D23</f>
        <v>80.961538461538467</v>
      </c>
      <c r="E23">
        <f>REVIEW!D23</f>
        <v>15.927010587970264</v>
      </c>
      <c r="F23">
        <f>CCJ!D23</f>
        <v>65.67619047619047</v>
      </c>
      <c r="G23">
        <f>ALL!D23</f>
        <v>43.296107240368549</v>
      </c>
    </row>
    <row r="24" spans="1:7" x14ac:dyDescent="0.3">
      <c r="A24">
        <f>A22+2</f>
        <v>2012</v>
      </c>
      <c r="B24">
        <f>RCT!D24</f>
        <v>74.970249900833011</v>
      </c>
      <c r="C24">
        <f>CT!D24</f>
        <v>83.275663206459043</v>
      </c>
      <c r="D24">
        <f>META!D24</f>
        <v>83.152827918170885</v>
      </c>
      <c r="E24">
        <f>REVIEW!D24</f>
        <v>15.947063688999172</v>
      </c>
      <c r="F24">
        <f>CCJ!D24</f>
        <v>64.996471418489762</v>
      </c>
      <c r="G24">
        <f>ALL!D24</f>
        <v>46.002066186380958</v>
      </c>
    </row>
    <row r="25" spans="1:7" x14ac:dyDescent="0.3">
      <c r="A25">
        <f t="shared" si="0"/>
        <v>2013</v>
      </c>
      <c r="B25">
        <f>RCT!D25</f>
        <v>74.270020237062738</v>
      </c>
      <c r="C25">
        <f>CT!D25</f>
        <v>82.924961715160791</v>
      </c>
      <c r="D25">
        <f>META!D25</f>
        <v>84.790334044065389</v>
      </c>
      <c r="E25">
        <f>REVIEW!D25</f>
        <v>15.821144232549528</v>
      </c>
      <c r="F25">
        <f>CCJ!D25</f>
        <v>63.958602846054333</v>
      </c>
      <c r="G25">
        <f>ALL!D25</f>
        <v>48.076257061841169</v>
      </c>
    </row>
    <row r="26" spans="1:7" x14ac:dyDescent="0.3">
      <c r="A26">
        <f t="shared" si="0"/>
        <v>2014</v>
      </c>
      <c r="B26">
        <f>RCT!D26</f>
        <v>74.247412982126065</v>
      </c>
      <c r="C26">
        <f>CT!D26</f>
        <v>82.316655243317342</v>
      </c>
      <c r="D26">
        <f>META!D26</f>
        <v>86.994063680518082</v>
      </c>
      <c r="E26">
        <f>REVIEW!D26</f>
        <v>16.784992784992784</v>
      </c>
      <c r="F26">
        <f>CCJ!D26</f>
        <v>64.805290227773696</v>
      </c>
      <c r="G26">
        <f>ALL!D26</f>
        <v>48.130754607072376</v>
      </c>
    </row>
    <row r="27" spans="1:7" x14ac:dyDescent="0.3">
      <c r="A27">
        <f t="shared" si="0"/>
        <v>2015</v>
      </c>
      <c r="B27">
        <f>RCT!D27</f>
        <v>75.308117297067582</v>
      </c>
      <c r="C27">
        <f>CT!D27</f>
        <v>83.208191126279857</v>
      </c>
      <c r="D27">
        <f>META!D27</f>
        <v>85.976627712854764</v>
      </c>
      <c r="E27">
        <f>REVIEW!D27</f>
        <v>17.00343714196438</v>
      </c>
      <c r="F27">
        <f>CCJ!D27</f>
        <v>65.986277873070335</v>
      </c>
      <c r="G27">
        <f>ALL!D27</f>
        <v>48.888862437956035</v>
      </c>
    </row>
    <row r="28" spans="1:7" x14ac:dyDescent="0.3">
      <c r="A28">
        <f t="shared" si="0"/>
        <v>2016</v>
      </c>
      <c r="B28">
        <f>RCT!D28</f>
        <v>76.097271648873075</v>
      </c>
      <c r="C28">
        <f>CT!D28</f>
        <v>84.750337381916324</v>
      </c>
      <c r="D28">
        <f>META!D28</f>
        <v>87.294364718235911</v>
      </c>
      <c r="E28">
        <f>REVIEW!D28</f>
        <v>17.996540924601508</v>
      </c>
      <c r="F28">
        <f>CCJ!D28</f>
        <v>66.335014311026313</v>
      </c>
      <c r="G28">
        <f>ALL!D28</f>
        <v>50.404843533445188</v>
      </c>
    </row>
    <row r="29" spans="1:7" x14ac:dyDescent="0.3">
      <c r="A29">
        <f t="shared" si="0"/>
        <v>2017</v>
      </c>
      <c r="B29">
        <f>RCT!D29</f>
        <v>76.359338061465721</v>
      </c>
      <c r="C29">
        <f>CT!D29</f>
        <v>85.289747399702819</v>
      </c>
      <c r="D29">
        <f>META!D29</f>
        <v>88.371313672922241</v>
      </c>
      <c r="E29">
        <f>REVIEW!D29</f>
        <v>17.645592755670016</v>
      </c>
      <c r="F29">
        <f>CCJ!D29</f>
        <v>59.073842302878596</v>
      </c>
      <c r="G29">
        <f>ALL!D29</f>
        <v>51.334449044305472</v>
      </c>
    </row>
    <row r="30" spans="1:7" x14ac:dyDescent="0.3">
      <c r="A30">
        <f t="shared" si="0"/>
        <v>2018</v>
      </c>
      <c r="B30">
        <f>RCT!D30</f>
        <v>79.504039075709187</v>
      </c>
      <c r="C30">
        <f>CT!D30</f>
        <v>82.539682539682531</v>
      </c>
      <c r="D30">
        <f>META!D30</f>
        <v>87.59372869802317</v>
      </c>
      <c r="E30">
        <f>REVIEW!D30</f>
        <v>16.970866970866972</v>
      </c>
      <c r="F30">
        <f>CCJ!D30</f>
        <v>57.750112157918352</v>
      </c>
      <c r="G30">
        <f>ALL!D30</f>
        <v>50.144983910322146</v>
      </c>
    </row>
    <row r="31" spans="1:7" x14ac:dyDescent="0.3">
      <c r="A31">
        <f t="shared" si="0"/>
        <v>2019</v>
      </c>
      <c r="B31">
        <f>RCT!D31</f>
        <v>81.618772317633059</v>
      </c>
      <c r="C31">
        <f>CT!D31</f>
        <v>81.165501165501169</v>
      </c>
      <c r="D31">
        <f>META!D31</f>
        <v>86.0527732902531</v>
      </c>
      <c r="E31">
        <f>REVIEW!D31</f>
        <v>17.202469661486056</v>
      </c>
      <c r="F31">
        <f>CCJ!D31</f>
        <v>56.028368794326241</v>
      </c>
      <c r="G31">
        <f>ALL!D31</f>
        <v>50.826302335469528</v>
      </c>
    </row>
    <row r="32" spans="1:7" x14ac:dyDescent="0.3">
      <c r="A32">
        <f t="shared" si="0"/>
        <v>2020</v>
      </c>
      <c r="B32">
        <f>RCT!D32</f>
        <v>81.831045705391261</v>
      </c>
      <c r="C32">
        <f>CT!D32</f>
        <v>81.088082901554401</v>
      </c>
      <c r="D32">
        <f>META!D32</f>
        <v>86.280746395250205</v>
      </c>
      <c r="E32">
        <f>REVIEW!D32</f>
        <v>16.637310461020064</v>
      </c>
      <c r="F32">
        <f>CCJ!D32</f>
        <v>45.883979491906217</v>
      </c>
      <c r="G32">
        <f>ALL!D32</f>
        <v>47.951682319366732</v>
      </c>
    </row>
    <row r="33" spans="1:7" x14ac:dyDescent="0.3">
      <c r="A33">
        <f t="shared" si="0"/>
        <v>2021</v>
      </c>
      <c r="B33">
        <f>RCT!D33</f>
        <v>83.218842001962713</v>
      </c>
      <c r="C33">
        <f>CT!D33</f>
        <v>81.476683937823836</v>
      </c>
      <c r="D33">
        <f>META!D33</f>
        <v>84.245381666085734</v>
      </c>
      <c r="E33">
        <f>REVIEW!D33</f>
        <v>17.743697593750856</v>
      </c>
      <c r="F33">
        <f>CCJ!D33</f>
        <v>49.840305775171473</v>
      </c>
      <c r="G33">
        <f>ALL!D33</f>
        <v>49.52993268317433</v>
      </c>
    </row>
    <row r="34" spans="1:7" x14ac:dyDescent="0.3">
      <c r="A34">
        <f t="shared" si="0"/>
        <v>2022</v>
      </c>
      <c r="B34">
        <f>RCT!D34</f>
        <v>84.610636765764838</v>
      </c>
      <c r="C34">
        <f>CT!D34</f>
        <v>79.623168178646196</v>
      </c>
      <c r="D34">
        <f>META!D34</f>
        <v>86.310492822258396</v>
      </c>
      <c r="E34">
        <f>REVIEW!D34</f>
        <v>19.061376476630716</v>
      </c>
      <c r="F34">
        <f>CCJ!D34</f>
        <v>54.304743339831063</v>
      </c>
      <c r="G34">
        <f>ALL!D34</f>
        <v>49.900546571617511</v>
      </c>
    </row>
    <row r="35" spans="1:7" x14ac:dyDescent="0.3">
      <c r="A35">
        <f t="shared" si="0"/>
        <v>2023</v>
      </c>
      <c r="B35">
        <f>RCT!D35</f>
        <v>85.009935419771494</v>
      </c>
      <c r="C35">
        <f>CT!D35</f>
        <v>77.715355805243448</v>
      </c>
      <c r="D35">
        <f>META!D35</f>
        <v>86.803563339876192</v>
      </c>
      <c r="E35">
        <f>REVIEW!D35</f>
        <v>20.461038321347651</v>
      </c>
      <c r="F35">
        <f>CCJ!D35</f>
        <v>57.51032533874357</v>
      </c>
      <c r="G35">
        <f>ALL!D35</f>
        <v>49.370176425614169</v>
      </c>
    </row>
    <row r="36" spans="1:7" x14ac:dyDescent="0.3">
      <c r="A36">
        <f t="shared" si="0"/>
        <v>2024</v>
      </c>
      <c r="B36">
        <f>RCT!D36</f>
        <v>86.594244770599786</v>
      </c>
      <c r="C36">
        <f>CT!D36</f>
        <v>78.824833702882486</v>
      </c>
      <c r="D36">
        <f>META!D36</f>
        <v>88.410256410256409</v>
      </c>
      <c r="E36">
        <f>REVIEW!D36</f>
        <v>20.286666055438403</v>
      </c>
      <c r="F36">
        <f>CCJ!D36</f>
        <v>60.349293891535048</v>
      </c>
      <c r="G36">
        <f>ALL!D36</f>
        <v>51.019372538582019</v>
      </c>
    </row>
    <row r="37" spans="1:7" x14ac:dyDescent="0.3">
      <c r="A37">
        <v>2025</v>
      </c>
      <c r="B37">
        <f>RCT!D37</f>
        <v>87.213206491326247</v>
      </c>
      <c r="C37">
        <f>CT!D37</f>
        <v>82.710280373831779</v>
      </c>
      <c r="D37">
        <f>META!D37</f>
        <v>88.828654404646656</v>
      </c>
      <c r="E37">
        <f>REVIEW!D37</f>
        <v>21.006612250829559</v>
      </c>
      <c r="F37">
        <f>CCJ!D37</f>
        <v>59.180590117312484</v>
      </c>
      <c r="G37">
        <f>ALL!D37</f>
        <v>53.317368509289324</v>
      </c>
    </row>
    <row r="38" spans="1:7" x14ac:dyDescent="0.3">
      <c r="A38" t="s">
        <v>8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6</v>
      </c>
      <c r="B39" t="e">
        <f>RCT!D39</f>
        <v>#DIV/0!</v>
      </c>
      <c r="C39" t="e">
        <f>CT!D39</f>
        <v>#DIV/0!</v>
      </c>
      <c r="D39" t="e">
        <f>META!D39</f>
        <v>#DIV/0!</v>
      </c>
      <c r="E39">
        <f>REVIEW!D39</f>
        <v>21.006612250829559</v>
      </c>
      <c r="F39" t="e">
        <f>CCJ!D39</f>
        <v>#DIV/0!</v>
      </c>
      <c r="G39">
        <f>ALL!D39</f>
        <v>53.317368509289324</v>
      </c>
    </row>
    <row r="40" spans="1:7" x14ac:dyDescent="0.3">
      <c r="A40" t="s">
        <v>7</v>
      </c>
      <c r="B40" t="e">
        <f>RCT!D40</f>
        <v>#DIV/0!</v>
      </c>
      <c r="C40" t="e">
        <f>CT!D40</f>
        <v>#DIV/0!</v>
      </c>
      <c r="D40" t="e">
        <f>META!D40</f>
        <v>#DIV/0!</v>
      </c>
      <c r="E40">
        <f>REVIEW!D40</f>
        <v>0</v>
      </c>
      <c r="F40" t="e">
        <f>CCJ!D40</f>
        <v>#DIV/0!</v>
      </c>
      <c r="G40">
        <f>ALL!D40</f>
        <v>4.4534412955465585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opLeftCell="I7" zoomScale="85" zoomScaleNormal="85" workbookViewId="0">
      <selection activeCell="W25" sqref="W25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J2">
        <f>NEWagg!L2</f>
        <v>0</v>
      </c>
      <c r="K2" t="e">
        <f>NEWagg!M2</f>
        <v>#DIV/0!</v>
      </c>
      <c r="L2">
        <f>NEWagg!N2</f>
        <v>0</v>
      </c>
      <c r="M2">
        <f>NEWagg!O2</f>
        <v>100</v>
      </c>
      <c r="N2">
        <f>NEWagg!P2</f>
        <v>66.666666666666657</v>
      </c>
      <c r="O2">
        <f>NEWagg!Q2</f>
        <v>50</v>
      </c>
      <c r="P2">
        <f>NEWagg!R2</f>
        <v>100</v>
      </c>
      <c r="Q2">
        <f>NEWagg!S2</f>
        <v>100</v>
      </c>
      <c r="R2">
        <f>NEWagg!T2</f>
        <v>80</v>
      </c>
      <c r="S2">
        <f>NEWagg!U2</f>
        <v>83.333333333333343</v>
      </c>
      <c r="T2">
        <f>NEWagg!V2</f>
        <v>90</v>
      </c>
      <c r="U2">
        <f>NEWagg!W2</f>
        <v>71.428571428571431</v>
      </c>
      <c r="V2">
        <f>NEWagg!X2</f>
        <v>76.923076923076934</v>
      </c>
      <c r="W2">
        <f>NEWagg!Y2</f>
        <v>73.529411764705884</v>
      </c>
      <c r="X2">
        <f>NEWagg!Z2</f>
        <v>82.165605095541409</v>
      </c>
      <c r="Y2">
        <f>NEWagg!AA2</f>
        <v>79.473684210526315</v>
      </c>
      <c r="Z2">
        <f>NEWagg!AB2</f>
        <v>76.744186046511629</v>
      </c>
      <c r="AA2">
        <f>NEWagg!AC2</f>
        <v>74.369747899159663</v>
      </c>
      <c r="AB2">
        <f>NEWagg!AD2</f>
        <v>77.513227513227505</v>
      </c>
      <c r="AC2">
        <f>NEWagg!AE2</f>
        <v>73.513011152416354</v>
      </c>
      <c r="AD2">
        <f>NEWagg!AF2</f>
        <v>72.366621067031474</v>
      </c>
      <c r="AE2">
        <f>NEWagg!AG2</f>
        <v>72.442486539402836</v>
      </c>
      <c r="AF2">
        <f>NEWagg!AH2</f>
        <v>74.970249900833011</v>
      </c>
      <c r="AG2">
        <f>NEWagg!AI2</f>
        <v>74.270020237062738</v>
      </c>
      <c r="AH2">
        <f>NEWagg!AJ2</f>
        <v>74.247412982126065</v>
      </c>
      <c r="AI2">
        <f>NEWagg!AK2</f>
        <v>75.308117297067582</v>
      </c>
      <c r="AJ2">
        <f>NEWagg!AL2</f>
        <v>76.097271648873075</v>
      </c>
      <c r="AK2">
        <f>NEWagg!AM2</f>
        <v>76.359338061465721</v>
      </c>
      <c r="AL2">
        <f>NEWagg!AN2</f>
        <v>79.504039075709187</v>
      </c>
      <c r="AM2">
        <f>NEWagg!AO2</f>
        <v>81.618772317633059</v>
      </c>
      <c r="AN2">
        <f>NEWagg!AP2</f>
        <v>81.831045705391261</v>
      </c>
      <c r="AO2">
        <f>NEWagg!AQ2</f>
        <v>83.218842001962713</v>
      </c>
      <c r="AP2">
        <f>NEWagg!AR2</f>
        <v>84.610636765764838</v>
      </c>
      <c r="AQ2">
        <f>NEWagg!AS2</f>
        <v>85.009935419771494</v>
      </c>
      <c r="AR2">
        <f>NEWagg!AT2</f>
        <v>86.594244770599786</v>
      </c>
      <c r="AS2">
        <f>NEWagg!AU2</f>
        <v>87.213206491326247</v>
      </c>
    </row>
    <row r="3" spans="9:45" x14ac:dyDescent="0.3">
      <c r="I3" t="str">
        <f>NEWagg!K3</f>
        <v>Clinical trial</v>
      </c>
      <c r="J3">
        <f>NEWagg!L3</f>
        <v>100</v>
      </c>
      <c r="K3" t="e">
        <f>NEWagg!M3</f>
        <v>#DIV/0!</v>
      </c>
      <c r="L3" t="e">
        <f>NEWagg!N3</f>
        <v>#DIV/0!</v>
      </c>
      <c r="M3" t="e">
        <f>NEWagg!O3</f>
        <v>#DIV/0!</v>
      </c>
      <c r="N3" t="e">
        <f>NEWagg!P3</f>
        <v>#DIV/0!</v>
      </c>
      <c r="O3">
        <f>NEWagg!Q3</f>
        <v>100</v>
      </c>
      <c r="P3">
        <f>NEWagg!R3</f>
        <v>100</v>
      </c>
      <c r="Q3">
        <f>NEWagg!S3</f>
        <v>35.714285714285715</v>
      </c>
      <c r="R3">
        <f>NEWagg!T3</f>
        <v>30</v>
      </c>
      <c r="S3">
        <f>NEWagg!U3</f>
        <v>50</v>
      </c>
      <c r="T3">
        <f>NEWagg!V3</f>
        <v>66.666666666666657</v>
      </c>
      <c r="U3">
        <f>NEWagg!W3</f>
        <v>91.666666666666657</v>
      </c>
      <c r="V3">
        <f>NEWagg!X3</f>
        <v>59.259259259259252</v>
      </c>
      <c r="W3">
        <f>NEWagg!Y3</f>
        <v>57.28155339805825</v>
      </c>
      <c r="X3">
        <f>NEWagg!Z3</f>
        <v>61.734693877551017</v>
      </c>
      <c r="Y3">
        <f>NEWagg!AA3</f>
        <v>69.142857142857139</v>
      </c>
      <c r="Z3">
        <f>NEWagg!AB3</f>
        <v>73.170731707317074</v>
      </c>
      <c r="AA3">
        <f>NEWagg!AC3</f>
        <v>75.862068965517238</v>
      </c>
      <c r="AB3">
        <f>NEWagg!AD3</f>
        <v>80.110497237569049</v>
      </c>
      <c r="AC3">
        <f>NEWagg!AE3</f>
        <v>81.105990783410135</v>
      </c>
      <c r="AD3">
        <f>NEWagg!AF3</f>
        <v>78.729281767955811</v>
      </c>
      <c r="AE3">
        <f>NEWagg!AG3</f>
        <v>80.511811023622045</v>
      </c>
      <c r="AF3">
        <f>NEWagg!AH3</f>
        <v>83.275663206459043</v>
      </c>
      <c r="AG3">
        <f>NEWagg!AI3</f>
        <v>82.924961715160791</v>
      </c>
      <c r="AH3">
        <f>NEWagg!AJ3</f>
        <v>82.316655243317342</v>
      </c>
      <c r="AI3">
        <f>NEWagg!AK3</f>
        <v>83.208191126279857</v>
      </c>
      <c r="AJ3">
        <f>NEWagg!AL3</f>
        <v>84.750337381916324</v>
      </c>
      <c r="AK3">
        <f>NEWagg!AM3</f>
        <v>85.289747399702819</v>
      </c>
      <c r="AL3">
        <f>NEWagg!AN3</f>
        <v>82.539682539682531</v>
      </c>
      <c r="AM3">
        <f>NEWagg!AO3</f>
        <v>81.165501165501169</v>
      </c>
      <c r="AN3">
        <f>NEWagg!AP3</f>
        <v>81.088082901554401</v>
      </c>
      <c r="AO3">
        <f>NEWagg!AQ3</f>
        <v>81.476683937823836</v>
      </c>
      <c r="AP3">
        <f>NEWagg!AR3</f>
        <v>79.623168178646196</v>
      </c>
      <c r="AQ3">
        <f>NEWagg!AS3</f>
        <v>77.715355805243448</v>
      </c>
      <c r="AR3">
        <f>NEWagg!AT3</f>
        <v>78.824833702882486</v>
      </c>
      <c r="AS3">
        <f>NEWagg!AU3</f>
        <v>82.710280373831779</v>
      </c>
    </row>
    <row r="4" spans="9:45" x14ac:dyDescent="0.3">
      <c r="I4" t="str">
        <f>NEWagg!K4</f>
        <v>Meta-analysis</v>
      </c>
      <c r="J4" t="e">
        <f>NEWagg!L4</f>
        <v>#DIV/0!</v>
      </c>
      <c r="K4">
        <f>NEWagg!M4</f>
        <v>0</v>
      </c>
      <c r="L4" t="e">
        <f>NEWagg!N4</f>
        <v>#DIV/0!</v>
      </c>
      <c r="M4" t="e">
        <f>NEWagg!O4</f>
        <v>#DIV/0!</v>
      </c>
      <c r="N4" t="e">
        <f>NEWagg!P4</f>
        <v>#DIV/0!</v>
      </c>
      <c r="O4" t="e">
        <f>NEWagg!Q4</f>
        <v>#DIV/0!</v>
      </c>
      <c r="P4" t="e">
        <f>NEWagg!R4</f>
        <v>#DIV/0!</v>
      </c>
      <c r="Q4" t="e">
        <f>NEWagg!S4</f>
        <v>#DIV/0!</v>
      </c>
      <c r="R4" t="e">
        <f>NEWagg!T4</f>
        <v>#DIV/0!</v>
      </c>
      <c r="S4">
        <f>NEWagg!U4</f>
        <v>100</v>
      </c>
      <c r="T4">
        <f>NEWagg!V4</f>
        <v>0</v>
      </c>
      <c r="U4">
        <f>NEWagg!W4</f>
        <v>50</v>
      </c>
      <c r="V4">
        <f>NEWagg!X4</f>
        <v>77.777777777777786</v>
      </c>
      <c r="W4">
        <f>NEWagg!Y4</f>
        <v>73.333333333333329</v>
      </c>
      <c r="X4">
        <f>NEWagg!Z4</f>
        <v>82.758620689655174</v>
      </c>
      <c r="Y4">
        <f>NEWagg!AA4</f>
        <v>78.723404255319153</v>
      </c>
      <c r="Z4">
        <f>NEWagg!AB4</f>
        <v>69.841269841269835</v>
      </c>
      <c r="AA4">
        <f>NEWagg!AC4</f>
        <v>58.241758241758248</v>
      </c>
      <c r="AB4">
        <f>NEWagg!AD4</f>
        <v>78.472222222222214</v>
      </c>
      <c r="AC4">
        <f>NEWagg!AE4</f>
        <v>80.568720379146924</v>
      </c>
      <c r="AD4">
        <f>NEWagg!AF4</f>
        <v>76.470588235294116</v>
      </c>
      <c r="AE4">
        <f>NEWagg!AG4</f>
        <v>80.961538461538467</v>
      </c>
      <c r="AF4">
        <f>NEWagg!AH4</f>
        <v>83.152827918170885</v>
      </c>
      <c r="AG4">
        <f>NEWagg!AI4</f>
        <v>84.790334044065389</v>
      </c>
      <c r="AH4">
        <f>NEWagg!AJ4</f>
        <v>86.994063680518082</v>
      </c>
      <c r="AI4">
        <f>NEWagg!AK4</f>
        <v>85.976627712854764</v>
      </c>
      <c r="AJ4">
        <f>NEWagg!AL4</f>
        <v>87.294364718235911</v>
      </c>
      <c r="AK4">
        <f>NEWagg!AM4</f>
        <v>88.371313672922241</v>
      </c>
      <c r="AL4">
        <f>NEWagg!AN4</f>
        <v>87.59372869802317</v>
      </c>
      <c r="AM4">
        <f>NEWagg!AO4</f>
        <v>86.0527732902531</v>
      </c>
      <c r="AN4">
        <f>NEWagg!AP4</f>
        <v>86.280746395250205</v>
      </c>
      <c r="AO4">
        <f>NEWagg!AQ4</f>
        <v>84.245381666085734</v>
      </c>
      <c r="AP4">
        <f>NEWagg!AR4</f>
        <v>86.310492822258396</v>
      </c>
      <c r="AQ4">
        <f>NEWagg!AS4</f>
        <v>86.803563339876192</v>
      </c>
      <c r="AR4">
        <f>NEWagg!AT4</f>
        <v>88.410256410256409</v>
      </c>
      <c r="AS4">
        <f>NEWagg!AU4</f>
        <v>88.828654404646656</v>
      </c>
    </row>
    <row r="5" spans="9:45" x14ac:dyDescent="0.3">
      <c r="I5" t="str">
        <f>NEWagg!K5</f>
        <v>Review</v>
      </c>
      <c r="J5">
        <f>NEWagg!L5</f>
        <v>0</v>
      </c>
      <c r="K5">
        <f>NEWagg!M5</f>
        <v>0</v>
      </c>
      <c r="L5">
        <f>NEWagg!N5</f>
        <v>0</v>
      </c>
      <c r="M5">
        <f>NEWagg!O5</f>
        <v>0</v>
      </c>
      <c r="N5">
        <f>NEWagg!P5</f>
        <v>15</v>
      </c>
      <c r="O5">
        <f>NEWagg!Q5</f>
        <v>20</v>
      </c>
      <c r="P5">
        <f>NEWagg!R5</f>
        <v>7.1428571428571423</v>
      </c>
      <c r="Q5">
        <f>NEWagg!S5</f>
        <v>1.1235955056179776</v>
      </c>
      <c r="R5">
        <f>NEWagg!T5</f>
        <v>2.083333333333333</v>
      </c>
      <c r="S5">
        <f>NEWagg!U5</f>
        <v>1.6949152542372881</v>
      </c>
      <c r="T5">
        <f>NEWagg!V5</f>
        <v>7.4534161490683228</v>
      </c>
      <c r="U5">
        <f>NEWagg!W5</f>
        <v>6.2706270627062706</v>
      </c>
      <c r="V5">
        <f>NEWagg!X5</f>
        <v>12.564102564102564</v>
      </c>
      <c r="W5">
        <f>NEWagg!Y5</f>
        <v>11.445783132530121</v>
      </c>
      <c r="X5">
        <f>NEWagg!Z5</f>
        <v>16.201117318435752</v>
      </c>
      <c r="Y5">
        <f>NEWagg!AA5</f>
        <v>15.178571428571427</v>
      </c>
      <c r="Z5">
        <f>NEWagg!AB5</f>
        <v>16.099773242630384</v>
      </c>
      <c r="AA5">
        <f>NEWagg!AC5</f>
        <v>16.166134185303516</v>
      </c>
      <c r="AB5">
        <f>NEWagg!AD5</f>
        <v>16.861030126336249</v>
      </c>
      <c r="AC5">
        <f>NEWagg!AE5</f>
        <v>18.185388845247445</v>
      </c>
      <c r="AD5">
        <f>NEWagg!AF5</f>
        <v>18.704092339979013</v>
      </c>
      <c r="AE5">
        <f>NEWagg!AG5</f>
        <v>15.927010587970264</v>
      </c>
      <c r="AF5">
        <f>NEWagg!AH5</f>
        <v>15.947063688999172</v>
      </c>
      <c r="AG5">
        <f>NEWagg!AI5</f>
        <v>15.821144232549528</v>
      </c>
      <c r="AH5">
        <f>NEWagg!AJ5</f>
        <v>16.784992784992784</v>
      </c>
      <c r="AI5">
        <f>NEWagg!AK5</f>
        <v>17.00343714196438</v>
      </c>
      <c r="AJ5">
        <f>NEWagg!AL5</f>
        <v>17.996540924601508</v>
      </c>
      <c r="AK5">
        <f>NEWagg!AM5</f>
        <v>17.645592755670016</v>
      </c>
      <c r="AL5">
        <f>NEWagg!AN5</f>
        <v>16.970866970866972</v>
      </c>
      <c r="AM5">
        <f>NEWagg!AO5</f>
        <v>17.202469661486056</v>
      </c>
      <c r="AN5">
        <f>NEWagg!AP5</f>
        <v>16.637310461020064</v>
      </c>
      <c r="AO5">
        <f>NEWagg!AQ5</f>
        <v>17.743697593750856</v>
      </c>
      <c r="AP5">
        <f>NEWagg!AR5</f>
        <v>19.061376476630716</v>
      </c>
      <c r="AQ5">
        <f>NEWagg!AS5</f>
        <v>20.461038321347651</v>
      </c>
      <c r="AR5">
        <f>NEWagg!AT5</f>
        <v>20.286666055438403</v>
      </c>
      <c r="AS5">
        <f>NEWagg!AU5</f>
        <v>21.006612250829559</v>
      </c>
    </row>
    <row r="6" spans="9:45" x14ac:dyDescent="0.3">
      <c r="I6" t="str">
        <f>NEWagg!K6</f>
        <v>Clinically Useful Journals</v>
      </c>
      <c r="J6" t="e">
        <f>NEWagg!L6</f>
        <v>#DIV/0!</v>
      </c>
      <c r="K6" t="e">
        <f>NEWagg!M6</f>
        <v>#DIV/0!</v>
      </c>
      <c r="L6">
        <f>NEWagg!N6</f>
        <v>0</v>
      </c>
      <c r="M6" t="e">
        <f>NEWagg!O6</f>
        <v>#DIV/0!</v>
      </c>
      <c r="N6" t="e">
        <f>NEWagg!P6</f>
        <v>#DIV/0!</v>
      </c>
      <c r="O6">
        <f>NEWagg!Q6</f>
        <v>50</v>
      </c>
      <c r="P6">
        <f>NEWagg!R6</f>
        <v>0</v>
      </c>
      <c r="Q6">
        <f>NEWagg!S6</f>
        <v>14.285714285714285</v>
      </c>
      <c r="R6">
        <f>NEWagg!T6</f>
        <v>66.666666666666657</v>
      </c>
      <c r="S6">
        <f>NEWagg!U6</f>
        <v>30</v>
      </c>
      <c r="T6">
        <f>NEWagg!V6</f>
        <v>54.54545454545454</v>
      </c>
      <c r="U6">
        <f>NEWagg!W6</f>
        <v>33.333333333333329</v>
      </c>
      <c r="V6">
        <f>NEWagg!X6</f>
        <v>61.003236245954696</v>
      </c>
      <c r="W6">
        <f>NEWagg!Y6</f>
        <v>50.980392156862742</v>
      </c>
      <c r="X6">
        <f>NEWagg!Z6</f>
        <v>52.818371607515658</v>
      </c>
      <c r="Y6">
        <f>NEWagg!AA6</f>
        <v>56.301369863013697</v>
      </c>
      <c r="Z6">
        <f>NEWagg!AB6</f>
        <v>56.533333333333339</v>
      </c>
      <c r="AA6">
        <f>NEWagg!AC6</f>
        <v>55.939086294416242</v>
      </c>
      <c r="AB6">
        <f>NEWagg!AD6</f>
        <v>59.603399433427761</v>
      </c>
      <c r="AC6">
        <f>NEWagg!AE6</f>
        <v>65.418894830659539</v>
      </c>
      <c r="AD6">
        <f>NEWagg!AF6</f>
        <v>66.568668626627471</v>
      </c>
      <c r="AE6">
        <f>NEWagg!AG6</f>
        <v>65.67619047619047</v>
      </c>
      <c r="AF6">
        <f>NEWagg!AH6</f>
        <v>64.996471418489762</v>
      </c>
      <c r="AG6">
        <f>NEWagg!AI6</f>
        <v>63.958602846054333</v>
      </c>
      <c r="AH6">
        <f>NEWagg!AJ6</f>
        <v>64.805290227773696</v>
      </c>
      <c r="AI6">
        <f>NEWagg!AK6</f>
        <v>65.986277873070335</v>
      </c>
      <c r="AJ6">
        <f>NEWagg!AL6</f>
        <v>66.335014311026313</v>
      </c>
      <c r="AK6">
        <f>NEWagg!AM6</f>
        <v>59.073842302878596</v>
      </c>
      <c r="AL6">
        <f>NEWagg!AN6</f>
        <v>57.750112157918352</v>
      </c>
      <c r="AM6">
        <f>NEWagg!AO6</f>
        <v>56.028368794326241</v>
      </c>
      <c r="AN6">
        <f>NEWagg!AP6</f>
        <v>45.883979491906217</v>
      </c>
      <c r="AO6">
        <f>NEWagg!AQ6</f>
        <v>49.840305775171473</v>
      </c>
      <c r="AP6">
        <f>NEWagg!AR6</f>
        <v>54.304743339831063</v>
      </c>
      <c r="AQ6">
        <f>NEWagg!AS6</f>
        <v>57.51032533874357</v>
      </c>
      <c r="AR6">
        <f>NEWagg!AT6</f>
        <v>60.349293891535048</v>
      </c>
      <c r="AS6">
        <f>NEWagg!AU6</f>
        <v>59.180590117312484</v>
      </c>
    </row>
    <row r="7" spans="9:45" x14ac:dyDescent="0.3">
      <c r="I7" t="str">
        <f>NEWagg!K7</f>
        <v>All MEDLINE</v>
      </c>
      <c r="J7">
        <f>NEWagg!L7</f>
        <v>5.2173913043478262</v>
      </c>
      <c r="K7">
        <f>NEWagg!M7</f>
        <v>4.4534412955465585</v>
      </c>
      <c r="L7">
        <f>NEWagg!N7</f>
        <v>6.2780269058295968</v>
      </c>
      <c r="M7">
        <f>NEWagg!O7</f>
        <v>7.3394495412844041</v>
      </c>
      <c r="N7">
        <f>NEWagg!P7</f>
        <v>10.493827160493826</v>
      </c>
      <c r="O7">
        <f>NEWagg!Q7</f>
        <v>10.158730158730158</v>
      </c>
      <c r="P7">
        <f>NEWagg!R7</f>
        <v>11.748633879781421</v>
      </c>
      <c r="Q7">
        <f>NEWagg!S7</f>
        <v>17.729204614450516</v>
      </c>
      <c r="R7">
        <f>NEWagg!T7</f>
        <v>20.479178551055334</v>
      </c>
      <c r="S7">
        <f>NEWagg!U7</f>
        <v>20.876288659793815</v>
      </c>
      <c r="T7">
        <f>NEWagg!V7</f>
        <v>20.088954781319497</v>
      </c>
      <c r="U7">
        <f>NEWagg!W7</f>
        <v>26.198767747120279</v>
      </c>
      <c r="V7">
        <f>NEWagg!X7</f>
        <v>32.567275584364566</v>
      </c>
      <c r="W7">
        <f>NEWagg!Y7</f>
        <v>32.905067808708068</v>
      </c>
      <c r="X7">
        <f>NEWagg!Z7</f>
        <v>33.447198906890499</v>
      </c>
      <c r="Y7">
        <f>NEWagg!AA7</f>
        <v>34.529434299578597</v>
      </c>
      <c r="Z7">
        <f>NEWagg!AB7</f>
        <v>36.345051109449017</v>
      </c>
      <c r="AA7">
        <f>NEWagg!AC7</f>
        <v>39.180500563042607</v>
      </c>
      <c r="AB7">
        <f>NEWagg!AD7</f>
        <v>38.070878842342964</v>
      </c>
      <c r="AC7">
        <f>NEWagg!AE7</f>
        <v>39.172261409025239</v>
      </c>
      <c r="AD7">
        <f>NEWagg!AF7</f>
        <v>41.657724652509174</v>
      </c>
      <c r="AE7">
        <f>NEWagg!AG7</f>
        <v>43.296107240368549</v>
      </c>
      <c r="AF7">
        <f>NEWagg!AH7</f>
        <v>46.002066186380958</v>
      </c>
      <c r="AG7">
        <f>NEWagg!AI7</f>
        <v>48.076257061841169</v>
      </c>
      <c r="AH7">
        <f>NEWagg!AJ7</f>
        <v>48.130754607072376</v>
      </c>
      <c r="AI7">
        <f>NEWagg!AK7</f>
        <v>48.888862437956035</v>
      </c>
      <c r="AJ7">
        <f>NEWagg!AL7</f>
        <v>50.404843533445188</v>
      </c>
      <c r="AK7">
        <f>NEWagg!AM7</f>
        <v>51.334449044305472</v>
      </c>
      <c r="AL7">
        <f>NEWagg!AN7</f>
        <v>50.144983910322146</v>
      </c>
      <c r="AM7">
        <f>NEWagg!AO7</f>
        <v>50.826302335469528</v>
      </c>
      <c r="AN7">
        <f>NEWagg!AP7</f>
        <v>47.951682319366732</v>
      </c>
      <c r="AO7">
        <f>NEWagg!AQ7</f>
        <v>49.52993268317433</v>
      </c>
      <c r="AP7">
        <f>NEWagg!AR7</f>
        <v>49.900546571617511</v>
      </c>
      <c r="AQ7">
        <f>NEWagg!AS7</f>
        <v>49.370176425614169</v>
      </c>
      <c r="AR7">
        <f>NEWagg!AT7</f>
        <v>51.019372538582019</v>
      </c>
      <c r="AS7">
        <f>NEWagg!AU7</f>
        <v>53.317368509289324</v>
      </c>
    </row>
    <row r="8" spans="9:45" x14ac:dyDescent="0.3">
      <c r="I8" t="str">
        <f>NEWagg!K8</f>
        <v>Observational study</v>
      </c>
      <c r="AD8" t="e">
        <f>NEWagg!AF8</f>
        <v>#DIV/0!</v>
      </c>
      <c r="AE8">
        <f>NEWagg!AG8</f>
        <v>100</v>
      </c>
      <c r="AF8">
        <f>NEWagg!AH8</f>
        <v>95.918367346938766</v>
      </c>
      <c r="AG8">
        <f>NEWagg!AI8</f>
        <v>85.475792988313856</v>
      </c>
      <c r="AH8">
        <f>NEWagg!AJ8</f>
        <v>82.30088495575221</v>
      </c>
      <c r="AI8">
        <f>NEWagg!AK8</f>
        <v>85.070892410341941</v>
      </c>
      <c r="AJ8">
        <f>NEWagg!AL8</f>
        <v>84.479947831757414</v>
      </c>
      <c r="AK8">
        <f>NEWagg!AM8</f>
        <v>84.129213483146074</v>
      </c>
      <c r="AL8">
        <f>NEWagg!AN8</f>
        <v>84.250188394875664</v>
      </c>
      <c r="AM8">
        <f>NEWagg!AO8</f>
        <v>83.522162591930041</v>
      </c>
      <c r="AN8">
        <f>NEWagg!AP8</f>
        <v>83.753071253071255</v>
      </c>
      <c r="AO8">
        <f>NEWagg!AQ8</f>
        <v>83.541147132169584</v>
      </c>
      <c r="AP8">
        <f>NEWagg!AR8</f>
        <v>82.859327217125383</v>
      </c>
      <c r="AQ8">
        <f>NEWagg!AS8</f>
        <v>83.414108777598273</v>
      </c>
      <c r="AR8">
        <f>NEWagg!AT8</f>
        <v>83.787724158040533</v>
      </c>
      <c r="AS8">
        <f>NEWagg!AU8</f>
        <v>84.125085440874912</v>
      </c>
    </row>
    <row r="9" spans="9:45" x14ac:dyDescent="0.3">
      <c r="I9" t="str">
        <f>NEWagg!K9</f>
        <v>Systematic review</v>
      </c>
      <c r="Q9" t="e">
        <f>NEWagg!S9</f>
        <v>#DIV/0!</v>
      </c>
      <c r="R9" t="e">
        <f>NEWagg!T9</f>
        <v>#DIV/0!</v>
      </c>
      <c r="S9" t="e">
        <f>NEWagg!U9</f>
        <v>#DIV/0!</v>
      </c>
      <c r="T9">
        <f>NEWagg!V9</f>
        <v>100</v>
      </c>
      <c r="U9">
        <f>NEWagg!W9</f>
        <v>50</v>
      </c>
      <c r="V9">
        <f>NEWagg!X9</f>
        <v>73.333333333333329</v>
      </c>
      <c r="W9">
        <f>NEWagg!Y9</f>
        <v>61.53846153846154</v>
      </c>
      <c r="X9">
        <f>NEWagg!Z9</f>
        <v>55.172413793103445</v>
      </c>
      <c r="Y9">
        <f>NEWagg!AA9</f>
        <v>63.829787234042556</v>
      </c>
      <c r="Z9">
        <f>NEWagg!AB9</f>
        <v>48.837209302325576</v>
      </c>
      <c r="AA9">
        <f>NEWagg!AC9</f>
        <v>56.98924731182796</v>
      </c>
      <c r="AB9">
        <f>NEWagg!AD9</f>
        <v>57.499999999999993</v>
      </c>
      <c r="AC9">
        <f>NEWagg!AE9</f>
        <v>62.895927601809952</v>
      </c>
      <c r="AD9">
        <f>NEWagg!AF9</f>
        <v>58.426966292134829</v>
      </c>
      <c r="AE9">
        <f>NEWagg!AG9</f>
        <v>62.135922330097081</v>
      </c>
      <c r="AF9">
        <f>NEWagg!AH9</f>
        <v>63.002680965147448</v>
      </c>
      <c r="AG9">
        <f>NEWagg!AI9</f>
        <v>61.021276595744681</v>
      </c>
      <c r="AH9">
        <f>NEWagg!AJ9</f>
        <v>63.085234093637453</v>
      </c>
      <c r="AI9">
        <f>NEWagg!AK9</f>
        <v>63.175046554934823</v>
      </c>
      <c r="AJ9">
        <f>NEWagg!AL9</f>
        <v>63.35216572504708</v>
      </c>
      <c r="AK9">
        <f>NEWagg!AM9</f>
        <v>64.5385587863464</v>
      </c>
      <c r="AL9">
        <f>NEWagg!AN9</f>
        <v>63.015278178149323</v>
      </c>
      <c r="AM9">
        <f>NEWagg!AO9</f>
        <v>64.279034972881988</v>
      </c>
      <c r="AN9">
        <f>NEWagg!AP9</f>
        <v>63.132760267430754</v>
      </c>
      <c r="AO9">
        <f>NEWagg!AQ9</f>
        <v>63.182874854707485</v>
      </c>
      <c r="AP9">
        <f>NEWagg!AR9</f>
        <v>63.892914346731757</v>
      </c>
      <c r="AQ9">
        <f>NEWagg!AS9</f>
        <v>65.672168770412213</v>
      </c>
      <c r="AR9">
        <f>NEWagg!AT9</f>
        <v>66.132487108290363</v>
      </c>
      <c r="AS9">
        <f>NEWagg!AU9</f>
        <v>65.306520890277227</v>
      </c>
    </row>
    <row r="12" spans="9:45" x14ac:dyDescent="0.3">
      <c r="W12" t="s">
        <v>20</v>
      </c>
    </row>
    <row r="39" spans="9:12" x14ac:dyDescent="0.3">
      <c r="I39" t="s">
        <v>10</v>
      </c>
      <c r="J39" t="s">
        <v>11</v>
      </c>
      <c r="K39" t="s">
        <v>12</v>
      </c>
    </row>
    <row r="40" spans="9:12" x14ac:dyDescent="0.3">
      <c r="I40" t="str">
        <f t="shared" ref="I40:I45" si="0">I2</f>
        <v>Randomized controlled trial</v>
      </c>
      <c r="J40">
        <f>[1]RCT!$B$38</f>
        <v>92098</v>
      </c>
      <c r="K40" t="str">
        <f>[1]RCT!$C$38 &amp;" ("&amp;[1]RCT!$C$40&amp;"-"&amp;[1]RCT!$C$39&amp;")"</f>
        <v>74493 (0-8225)</v>
      </c>
    </row>
    <row r="41" spans="9:12" x14ac:dyDescent="0.3">
      <c r="I41" t="str">
        <f t="shared" si="0"/>
        <v>Clinical trial</v>
      </c>
      <c r="J41">
        <f>[1]CT!$B$38</f>
        <v>22376</v>
      </c>
      <c r="K41" t="str">
        <f>[1]CT!$C$38 &amp;" ("&amp;[1]CT!$C$40&amp;"-"&amp;[1]CT!$C$39&amp;")"</f>
        <v>18166 (0-1887)</v>
      </c>
    </row>
    <row r="42" spans="9:12" x14ac:dyDescent="0.3">
      <c r="I42" t="str">
        <f t="shared" si="0"/>
        <v>Meta-analysis</v>
      </c>
      <c r="J42">
        <f>[1]META!$B$38</f>
        <v>56261</v>
      </c>
      <c r="K42" t="str">
        <f>[1]META!$C$38 &amp;" ("&amp;[1]META!$C$40&amp;"-"&amp;[1]META!$C$39&amp;")"</f>
        <v>48690 (0-6034)</v>
      </c>
    </row>
    <row r="43" spans="9:12" x14ac:dyDescent="0.3">
      <c r="I43" t="str">
        <f t="shared" si="0"/>
        <v>Review</v>
      </c>
      <c r="J43">
        <f>[1]REVIEW!$B$38</f>
        <v>560454</v>
      </c>
      <c r="K43" t="str">
        <f>[1]REVIEW!$C$38 &amp;" ("&amp;[1]REVIEW!$C$40&amp;"-"&amp;[1]REVIEW!$C$39&amp;")"</f>
        <v>103542 (0-14845)</v>
      </c>
    </row>
    <row r="44" spans="9:12" x14ac:dyDescent="0.3">
      <c r="I44" t="str">
        <f t="shared" si="0"/>
        <v>Clinically Useful Journals</v>
      </c>
      <c r="J44">
        <f>[1]CCJ!$B$38</f>
        <v>156986</v>
      </c>
      <c r="K44" t="str">
        <f>[1]CCJ!$C$38 &amp;" ("&amp;[1]CCJ!$C$40&amp;"-"&amp;[1]CCJ!$C$39&amp;")"</f>
        <v>89148 (0-10029)</v>
      </c>
    </row>
    <row r="45" spans="9:12" x14ac:dyDescent="0.3">
      <c r="I45" t="str">
        <f t="shared" si="0"/>
        <v>All MEDLINE</v>
      </c>
      <c r="J45">
        <f>[1]ALL!$B$38</f>
        <v>6397787</v>
      </c>
      <c r="K45" t="str">
        <f>[1]ALL!$C$38 &amp;" ("&amp;[1]ALL!$C$40&amp;"-"&amp;[1]ALL!$C$39&amp;")"</f>
        <v>3154830 (11-384088)</v>
      </c>
    </row>
    <row r="46" spans="9:12" x14ac:dyDescent="0.3">
      <c r="I46" t="s">
        <v>13</v>
      </c>
      <c r="J46">
        <v>215849</v>
      </c>
      <c r="K46" t="s">
        <v>19</v>
      </c>
    </row>
    <row r="47" spans="9:12" ht="18" customHeight="1" x14ac:dyDescent="0.3">
      <c r="I47" t="s">
        <v>15</v>
      </c>
      <c r="J47">
        <v>343422</v>
      </c>
      <c r="K47" t="s">
        <v>18</v>
      </c>
      <c r="L47" s="1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Normal="100" workbookViewId="0">
      <selection activeCell="F1" sqref="F1"/>
    </sheetView>
  </sheetViews>
  <sheetFormatPr defaultRowHeight="17.25" x14ac:dyDescent="0.3"/>
  <sheetData>
    <row r="1" spans="1:47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14</v>
      </c>
      <c r="I1" t="s">
        <v>16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0</v>
      </c>
      <c r="C2">
        <f>CT!D2</f>
        <v>100</v>
      </c>
      <c r="D2" t="e">
        <f>META!D2</f>
        <v>#DIV/0!</v>
      </c>
      <c r="E2">
        <f>REVIEW!D2</f>
        <v>0</v>
      </c>
      <c r="F2" t="e">
        <f>CCJ!D2</f>
        <v>#DIV/0!</v>
      </c>
      <c r="G2">
        <f>ALL!D2</f>
        <v>5.2173913043478262</v>
      </c>
      <c r="H2" t="e">
        <f>OBS!D2</f>
        <v>#DIV/0!</v>
      </c>
      <c r="I2" t="e">
        <f>SYSREV!D2</f>
        <v>#DIV/0!</v>
      </c>
      <c r="K2" t="str">
        <v>Randomized controlled trial</v>
      </c>
      <c r="L2">
        <v>0</v>
      </c>
      <c r="M2" t="e">
        <v>#DIV/0!</v>
      </c>
      <c r="N2">
        <v>0</v>
      </c>
      <c r="O2">
        <v>100</v>
      </c>
      <c r="P2">
        <v>66.666666666666657</v>
      </c>
      <c r="Q2">
        <v>50</v>
      </c>
      <c r="R2">
        <v>100</v>
      </c>
      <c r="S2">
        <v>100</v>
      </c>
      <c r="T2">
        <v>80</v>
      </c>
      <c r="U2">
        <v>83.333333333333343</v>
      </c>
      <c r="V2">
        <v>90</v>
      </c>
      <c r="W2">
        <v>71.428571428571431</v>
      </c>
      <c r="X2">
        <v>76.923076923076934</v>
      </c>
      <c r="Y2">
        <v>73.529411764705884</v>
      </c>
      <c r="Z2">
        <v>82.165605095541409</v>
      </c>
      <c r="AA2">
        <v>79.473684210526315</v>
      </c>
      <c r="AB2">
        <v>76.744186046511629</v>
      </c>
      <c r="AC2">
        <v>74.369747899159663</v>
      </c>
      <c r="AD2">
        <v>77.513227513227505</v>
      </c>
      <c r="AE2">
        <v>73.513011152416354</v>
      </c>
      <c r="AF2">
        <v>72.366621067031474</v>
      </c>
      <c r="AG2">
        <v>72.442486539402836</v>
      </c>
      <c r="AH2">
        <v>74.970249900833011</v>
      </c>
      <c r="AI2">
        <v>74.270020237062738</v>
      </c>
      <c r="AJ2">
        <v>74.247412982126065</v>
      </c>
      <c r="AK2">
        <v>75.308117297067582</v>
      </c>
      <c r="AL2">
        <v>76.097271648873075</v>
      </c>
      <c r="AM2">
        <v>76.359338061465721</v>
      </c>
      <c r="AN2">
        <v>79.504039075709187</v>
      </c>
      <c r="AO2">
        <v>81.618772317633059</v>
      </c>
      <c r="AP2">
        <v>81.831045705391261</v>
      </c>
      <c r="AQ2">
        <v>83.218842001962713</v>
      </c>
      <c r="AR2">
        <v>84.610636765764838</v>
      </c>
      <c r="AS2">
        <v>85.009935419771494</v>
      </c>
      <c r="AT2">
        <v>86.594244770599786</v>
      </c>
      <c r="AU2">
        <v>87.213206491326247</v>
      </c>
    </row>
    <row r="3" spans="1:47" x14ac:dyDescent="0.3">
      <c r="A3">
        <v>1991</v>
      </c>
      <c r="B3" t="e">
        <f>RCT!D3</f>
        <v>#DIV/0!</v>
      </c>
      <c r="C3" t="e">
        <f>CT!D3</f>
        <v>#DIV/0!</v>
      </c>
      <c r="D3">
        <f>META!D3</f>
        <v>0</v>
      </c>
      <c r="E3">
        <f>REVIEW!D3</f>
        <v>0</v>
      </c>
      <c r="F3" t="e">
        <f>CCJ!D3</f>
        <v>#DIV/0!</v>
      </c>
      <c r="G3">
        <f>ALL!D3</f>
        <v>4.4534412955465585</v>
      </c>
      <c r="H3" t="e">
        <f>OBS!D3</f>
        <v>#DIV/0!</v>
      </c>
      <c r="I3" t="e">
        <f>SYSREV!D3</f>
        <v>#DIV/0!</v>
      </c>
      <c r="K3" t="str">
        <v>Clinical trial</v>
      </c>
      <c r="L3">
        <v>100</v>
      </c>
      <c r="M3" t="e">
        <v>#DIV/0!</v>
      </c>
      <c r="N3" t="e">
        <v>#DIV/0!</v>
      </c>
      <c r="O3" t="e">
        <v>#DIV/0!</v>
      </c>
      <c r="P3" t="e">
        <v>#DIV/0!</v>
      </c>
      <c r="Q3">
        <v>100</v>
      </c>
      <c r="R3">
        <v>100</v>
      </c>
      <c r="S3">
        <v>35.714285714285715</v>
      </c>
      <c r="T3">
        <v>30</v>
      </c>
      <c r="U3">
        <v>50</v>
      </c>
      <c r="V3">
        <v>66.666666666666657</v>
      </c>
      <c r="W3">
        <v>91.666666666666657</v>
      </c>
      <c r="X3">
        <v>59.259259259259252</v>
      </c>
      <c r="Y3">
        <v>57.28155339805825</v>
      </c>
      <c r="Z3">
        <v>61.734693877551017</v>
      </c>
      <c r="AA3">
        <v>69.142857142857139</v>
      </c>
      <c r="AB3">
        <v>73.170731707317074</v>
      </c>
      <c r="AC3">
        <v>75.862068965517238</v>
      </c>
      <c r="AD3">
        <v>80.110497237569049</v>
      </c>
      <c r="AE3">
        <v>81.105990783410135</v>
      </c>
      <c r="AF3">
        <v>78.729281767955811</v>
      </c>
      <c r="AG3">
        <v>80.511811023622045</v>
      </c>
      <c r="AH3">
        <v>83.275663206459043</v>
      </c>
      <c r="AI3">
        <v>82.924961715160791</v>
      </c>
      <c r="AJ3">
        <v>82.316655243317342</v>
      </c>
      <c r="AK3">
        <v>83.208191126279857</v>
      </c>
      <c r="AL3">
        <v>84.750337381916324</v>
      </c>
      <c r="AM3">
        <v>85.289747399702819</v>
      </c>
      <c r="AN3">
        <v>82.539682539682531</v>
      </c>
      <c r="AO3">
        <v>81.165501165501169</v>
      </c>
      <c r="AP3">
        <v>81.088082901554401</v>
      </c>
      <c r="AQ3">
        <v>81.476683937823836</v>
      </c>
      <c r="AR3">
        <v>79.623168178646196</v>
      </c>
      <c r="AS3">
        <v>77.715355805243448</v>
      </c>
      <c r="AT3">
        <v>78.824833702882486</v>
      </c>
      <c r="AU3">
        <v>82.710280373831779</v>
      </c>
    </row>
    <row r="4" spans="1:47" x14ac:dyDescent="0.3">
      <c r="A4">
        <f>A2+2</f>
        <v>1992</v>
      </c>
      <c r="B4">
        <f>RCT!D4</f>
        <v>0</v>
      </c>
      <c r="C4" t="e">
        <f>CT!D4</f>
        <v>#DIV/0!</v>
      </c>
      <c r="D4" t="e">
        <f>META!D4</f>
        <v>#DIV/0!</v>
      </c>
      <c r="E4">
        <f>REVIEW!D4</f>
        <v>0</v>
      </c>
      <c r="F4">
        <f>CCJ!D4</f>
        <v>0</v>
      </c>
      <c r="G4">
        <f>ALL!D4</f>
        <v>6.2780269058295968</v>
      </c>
      <c r="H4" t="e">
        <f>OBS!D4</f>
        <v>#DIV/0!</v>
      </c>
      <c r="I4" t="e">
        <f>SYSREV!D4</f>
        <v>#DIV/0!</v>
      </c>
      <c r="K4" t="str">
        <v>Meta-analysis</v>
      </c>
      <c r="L4" t="e">
        <v>#DIV/0!</v>
      </c>
      <c r="M4">
        <v>0</v>
      </c>
      <c r="N4" t="e">
        <v>#DIV/0!</v>
      </c>
      <c r="O4" t="e">
        <v>#DIV/0!</v>
      </c>
      <c r="P4" t="e">
        <v>#DIV/0!</v>
      </c>
      <c r="Q4" t="e">
        <v>#DIV/0!</v>
      </c>
      <c r="R4" t="e">
        <v>#DIV/0!</v>
      </c>
      <c r="S4" t="e">
        <v>#DIV/0!</v>
      </c>
      <c r="T4" t="e">
        <v>#DIV/0!</v>
      </c>
      <c r="U4">
        <v>100</v>
      </c>
      <c r="V4">
        <v>0</v>
      </c>
      <c r="W4">
        <v>50</v>
      </c>
      <c r="X4">
        <v>77.777777777777786</v>
      </c>
      <c r="Y4">
        <v>73.333333333333329</v>
      </c>
      <c r="Z4">
        <v>82.758620689655174</v>
      </c>
      <c r="AA4">
        <v>78.723404255319153</v>
      </c>
      <c r="AB4">
        <v>69.841269841269835</v>
      </c>
      <c r="AC4">
        <v>58.241758241758248</v>
      </c>
      <c r="AD4">
        <v>78.472222222222214</v>
      </c>
      <c r="AE4">
        <v>80.568720379146924</v>
      </c>
      <c r="AF4">
        <v>76.470588235294116</v>
      </c>
      <c r="AG4">
        <v>80.961538461538467</v>
      </c>
      <c r="AH4">
        <v>83.152827918170885</v>
      </c>
      <c r="AI4">
        <v>84.790334044065389</v>
      </c>
      <c r="AJ4">
        <v>86.994063680518082</v>
      </c>
      <c r="AK4">
        <v>85.976627712854764</v>
      </c>
      <c r="AL4">
        <v>87.294364718235911</v>
      </c>
      <c r="AM4">
        <v>88.371313672922241</v>
      </c>
      <c r="AN4">
        <v>87.59372869802317</v>
      </c>
      <c r="AO4">
        <v>86.0527732902531</v>
      </c>
      <c r="AP4">
        <v>86.280746395250205</v>
      </c>
      <c r="AQ4">
        <v>84.245381666085734</v>
      </c>
      <c r="AR4">
        <v>86.310492822258396</v>
      </c>
      <c r="AS4">
        <v>86.803563339876192</v>
      </c>
      <c r="AT4">
        <v>88.410256410256409</v>
      </c>
      <c r="AU4">
        <v>88.828654404646656</v>
      </c>
    </row>
    <row r="5" spans="1:47" x14ac:dyDescent="0.3">
      <c r="A5">
        <f t="shared" ref="A5:A36" si="0">A3+2</f>
        <v>1993</v>
      </c>
      <c r="B5">
        <f>RCT!D5</f>
        <v>100</v>
      </c>
      <c r="C5" t="e">
        <f>CT!D5</f>
        <v>#DIV/0!</v>
      </c>
      <c r="D5" t="e">
        <f>META!D5</f>
        <v>#DIV/0!</v>
      </c>
      <c r="E5">
        <f>REVIEW!D5</f>
        <v>0</v>
      </c>
      <c r="F5" t="e">
        <f>CCJ!D5</f>
        <v>#DIV/0!</v>
      </c>
      <c r="G5">
        <f>ALL!D5</f>
        <v>7.3394495412844041</v>
      </c>
      <c r="H5" t="e">
        <f>OBS!D5</f>
        <v>#DIV/0!</v>
      </c>
      <c r="I5" t="e">
        <f>SYSREV!D5</f>
        <v>#DIV/0!</v>
      </c>
      <c r="K5" t="str">
        <v>Review</v>
      </c>
      <c r="L5">
        <v>0</v>
      </c>
      <c r="M5">
        <v>0</v>
      </c>
      <c r="N5">
        <v>0</v>
      </c>
      <c r="O5">
        <v>0</v>
      </c>
      <c r="P5">
        <v>15</v>
      </c>
      <c r="Q5">
        <v>20</v>
      </c>
      <c r="R5">
        <v>7.1428571428571423</v>
      </c>
      <c r="S5">
        <v>1.1235955056179776</v>
      </c>
      <c r="T5">
        <v>2.083333333333333</v>
      </c>
      <c r="U5">
        <v>1.6949152542372881</v>
      </c>
      <c r="V5">
        <v>7.4534161490683228</v>
      </c>
      <c r="W5">
        <v>6.2706270627062706</v>
      </c>
      <c r="X5">
        <v>12.564102564102564</v>
      </c>
      <c r="Y5">
        <v>11.445783132530121</v>
      </c>
      <c r="Z5">
        <v>16.201117318435752</v>
      </c>
      <c r="AA5">
        <v>15.178571428571427</v>
      </c>
      <c r="AB5">
        <v>16.099773242630384</v>
      </c>
      <c r="AC5">
        <v>16.166134185303516</v>
      </c>
      <c r="AD5">
        <v>16.861030126336249</v>
      </c>
      <c r="AE5">
        <v>18.185388845247445</v>
      </c>
      <c r="AF5">
        <v>18.704092339979013</v>
      </c>
      <c r="AG5">
        <v>15.927010587970264</v>
      </c>
      <c r="AH5">
        <v>15.947063688999172</v>
      </c>
      <c r="AI5">
        <v>15.821144232549528</v>
      </c>
      <c r="AJ5">
        <v>16.784992784992784</v>
      </c>
      <c r="AK5">
        <v>17.00343714196438</v>
      </c>
      <c r="AL5">
        <v>17.996540924601508</v>
      </c>
      <c r="AM5">
        <v>17.645592755670016</v>
      </c>
      <c r="AN5">
        <v>16.970866970866972</v>
      </c>
      <c r="AO5">
        <v>17.202469661486056</v>
      </c>
      <c r="AP5">
        <v>16.637310461020064</v>
      </c>
      <c r="AQ5">
        <v>17.743697593750856</v>
      </c>
      <c r="AR5">
        <v>19.061376476630716</v>
      </c>
      <c r="AS5">
        <v>20.461038321347651</v>
      </c>
      <c r="AT5">
        <v>20.286666055438403</v>
      </c>
      <c r="AU5">
        <v>21.006612250829559</v>
      </c>
    </row>
    <row r="6" spans="1:47" x14ac:dyDescent="0.3">
      <c r="A6">
        <f t="shared" si="0"/>
        <v>1994</v>
      </c>
      <c r="B6">
        <f>RCT!D6</f>
        <v>66.666666666666657</v>
      </c>
      <c r="C6" t="e">
        <f>CT!D6</f>
        <v>#DIV/0!</v>
      </c>
      <c r="D6" t="e">
        <f>META!D6</f>
        <v>#DIV/0!</v>
      </c>
      <c r="E6">
        <f>REVIEW!D6</f>
        <v>15</v>
      </c>
      <c r="F6" t="e">
        <f>CCJ!D6</f>
        <v>#DIV/0!</v>
      </c>
      <c r="G6">
        <f>ALL!D6</f>
        <v>10.493827160493826</v>
      </c>
      <c r="H6" t="e">
        <f>OBS!D6</f>
        <v>#DIV/0!</v>
      </c>
      <c r="I6" t="e">
        <f>SYSREV!D6</f>
        <v>#DIV/0!</v>
      </c>
      <c r="K6" t="str">
        <v>Clinically Useful Journals</v>
      </c>
      <c r="L6" t="e">
        <v>#DIV/0!</v>
      </c>
      <c r="M6" t="e">
        <v>#DIV/0!</v>
      </c>
      <c r="N6">
        <v>0</v>
      </c>
      <c r="O6" t="e">
        <v>#DIV/0!</v>
      </c>
      <c r="P6" t="e">
        <v>#DIV/0!</v>
      </c>
      <c r="Q6">
        <v>50</v>
      </c>
      <c r="R6">
        <v>0</v>
      </c>
      <c r="S6">
        <v>14.285714285714285</v>
      </c>
      <c r="T6">
        <v>66.666666666666657</v>
      </c>
      <c r="U6">
        <v>30</v>
      </c>
      <c r="V6">
        <v>54.54545454545454</v>
      </c>
      <c r="W6">
        <v>33.333333333333329</v>
      </c>
      <c r="X6">
        <v>61.003236245954696</v>
      </c>
      <c r="Y6">
        <v>50.980392156862742</v>
      </c>
      <c r="Z6">
        <v>52.818371607515658</v>
      </c>
      <c r="AA6">
        <v>56.301369863013697</v>
      </c>
      <c r="AB6">
        <v>56.533333333333339</v>
      </c>
      <c r="AC6">
        <v>55.939086294416242</v>
      </c>
      <c r="AD6">
        <v>59.603399433427761</v>
      </c>
      <c r="AE6">
        <v>65.418894830659539</v>
      </c>
      <c r="AF6">
        <v>66.568668626627471</v>
      </c>
      <c r="AG6">
        <v>65.67619047619047</v>
      </c>
      <c r="AH6">
        <v>64.996471418489762</v>
      </c>
      <c r="AI6">
        <v>63.958602846054333</v>
      </c>
      <c r="AJ6">
        <v>64.805290227773696</v>
      </c>
      <c r="AK6">
        <v>65.986277873070335</v>
      </c>
      <c r="AL6">
        <v>66.335014311026313</v>
      </c>
      <c r="AM6">
        <v>59.073842302878596</v>
      </c>
      <c r="AN6">
        <v>57.750112157918352</v>
      </c>
      <c r="AO6">
        <v>56.028368794326241</v>
      </c>
      <c r="AP6">
        <v>45.883979491906217</v>
      </c>
      <c r="AQ6">
        <v>49.840305775171473</v>
      </c>
      <c r="AR6">
        <v>54.304743339831063</v>
      </c>
      <c r="AS6">
        <v>57.51032533874357</v>
      </c>
      <c r="AT6">
        <v>60.349293891535048</v>
      </c>
      <c r="AU6">
        <v>59.180590117312484</v>
      </c>
    </row>
    <row r="7" spans="1:47" x14ac:dyDescent="0.3">
      <c r="A7">
        <f t="shared" si="0"/>
        <v>1995</v>
      </c>
      <c r="B7">
        <f>RCT!D7</f>
        <v>50</v>
      </c>
      <c r="C7">
        <f>CT!D7</f>
        <v>100</v>
      </c>
      <c r="D7" t="e">
        <f>META!D7</f>
        <v>#DIV/0!</v>
      </c>
      <c r="E7">
        <f>REVIEW!D7</f>
        <v>20</v>
      </c>
      <c r="F7">
        <f>CCJ!D7</f>
        <v>50</v>
      </c>
      <c r="G7">
        <f>ALL!D7</f>
        <v>10.158730158730158</v>
      </c>
      <c r="H7" t="e">
        <f>OBS!D7</f>
        <v>#DIV/0!</v>
      </c>
      <c r="I7" t="e">
        <f>SYSREV!D7</f>
        <v>#DIV/0!</v>
      </c>
      <c r="K7" t="str">
        <v>All MEDLINE</v>
      </c>
      <c r="L7">
        <v>5.2173913043478262</v>
      </c>
      <c r="M7">
        <v>4.4534412955465585</v>
      </c>
      <c r="N7">
        <v>6.2780269058295968</v>
      </c>
      <c r="O7">
        <v>7.3394495412844041</v>
      </c>
      <c r="P7">
        <v>10.493827160493826</v>
      </c>
      <c r="Q7">
        <v>10.158730158730158</v>
      </c>
      <c r="R7">
        <v>11.748633879781421</v>
      </c>
      <c r="S7">
        <v>17.729204614450516</v>
      </c>
      <c r="T7">
        <v>20.479178551055334</v>
      </c>
      <c r="U7">
        <v>20.876288659793815</v>
      </c>
      <c r="V7">
        <v>20.088954781319497</v>
      </c>
      <c r="W7">
        <v>26.198767747120279</v>
      </c>
      <c r="X7">
        <v>32.567275584364566</v>
      </c>
      <c r="Y7">
        <v>32.905067808708068</v>
      </c>
      <c r="Z7">
        <v>33.447198906890499</v>
      </c>
      <c r="AA7">
        <v>34.529434299578597</v>
      </c>
      <c r="AB7">
        <v>36.345051109449017</v>
      </c>
      <c r="AC7">
        <v>39.180500563042607</v>
      </c>
      <c r="AD7">
        <v>38.070878842342964</v>
      </c>
      <c r="AE7">
        <v>39.172261409025239</v>
      </c>
      <c r="AF7">
        <v>41.657724652509174</v>
      </c>
      <c r="AG7">
        <v>43.296107240368549</v>
      </c>
      <c r="AH7">
        <v>46.002066186380958</v>
      </c>
      <c r="AI7">
        <v>48.076257061841169</v>
      </c>
      <c r="AJ7">
        <v>48.130754607072376</v>
      </c>
      <c r="AK7">
        <v>48.888862437956035</v>
      </c>
      <c r="AL7">
        <v>50.404843533445188</v>
      </c>
      <c r="AM7">
        <v>51.334449044305472</v>
      </c>
      <c r="AN7">
        <v>50.144983910322146</v>
      </c>
      <c r="AO7">
        <v>50.826302335469528</v>
      </c>
      <c r="AP7">
        <v>47.951682319366732</v>
      </c>
      <c r="AQ7">
        <v>49.52993268317433</v>
      </c>
      <c r="AR7">
        <v>49.900546571617511</v>
      </c>
      <c r="AS7">
        <v>49.370176425614169</v>
      </c>
      <c r="AT7">
        <v>51.019372538582019</v>
      </c>
      <c r="AU7">
        <v>53.317368509289324</v>
      </c>
    </row>
    <row r="8" spans="1:47" x14ac:dyDescent="0.3">
      <c r="A8">
        <f t="shared" si="0"/>
        <v>1996</v>
      </c>
      <c r="B8">
        <f>RCT!D8</f>
        <v>100</v>
      </c>
      <c r="C8">
        <f>CT!D8</f>
        <v>100</v>
      </c>
      <c r="D8" t="e">
        <f>META!D8</f>
        <v>#DIV/0!</v>
      </c>
      <c r="E8">
        <f>REVIEW!D8</f>
        <v>7.1428571428571423</v>
      </c>
      <c r="F8">
        <f>CCJ!D8</f>
        <v>0</v>
      </c>
      <c r="G8">
        <f>ALL!D8</f>
        <v>11.748633879781421</v>
      </c>
      <c r="H8" t="e">
        <f>OBS!D8</f>
        <v>#DIV/0!</v>
      </c>
      <c r="I8" t="e">
        <f>SYSREV!D8</f>
        <v>#DIV/0!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>
        <v>100</v>
      </c>
      <c r="AC8" t="e">
        <v>#DIV/0!</v>
      </c>
      <c r="AD8" t="e">
        <v>#DIV/0!</v>
      </c>
      <c r="AE8" t="e">
        <v>#DIV/0!</v>
      </c>
      <c r="AF8" t="e">
        <v>#DIV/0!</v>
      </c>
      <c r="AG8">
        <v>100</v>
      </c>
      <c r="AH8">
        <v>95.918367346938766</v>
      </c>
      <c r="AI8">
        <v>85.475792988313856</v>
      </c>
      <c r="AJ8">
        <v>82.30088495575221</v>
      </c>
      <c r="AK8">
        <v>85.070892410341941</v>
      </c>
      <c r="AL8">
        <v>84.479947831757414</v>
      </c>
      <c r="AM8">
        <v>84.129213483146074</v>
      </c>
      <c r="AN8">
        <v>84.250188394875664</v>
      </c>
      <c r="AO8">
        <v>83.522162591930041</v>
      </c>
      <c r="AP8">
        <v>83.753071253071255</v>
      </c>
      <c r="AQ8">
        <v>83.541147132169584</v>
      </c>
      <c r="AR8">
        <v>82.859327217125383</v>
      </c>
      <c r="AS8">
        <v>83.414108777598273</v>
      </c>
      <c r="AT8">
        <v>83.787724158040533</v>
      </c>
      <c r="AU8">
        <v>84.125085440874912</v>
      </c>
    </row>
    <row r="9" spans="1:47" x14ac:dyDescent="0.3">
      <c r="A9">
        <f t="shared" si="0"/>
        <v>1997</v>
      </c>
      <c r="B9">
        <f>RCT!D9</f>
        <v>100</v>
      </c>
      <c r="C9">
        <f>CT!D9</f>
        <v>35.714285714285715</v>
      </c>
      <c r="D9" t="e">
        <f>META!D9</f>
        <v>#DIV/0!</v>
      </c>
      <c r="E9">
        <f>REVIEW!D9</f>
        <v>1.1235955056179776</v>
      </c>
      <c r="F9">
        <f>CCJ!D9</f>
        <v>14.285714285714285</v>
      </c>
      <c r="G9">
        <f>ALL!D9</f>
        <v>17.729204614450516</v>
      </c>
      <c r="H9" t="e">
        <f>OBS!D9</f>
        <v>#DIV/0!</v>
      </c>
      <c r="I9" t="e">
        <f>SYSREV!D9</f>
        <v>#DIV/0!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 t="e">
        <v>#DIV/0!</v>
      </c>
      <c r="R9" t="e">
        <v>#DIV/0!</v>
      </c>
      <c r="S9" t="e">
        <v>#DIV/0!</v>
      </c>
      <c r="T9" t="e">
        <v>#DIV/0!</v>
      </c>
      <c r="U9" t="e">
        <v>#DIV/0!</v>
      </c>
      <c r="V9">
        <v>100</v>
      </c>
      <c r="W9">
        <v>50</v>
      </c>
      <c r="X9">
        <v>73.333333333333329</v>
      </c>
      <c r="Y9">
        <v>61.53846153846154</v>
      </c>
      <c r="Z9">
        <v>55.172413793103445</v>
      </c>
      <c r="AA9">
        <v>63.829787234042556</v>
      </c>
      <c r="AB9">
        <v>48.837209302325576</v>
      </c>
      <c r="AC9">
        <v>56.98924731182796</v>
      </c>
      <c r="AD9">
        <v>57.499999999999993</v>
      </c>
      <c r="AE9">
        <v>62.895927601809952</v>
      </c>
      <c r="AF9">
        <v>58.426966292134829</v>
      </c>
      <c r="AG9">
        <v>62.135922330097081</v>
      </c>
      <c r="AH9">
        <v>63.002680965147448</v>
      </c>
      <c r="AI9">
        <v>61.021276595744681</v>
      </c>
      <c r="AJ9">
        <v>63.085234093637453</v>
      </c>
      <c r="AK9">
        <v>63.175046554934823</v>
      </c>
      <c r="AL9">
        <v>63.35216572504708</v>
      </c>
      <c r="AM9">
        <v>64.5385587863464</v>
      </c>
      <c r="AN9">
        <v>63.015278178149323</v>
      </c>
      <c r="AO9">
        <v>64.279034972881988</v>
      </c>
      <c r="AP9">
        <v>63.132760267430754</v>
      </c>
      <c r="AQ9">
        <v>63.182874854707485</v>
      </c>
      <c r="AR9">
        <v>63.892914346731757</v>
      </c>
      <c r="AS9">
        <v>65.672168770412213</v>
      </c>
      <c r="AT9">
        <v>66.132487108290363</v>
      </c>
      <c r="AU9">
        <v>65.306520890277227</v>
      </c>
    </row>
    <row r="10" spans="1:47" x14ac:dyDescent="0.3">
      <c r="A10">
        <f t="shared" si="0"/>
        <v>1998</v>
      </c>
      <c r="B10">
        <f>RCT!D10</f>
        <v>80</v>
      </c>
      <c r="C10">
        <f>CT!D10</f>
        <v>30</v>
      </c>
      <c r="D10" t="e">
        <f>META!D10</f>
        <v>#DIV/0!</v>
      </c>
      <c r="E10">
        <f>REVIEW!D10</f>
        <v>2.083333333333333</v>
      </c>
      <c r="F10">
        <f>CCJ!D10</f>
        <v>66.666666666666657</v>
      </c>
      <c r="G10">
        <f>ALL!D10</f>
        <v>20.479178551055334</v>
      </c>
      <c r="H10" t="e">
        <f>OBS!D10</f>
        <v>#DIV/0!</v>
      </c>
      <c r="I10" t="e">
        <f>SYSREV!D10</f>
        <v>#DIV/0!</v>
      </c>
    </row>
    <row r="11" spans="1:47" x14ac:dyDescent="0.3">
      <c r="A11">
        <f t="shared" si="0"/>
        <v>1999</v>
      </c>
      <c r="B11">
        <f>RCT!D11</f>
        <v>83.333333333333343</v>
      </c>
      <c r="C11">
        <f>CT!D11</f>
        <v>50</v>
      </c>
      <c r="D11">
        <f>META!D11</f>
        <v>100</v>
      </c>
      <c r="E11">
        <f>REVIEW!D11</f>
        <v>1.6949152542372881</v>
      </c>
      <c r="F11">
        <f>CCJ!D11</f>
        <v>30</v>
      </c>
      <c r="G11">
        <f>ALL!D11</f>
        <v>20.876288659793815</v>
      </c>
      <c r="H11" t="e">
        <f>OBS!D11</f>
        <v>#DIV/0!</v>
      </c>
      <c r="I11" t="e">
        <f>SYSREV!D11</f>
        <v>#DIV/0!</v>
      </c>
    </row>
    <row r="12" spans="1:47" x14ac:dyDescent="0.3">
      <c r="A12">
        <f t="shared" si="0"/>
        <v>2000</v>
      </c>
      <c r="B12">
        <f>RCT!D12</f>
        <v>90</v>
      </c>
      <c r="C12">
        <f>CT!D12</f>
        <v>66.666666666666657</v>
      </c>
      <c r="D12">
        <f>META!D12</f>
        <v>0</v>
      </c>
      <c r="E12">
        <f>REVIEW!D12</f>
        <v>7.4534161490683228</v>
      </c>
      <c r="F12">
        <f>CCJ!D12</f>
        <v>54.54545454545454</v>
      </c>
      <c r="G12">
        <f>ALL!D12</f>
        <v>20.088954781319497</v>
      </c>
      <c r="H12" t="e">
        <f>OBS!D12</f>
        <v>#DIV/0!</v>
      </c>
      <c r="I12">
        <f>SYSREV!D12</f>
        <v>100</v>
      </c>
    </row>
    <row r="13" spans="1:47" x14ac:dyDescent="0.3">
      <c r="A13">
        <f t="shared" si="0"/>
        <v>2001</v>
      </c>
      <c r="B13">
        <f>RCT!D13</f>
        <v>71.428571428571431</v>
      </c>
      <c r="C13">
        <f>CT!D13</f>
        <v>91.666666666666657</v>
      </c>
      <c r="D13">
        <f>META!D13</f>
        <v>50</v>
      </c>
      <c r="E13">
        <f>REVIEW!D13</f>
        <v>6.2706270627062706</v>
      </c>
      <c r="F13">
        <f>CCJ!D13</f>
        <v>33.333333333333329</v>
      </c>
      <c r="G13">
        <f>ALL!D13</f>
        <v>26.198767747120279</v>
      </c>
      <c r="H13" t="e">
        <f>OBS!D13</f>
        <v>#DIV/0!</v>
      </c>
      <c r="I13">
        <f>SYSREV!D13</f>
        <v>50</v>
      </c>
    </row>
    <row r="14" spans="1:47" x14ac:dyDescent="0.3">
      <c r="A14">
        <f t="shared" si="0"/>
        <v>2002</v>
      </c>
      <c r="B14">
        <f>RCT!D14</f>
        <v>76.923076923076934</v>
      </c>
      <c r="C14">
        <f>CT!D14</f>
        <v>59.259259259259252</v>
      </c>
      <c r="D14">
        <f>META!D14</f>
        <v>77.777777777777786</v>
      </c>
      <c r="E14">
        <f>REVIEW!D14</f>
        <v>12.564102564102564</v>
      </c>
      <c r="F14">
        <f>CCJ!D14</f>
        <v>61.003236245954696</v>
      </c>
      <c r="G14">
        <f>ALL!D14</f>
        <v>32.567275584364566</v>
      </c>
      <c r="H14" t="e">
        <f>OBS!D14</f>
        <v>#DIV/0!</v>
      </c>
      <c r="I14">
        <f>SYSREV!D14</f>
        <v>73.333333333333329</v>
      </c>
    </row>
    <row r="15" spans="1:47" x14ac:dyDescent="0.3">
      <c r="A15">
        <f t="shared" si="0"/>
        <v>2003</v>
      </c>
      <c r="B15">
        <f>RCT!D15</f>
        <v>73.529411764705884</v>
      </c>
      <c r="C15">
        <f>CT!D15</f>
        <v>57.28155339805825</v>
      </c>
      <c r="D15">
        <f>META!D15</f>
        <v>73.333333333333329</v>
      </c>
      <c r="E15">
        <f>REVIEW!D15</f>
        <v>11.445783132530121</v>
      </c>
      <c r="F15">
        <f>CCJ!D15</f>
        <v>50.980392156862742</v>
      </c>
      <c r="G15">
        <f>ALL!D15</f>
        <v>32.905067808708068</v>
      </c>
      <c r="H15" t="e">
        <f>OBS!D15</f>
        <v>#DIV/0!</v>
      </c>
      <c r="I15">
        <f>SYSREV!D15</f>
        <v>61.53846153846154</v>
      </c>
    </row>
    <row r="16" spans="1:47" x14ac:dyDescent="0.3">
      <c r="A16">
        <f t="shared" si="0"/>
        <v>2004</v>
      </c>
      <c r="B16">
        <f>RCT!D16</f>
        <v>82.165605095541409</v>
      </c>
      <c r="C16">
        <f>CT!D16</f>
        <v>61.734693877551017</v>
      </c>
      <c r="D16">
        <f>META!D16</f>
        <v>82.758620689655174</v>
      </c>
      <c r="E16">
        <f>REVIEW!D16</f>
        <v>16.201117318435752</v>
      </c>
      <c r="F16">
        <f>CCJ!D16</f>
        <v>52.818371607515658</v>
      </c>
      <c r="G16">
        <f>ALL!D16</f>
        <v>33.447198906890499</v>
      </c>
      <c r="H16" t="e">
        <f>OBS!D16</f>
        <v>#DIV/0!</v>
      </c>
      <c r="I16">
        <f>SYSREV!D16</f>
        <v>55.172413793103445</v>
      </c>
    </row>
    <row r="17" spans="1:9" x14ac:dyDescent="0.3">
      <c r="A17">
        <f t="shared" si="0"/>
        <v>2005</v>
      </c>
      <c r="B17">
        <f>RCT!D17</f>
        <v>79.473684210526315</v>
      </c>
      <c r="C17">
        <f>CT!D17</f>
        <v>69.142857142857139</v>
      </c>
      <c r="D17">
        <f>META!D17</f>
        <v>78.723404255319153</v>
      </c>
      <c r="E17">
        <f>REVIEW!D17</f>
        <v>15.178571428571427</v>
      </c>
      <c r="F17">
        <f>CCJ!D17</f>
        <v>56.301369863013697</v>
      </c>
      <c r="G17">
        <f>ALL!D17</f>
        <v>34.529434299578597</v>
      </c>
      <c r="H17" t="e">
        <f>OBS!D17</f>
        <v>#DIV/0!</v>
      </c>
      <c r="I17">
        <f>SYSREV!D17</f>
        <v>63.829787234042556</v>
      </c>
    </row>
    <row r="18" spans="1:9" x14ac:dyDescent="0.3">
      <c r="A18">
        <f t="shared" si="0"/>
        <v>2006</v>
      </c>
      <c r="B18">
        <f>RCT!D18</f>
        <v>76.744186046511629</v>
      </c>
      <c r="C18">
        <f>CT!D18</f>
        <v>73.170731707317074</v>
      </c>
      <c r="D18">
        <f>META!D18</f>
        <v>69.841269841269835</v>
      </c>
      <c r="E18">
        <f>REVIEW!D18</f>
        <v>16.099773242630384</v>
      </c>
      <c r="F18">
        <f>CCJ!D18</f>
        <v>56.533333333333339</v>
      </c>
      <c r="G18">
        <f>ALL!D18</f>
        <v>36.345051109449017</v>
      </c>
      <c r="H18">
        <f>OBS!D18</f>
        <v>100</v>
      </c>
      <c r="I18">
        <f>SYSREV!D18</f>
        <v>48.837209302325576</v>
      </c>
    </row>
    <row r="19" spans="1:9" x14ac:dyDescent="0.3">
      <c r="A19">
        <f t="shared" si="0"/>
        <v>2007</v>
      </c>
      <c r="B19">
        <f>RCT!D19</f>
        <v>74.369747899159663</v>
      </c>
      <c r="C19">
        <f>CT!D19</f>
        <v>75.862068965517238</v>
      </c>
      <c r="D19">
        <f>META!D19</f>
        <v>58.241758241758248</v>
      </c>
      <c r="E19">
        <f>REVIEW!D19</f>
        <v>16.166134185303516</v>
      </c>
      <c r="F19">
        <f>CCJ!D19</f>
        <v>55.939086294416242</v>
      </c>
      <c r="G19">
        <f>ALL!D19</f>
        <v>39.180500563042607</v>
      </c>
      <c r="H19" t="e">
        <f>OBS!D19</f>
        <v>#DIV/0!</v>
      </c>
      <c r="I19">
        <f>SYSREV!D19</f>
        <v>56.98924731182796</v>
      </c>
    </row>
    <row r="20" spans="1:9" x14ac:dyDescent="0.3">
      <c r="A20">
        <f t="shared" si="0"/>
        <v>2008</v>
      </c>
      <c r="B20">
        <f>RCT!D20</f>
        <v>77.513227513227505</v>
      </c>
      <c r="C20">
        <f>CT!D20</f>
        <v>80.110497237569049</v>
      </c>
      <c r="D20">
        <f>META!D20</f>
        <v>78.472222222222214</v>
      </c>
      <c r="E20">
        <f>REVIEW!D20</f>
        <v>16.861030126336249</v>
      </c>
      <c r="F20">
        <f>CCJ!D20</f>
        <v>59.603399433427761</v>
      </c>
      <c r="G20">
        <f>ALL!D20</f>
        <v>38.070878842342964</v>
      </c>
      <c r="H20" t="e">
        <f>OBS!D20</f>
        <v>#DIV/0!</v>
      </c>
      <c r="I20">
        <f>SYSREV!D20</f>
        <v>57.499999999999993</v>
      </c>
    </row>
    <row r="21" spans="1:9" x14ac:dyDescent="0.3">
      <c r="A21">
        <f t="shared" si="0"/>
        <v>2009</v>
      </c>
      <c r="B21">
        <f>RCT!D21</f>
        <v>73.513011152416354</v>
      </c>
      <c r="C21">
        <f>CT!D21</f>
        <v>81.105990783410135</v>
      </c>
      <c r="D21">
        <f>META!D21</f>
        <v>80.568720379146924</v>
      </c>
      <c r="E21">
        <f>REVIEW!D21</f>
        <v>18.185388845247445</v>
      </c>
      <c r="F21">
        <f>CCJ!D21</f>
        <v>65.418894830659539</v>
      </c>
      <c r="G21">
        <f>ALL!D21</f>
        <v>39.172261409025239</v>
      </c>
      <c r="H21" t="e">
        <f>OBS!D21</f>
        <v>#DIV/0!</v>
      </c>
      <c r="I21">
        <f>SYSREV!D21</f>
        <v>62.895927601809952</v>
      </c>
    </row>
    <row r="22" spans="1:9" x14ac:dyDescent="0.3">
      <c r="A22">
        <f t="shared" si="0"/>
        <v>2010</v>
      </c>
      <c r="B22">
        <f>RCT!D22</f>
        <v>72.366621067031474</v>
      </c>
      <c r="C22">
        <f>CT!D22</f>
        <v>78.729281767955811</v>
      </c>
      <c r="D22">
        <f>META!D22</f>
        <v>76.470588235294116</v>
      </c>
      <c r="E22">
        <f>REVIEW!D22</f>
        <v>18.704092339979013</v>
      </c>
      <c r="F22">
        <f>CCJ!D22</f>
        <v>66.568668626627471</v>
      </c>
      <c r="G22">
        <f>ALL!D22</f>
        <v>41.657724652509174</v>
      </c>
      <c r="H22" t="e">
        <f>OBS!D22</f>
        <v>#DIV/0!</v>
      </c>
      <c r="I22">
        <f>SYSREV!D22</f>
        <v>58.426966292134829</v>
      </c>
    </row>
    <row r="23" spans="1:9" x14ac:dyDescent="0.3">
      <c r="A23">
        <f t="shared" si="0"/>
        <v>2011</v>
      </c>
      <c r="B23">
        <f>RCT!D23</f>
        <v>72.442486539402836</v>
      </c>
      <c r="C23">
        <f>CT!D23</f>
        <v>80.511811023622045</v>
      </c>
      <c r="D23">
        <f>META!D23</f>
        <v>80.961538461538467</v>
      </c>
      <c r="E23">
        <f>REVIEW!D23</f>
        <v>15.927010587970264</v>
      </c>
      <c r="F23">
        <f>CCJ!D23</f>
        <v>65.67619047619047</v>
      </c>
      <c r="G23">
        <f>ALL!D23</f>
        <v>43.296107240368549</v>
      </c>
      <c r="H23">
        <f>OBS!D23</f>
        <v>100</v>
      </c>
      <c r="I23">
        <f>SYSREV!D23</f>
        <v>62.135922330097081</v>
      </c>
    </row>
    <row r="24" spans="1:9" x14ac:dyDescent="0.3">
      <c r="A24">
        <f>A22+2</f>
        <v>2012</v>
      </c>
      <c r="B24">
        <f>RCT!D24</f>
        <v>74.970249900833011</v>
      </c>
      <c r="C24">
        <f>CT!D24</f>
        <v>83.275663206459043</v>
      </c>
      <c r="D24">
        <f>META!D24</f>
        <v>83.152827918170885</v>
      </c>
      <c r="E24">
        <f>REVIEW!D24</f>
        <v>15.947063688999172</v>
      </c>
      <c r="F24">
        <f>CCJ!D24</f>
        <v>64.996471418489762</v>
      </c>
      <c r="G24">
        <f>ALL!D24</f>
        <v>46.002066186380958</v>
      </c>
      <c r="H24">
        <f>OBS!D24</f>
        <v>95.918367346938766</v>
      </c>
      <c r="I24">
        <f>SYSREV!D24</f>
        <v>63.002680965147448</v>
      </c>
    </row>
    <row r="25" spans="1:9" x14ac:dyDescent="0.3">
      <c r="A25">
        <f t="shared" si="0"/>
        <v>2013</v>
      </c>
      <c r="B25">
        <f>RCT!D25</f>
        <v>74.270020237062738</v>
      </c>
      <c r="C25">
        <f>CT!D25</f>
        <v>82.924961715160791</v>
      </c>
      <c r="D25">
        <f>META!D25</f>
        <v>84.790334044065389</v>
      </c>
      <c r="E25">
        <f>REVIEW!D25</f>
        <v>15.821144232549528</v>
      </c>
      <c r="F25">
        <f>CCJ!D25</f>
        <v>63.958602846054333</v>
      </c>
      <c r="G25">
        <f>ALL!D25</f>
        <v>48.076257061841169</v>
      </c>
      <c r="H25">
        <f>OBS!D25</f>
        <v>85.475792988313856</v>
      </c>
      <c r="I25">
        <f>SYSREV!D25</f>
        <v>61.021276595744681</v>
      </c>
    </row>
    <row r="26" spans="1:9" x14ac:dyDescent="0.3">
      <c r="A26">
        <f t="shared" si="0"/>
        <v>2014</v>
      </c>
      <c r="B26">
        <f>RCT!D26</f>
        <v>74.247412982126065</v>
      </c>
      <c r="C26">
        <f>CT!D26</f>
        <v>82.316655243317342</v>
      </c>
      <c r="D26">
        <f>META!D26</f>
        <v>86.994063680518082</v>
      </c>
      <c r="E26">
        <f>REVIEW!D26</f>
        <v>16.784992784992784</v>
      </c>
      <c r="F26">
        <f>CCJ!D26</f>
        <v>64.805290227773696</v>
      </c>
      <c r="G26">
        <f>ALL!D26</f>
        <v>48.130754607072376</v>
      </c>
      <c r="H26">
        <f>OBS!D26</f>
        <v>82.30088495575221</v>
      </c>
      <c r="I26">
        <f>SYSREV!D26</f>
        <v>63.085234093637453</v>
      </c>
    </row>
    <row r="27" spans="1:9" x14ac:dyDescent="0.3">
      <c r="A27">
        <f t="shared" si="0"/>
        <v>2015</v>
      </c>
      <c r="B27">
        <f>RCT!D27</f>
        <v>75.308117297067582</v>
      </c>
      <c r="C27">
        <f>CT!D27</f>
        <v>83.208191126279857</v>
      </c>
      <c r="D27">
        <f>META!D27</f>
        <v>85.976627712854764</v>
      </c>
      <c r="E27">
        <f>REVIEW!D27</f>
        <v>17.00343714196438</v>
      </c>
      <c r="F27">
        <f>CCJ!D27</f>
        <v>65.986277873070335</v>
      </c>
      <c r="G27">
        <f>ALL!D27</f>
        <v>48.888862437956035</v>
      </c>
      <c r="H27">
        <f>OBS!D27</f>
        <v>85.070892410341941</v>
      </c>
      <c r="I27">
        <f>SYSREV!D27</f>
        <v>63.175046554934823</v>
      </c>
    </row>
    <row r="28" spans="1:9" x14ac:dyDescent="0.3">
      <c r="A28">
        <f t="shared" si="0"/>
        <v>2016</v>
      </c>
      <c r="B28">
        <f>RCT!D28</f>
        <v>76.097271648873075</v>
      </c>
      <c r="C28">
        <f>CT!D28</f>
        <v>84.750337381916324</v>
      </c>
      <c r="D28">
        <f>META!D28</f>
        <v>87.294364718235911</v>
      </c>
      <c r="E28">
        <f>REVIEW!D28</f>
        <v>17.996540924601508</v>
      </c>
      <c r="F28">
        <f>CCJ!D28</f>
        <v>66.335014311026313</v>
      </c>
      <c r="G28">
        <f>ALL!D28</f>
        <v>50.404843533445188</v>
      </c>
      <c r="H28">
        <f>OBS!D28</f>
        <v>84.479947831757414</v>
      </c>
      <c r="I28">
        <f>SYSREV!D28</f>
        <v>63.35216572504708</v>
      </c>
    </row>
    <row r="29" spans="1:9" x14ac:dyDescent="0.3">
      <c r="A29">
        <f t="shared" si="0"/>
        <v>2017</v>
      </c>
      <c r="B29">
        <f>RCT!D29</f>
        <v>76.359338061465721</v>
      </c>
      <c r="C29">
        <f>CT!D29</f>
        <v>85.289747399702819</v>
      </c>
      <c r="D29">
        <f>META!D29</f>
        <v>88.371313672922241</v>
      </c>
      <c r="E29">
        <f>REVIEW!D29</f>
        <v>17.645592755670016</v>
      </c>
      <c r="F29">
        <f>CCJ!D29</f>
        <v>59.073842302878596</v>
      </c>
      <c r="G29">
        <f>ALL!D29</f>
        <v>51.334449044305472</v>
      </c>
      <c r="H29">
        <f>OBS!D29</f>
        <v>84.129213483146074</v>
      </c>
      <c r="I29">
        <f>SYSREV!D29</f>
        <v>64.5385587863464</v>
      </c>
    </row>
    <row r="30" spans="1:9" x14ac:dyDescent="0.3">
      <c r="A30">
        <f t="shared" si="0"/>
        <v>2018</v>
      </c>
      <c r="B30">
        <f>RCT!D30</f>
        <v>79.504039075709187</v>
      </c>
      <c r="C30">
        <f>CT!D30</f>
        <v>82.539682539682531</v>
      </c>
      <c r="D30">
        <f>META!D30</f>
        <v>87.59372869802317</v>
      </c>
      <c r="E30">
        <f>REVIEW!D30</f>
        <v>16.970866970866972</v>
      </c>
      <c r="F30">
        <f>CCJ!D30</f>
        <v>57.750112157918352</v>
      </c>
      <c r="G30">
        <f>ALL!D30</f>
        <v>50.144983910322146</v>
      </c>
      <c r="H30">
        <f>OBS!D30</f>
        <v>84.250188394875664</v>
      </c>
      <c r="I30">
        <f>SYSREV!D30</f>
        <v>63.015278178149323</v>
      </c>
    </row>
    <row r="31" spans="1:9" x14ac:dyDescent="0.3">
      <c r="A31">
        <f t="shared" si="0"/>
        <v>2019</v>
      </c>
      <c r="B31">
        <f>RCT!D31</f>
        <v>81.618772317633059</v>
      </c>
      <c r="C31">
        <f>CT!D31</f>
        <v>81.165501165501169</v>
      </c>
      <c r="D31">
        <f>META!D31</f>
        <v>86.0527732902531</v>
      </c>
      <c r="E31">
        <f>REVIEW!D31</f>
        <v>17.202469661486056</v>
      </c>
      <c r="F31">
        <f>CCJ!D31</f>
        <v>56.028368794326241</v>
      </c>
      <c r="G31">
        <f>ALL!D31</f>
        <v>50.826302335469528</v>
      </c>
      <c r="H31">
        <f>OBS!D31</f>
        <v>83.522162591930041</v>
      </c>
      <c r="I31">
        <f>SYSREV!D31</f>
        <v>64.279034972881988</v>
      </c>
    </row>
    <row r="32" spans="1:9" x14ac:dyDescent="0.3">
      <c r="A32">
        <f t="shared" si="0"/>
        <v>2020</v>
      </c>
      <c r="B32">
        <f>RCT!D32</f>
        <v>81.831045705391261</v>
      </c>
      <c r="C32">
        <f>CT!D32</f>
        <v>81.088082901554401</v>
      </c>
      <c r="D32">
        <f>META!D32</f>
        <v>86.280746395250205</v>
      </c>
      <c r="E32">
        <f>REVIEW!D32</f>
        <v>16.637310461020064</v>
      </c>
      <c r="F32">
        <f>CCJ!D32</f>
        <v>45.883979491906217</v>
      </c>
      <c r="G32">
        <f>ALL!D32</f>
        <v>47.951682319366732</v>
      </c>
      <c r="H32">
        <f>OBS!D32</f>
        <v>83.753071253071255</v>
      </c>
      <c r="I32">
        <f>SYSREV!D32</f>
        <v>63.132760267430754</v>
      </c>
    </row>
    <row r="33" spans="1:9" x14ac:dyDescent="0.3">
      <c r="A33">
        <f t="shared" si="0"/>
        <v>2021</v>
      </c>
      <c r="B33">
        <f>RCT!D33</f>
        <v>83.218842001962713</v>
      </c>
      <c r="C33">
        <f>CT!D33</f>
        <v>81.476683937823836</v>
      </c>
      <c r="D33">
        <f>META!D33</f>
        <v>84.245381666085734</v>
      </c>
      <c r="E33">
        <f>REVIEW!D33</f>
        <v>17.743697593750856</v>
      </c>
      <c r="F33">
        <f>CCJ!D33</f>
        <v>49.840305775171473</v>
      </c>
      <c r="G33">
        <f>ALL!D33</f>
        <v>49.52993268317433</v>
      </c>
      <c r="H33">
        <f>OBS!D33</f>
        <v>83.541147132169584</v>
      </c>
      <c r="I33">
        <f>SYSREV!D33</f>
        <v>63.182874854707485</v>
      </c>
    </row>
    <row r="34" spans="1:9" x14ac:dyDescent="0.3">
      <c r="A34">
        <f t="shared" si="0"/>
        <v>2022</v>
      </c>
      <c r="B34">
        <f>RCT!D34</f>
        <v>84.610636765764838</v>
      </c>
      <c r="C34">
        <f>CT!D34</f>
        <v>79.623168178646196</v>
      </c>
      <c r="D34">
        <f>META!D34</f>
        <v>86.310492822258396</v>
      </c>
      <c r="E34">
        <f>REVIEW!D34</f>
        <v>19.061376476630716</v>
      </c>
      <c r="F34">
        <f>CCJ!D34</f>
        <v>54.304743339831063</v>
      </c>
      <c r="G34">
        <f>ALL!D34</f>
        <v>49.900546571617511</v>
      </c>
      <c r="H34">
        <f>OBS!D34</f>
        <v>82.859327217125383</v>
      </c>
      <c r="I34">
        <f>SYSREV!D34</f>
        <v>63.892914346731757</v>
      </c>
    </row>
    <row r="35" spans="1:9" x14ac:dyDescent="0.3">
      <c r="A35">
        <f t="shared" si="0"/>
        <v>2023</v>
      </c>
      <c r="B35">
        <f>RCT!D35</f>
        <v>85.009935419771494</v>
      </c>
      <c r="C35">
        <f>CT!D35</f>
        <v>77.715355805243448</v>
      </c>
      <c r="D35">
        <f>META!D35</f>
        <v>86.803563339876192</v>
      </c>
      <c r="E35">
        <f>REVIEW!D35</f>
        <v>20.461038321347651</v>
      </c>
      <c r="F35">
        <f>CCJ!D35</f>
        <v>57.51032533874357</v>
      </c>
      <c r="G35">
        <f>ALL!D35</f>
        <v>49.370176425614169</v>
      </c>
      <c r="H35">
        <f>OBS!D35</f>
        <v>83.414108777598273</v>
      </c>
      <c r="I35">
        <f>SYSREV!D35</f>
        <v>65.672168770412213</v>
      </c>
    </row>
    <row r="36" spans="1:9" x14ac:dyDescent="0.3">
      <c r="A36">
        <f t="shared" si="0"/>
        <v>2024</v>
      </c>
      <c r="B36">
        <f>RCT!D36</f>
        <v>86.594244770599786</v>
      </c>
      <c r="C36">
        <f>CT!D36</f>
        <v>78.824833702882486</v>
      </c>
      <c r="D36">
        <f>META!D36</f>
        <v>88.410256410256409</v>
      </c>
      <c r="E36">
        <f>REVIEW!D36</f>
        <v>20.286666055438403</v>
      </c>
      <c r="F36">
        <f>CCJ!D36</f>
        <v>60.349293891535048</v>
      </c>
      <c r="G36">
        <f>ALL!D36</f>
        <v>51.019372538582019</v>
      </c>
      <c r="H36">
        <f>OBS!D36</f>
        <v>83.787724158040533</v>
      </c>
      <c r="I36">
        <f>SYSREV!D36</f>
        <v>66.132487108290363</v>
      </c>
    </row>
    <row r="37" spans="1:9" x14ac:dyDescent="0.3">
      <c r="A37">
        <v>2025</v>
      </c>
      <c r="B37">
        <f>RCT!D37</f>
        <v>87.213206491326247</v>
      </c>
      <c r="C37">
        <f>CT!D37</f>
        <v>82.710280373831779</v>
      </c>
      <c r="D37">
        <f>META!D37</f>
        <v>88.828654404646656</v>
      </c>
      <c r="E37">
        <f>REVIEW!D37</f>
        <v>21.006612250829559</v>
      </c>
      <c r="F37">
        <f>CCJ!D37</f>
        <v>59.180590117312484</v>
      </c>
      <c r="G37">
        <f>ALL!D37</f>
        <v>53.317368509289324</v>
      </c>
      <c r="H37">
        <f>OBS!D37</f>
        <v>84.125085440874912</v>
      </c>
      <c r="I37">
        <f>SYSREV!D37</f>
        <v>65.306520890277227</v>
      </c>
    </row>
    <row r="38" spans="1:9" x14ac:dyDescent="0.3">
      <c r="A38" t="s">
        <v>8</v>
      </c>
    </row>
    <row r="39" spans="1:9" x14ac:dyDescent="0.3">
      <c r="A39" t="s">
        <v>6</v>
      </c>
    </row>
    <row r="40" spans="1:9" x14ac:dyDescent="0.3">
      <c r="A40" t="s">
        <v>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2025-12-11T00:04:55Z</dcterms:modified>
</cp:coreProperties>
</file>