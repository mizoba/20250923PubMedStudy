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e4\Downloads\OrganizedCodeStructure\OrganizedCodeStructure\Step4_text_analysis\Figure1\20251128Fig1PubmedTotal\"/>
    </mc:Choice>
  </mc:AlternateContent>
  <xr:revisionPtr revIDLastSave="0" documentId="13_ncr:1_{96B486A0-804F-4A4C-8A4F-43A3B32D9F0D}" xr6:coauthVersionLast="47" xr6:coauthVersionMax="47" xr10:uidLastSave="{00000000-0000-0000-0000-000000000000}"/>
  <bookViews>
    <workbookView xWindow="14295" yWindow="0" windowWidth="14610" windowHeight="15585" firstSheet="5" activeTab="9" xr2:uid="{DF799AEA-2700-0847-986A-8EA80B3DCF15}"/>
  </bookViews>
  <sheets>
    <sheet name="RCT" sheetId="1" r:id="rId1"/>
    <sheet name="CT" sheetId="2" r:id="rId2"/>
    <sheet name="META" sheetId="3" r:id="rId3"/>
    <sheet name="REVIEW" sheetId="4" r:id="rId4"/>
    <sheet name="CCJ" sheetId="5" r:id="rId5"/>
    <sheet name="ALL" sheetId="6" r:id="rId6"/>
    <sheet name="OBS" sheetId="9" r:id="rId7"/>
    <sheet name="SYSREV" sheetId="10" r:id="rId8"/>
    <sheet name="aggregate" sheetId="8" r:id="rId9"/>
    <sheet name="Sheet1" sheetId="7" r:id="rId10"/>
    <sheet name="NEWagg" sheetId="11" r:id="rId11"/>
  </sheets>
  <externalReferences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0" i="7" l="1"/>
  <c r="C1" i="9"/>
  <c r="B1" i="9"/>
  <c r="K45" i="7"/>
  <c r="C38" i="10"/>
  <c r="C39" i="10"/>
  <c r="C40" i="10"/>
  <c r="B38" i="10"/>
  <c r="B39" i="10"/>
  <c r="B40" i="10"/>
  <c r="C38" i="9"/>
  <c r="C39" i="9"/>
  <c r="C40" i="9"/>
  <c r="B38" i="9"/>
  <c r="B39" i="9"/>
  <c r="B40" i="9"/>
  <c r="A6" i="11"/>
  <c r="A8" i="11" s="1"/>
  <c r="A10" i="11" s="1"/>
  <c r="A12" i="11" s="1"/>
  <c r="A14" i="11" s="1"/>
  <c r="A16" i="11" s="1"/>
  <c r="A18" i="11" s="1"/>
  <c r="A20" i="11" s="1"/>
  <c r="A22" i="11" s="1"/>
  <c r="A24" i="11" s="1"/>
  <c r="A26" i="11" s="1"/>
  <c r="A28" i="11" s="1"/>
  <c r="A30" i="11" s="1"/>
  <c r="A32" i="11" s="1"/>
  <c r="A34" i="11" s="1"/>
  <c r="A36" i="11" s="1"/>
  <c r="A5" i="11"/>
  <c r="A7" i="11" s="1"/>
  <c r="A9" i="11" s="1"/>
  <c r="A11" i="11" s="1"/>
  <c r="A13" i="11" s="1"/>
  <c r="A15" i="11" s="1"/>
  <c r="A17" i="11" s="1"/>
  <c r="A19" i="11" s="1"/>
  <c r="A21" i="11" s="1"/>
  <c r="A23" i="11" s="1"/>
  <c r="A25" i="11" s="1"/>
  <c r="A27" i="11" s="1"/>
  <c r="A29" i="11" s="1"/>
  <c r="A31" i="11" s="1"/>
  <c r="A33" i="11" s="1"/>
  <c r="A35" i="11" s="1"/>
  <c r="A4" i="11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A3" i="10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C2" i="10"/>
  <c r="B2" i="10"/>
  <c r="C1" i="10"/>
  <c r="B1" i="10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" i="9"/>
  <c r="C2" i="9"/>
  <c r="B2" i="9"/>
  <c r="D40" i="9" l="1"/>
  <c r="D25" i="9"/>
  <c r="H25" i="11" s="1"/>
  <c r="D17" i="9"/>
  <c r="H17" i="11" s="1"/>
  <c r="D19" i="9"/>
  <c r="H19" i="11" s="1"/>
  <c r="D9" i="9"/>
  <c r="H9" i="11" s="1"/>
  <c r="D39" i="10"/>
  <c r="D36" i="9"/>
  <c r="H36" i="11" s="1"/>
  <c r="D28" i="9"/>
  <c r="H28" i="11" s="1"/>
  <c r="D31" i="10"/>
  <c r="I31" i="11" s="1"/>
  <c r="D23" i="10"/>
  <c r="I23" i="11" s="1"/>
  <c r="D15" i="10"/>
  <c r="I15" i="11" s="1"/>
  <c r="D7" i="10"/>
  <c r="I7" i="11" s="1"/>
  <c r="D2" i="9"/>
  <c r="H2" i="11" s="1"/>
  <c r="D32" i="9"/>
  <c r="H32" i="11" s="1"/>
  <c r="D16" i="9"/>
  <c r="H16" i="11" s="1"/>
  <c r="D8" i="9"/>
  <c r="H8" i="11" s="1"/>
  <c r="D30" i="10"/>
  <c r="I30" i="11" s="1"/>
  <c r="D22" i="10"/>
  <c r="I22" i="11" s="1"/>
  <c r="D6" i="10"/>
  <c r="I6" i="11" s="1"/>
  <c r="D38" i="9"/>
  <c r="D32" i="10"/>
  <c r="I32" i="11" s="1"/>
  <c r="D24" i="10"/>
  <c r="I24" i="11" s="1"/>
  <c r="D16" i="10"/>
  <c r="I16" i="11" s="1"/>
  <c r="D8" i="10"/>
  <c r="I8" i="11" s="1"/>
  <c r="D24" i="9"/>
  <c r="H24" i="11" s="1"/>
  <c r="D35" i="9"/>
  <c r="H35" i="11" s="1"/>
  <c r="D11" i="9"/>
  <c r="H11" i="11" s="1"/>
  <c r="D3" i="9"/>
  <c r="H3" i="11" s="1"/>
  <c r="D34" i="9"/>
  <c r="H34" i="11" s="1"/>
  <c r="D10" i="9"/>
  <c r="H10" i="11" s="1"/>
  <c r="D5" i="9"/>
  <c r="H5" i="11" s="1"/>
  <c r="D27" i="9"/>
  <c r="H27" i="11" s="1"/>
  <c r="D26" i="9"/>
  <c r="H26" i="11" s="1"/>
  <c r="D18" i="9"/>
  <c r="H18" i="11" s="1"/>
  <c r="D37" i="9"/>
  <c r="H37" i="11" s="1"/>
  <c r="D29" i="9"/>
  <c r="H29" i="11" s="1"/>
  <c r="D21" i="9"/>
  <c r="H21" i="11" s="1"/>
  <c r="D13" i="9"/>
  <c r="H13" i="11" s="1"/>
  <c r="D33" i="9"/>
  <c r="H33" i="11" s="1"/>
  <c r="D20" i="9"/>
  <c r="H20" i="11" s="1"/>
  <c r="D12" i="9"/>
  <c r="H12" i="11" s="1"/>
  <c r="D4" i="9"/>
  <c r="H4" i="11" s="1"/>
  <c r="D14" i="10"/>
  <c r="I14" i="11" s="1"/>
  <c r="D37" i="10"/>
  <c r="I37" i="11" s="1"/>
  <c r="D29" i="10"/>
  <c r="I29" i="11" s="1"/>
  <c r="D21" i="10"/>
  <c r="I21" i="11" s="1"/>
  <c r="D13" i="10"/>
  <c r="I13" i="11" s="1"/>
  <c r="D5" i="10"/>
  <c r="I5" i="11" s="1"/>
  <c r="D40" i="10"/>
  <c r="D33" i="10"/>
  <c r="I33" i="11" s="1"/>
  <c r="D25" i="10"/>
  <c r="I25" i="11" s="1"/>
  <c r="D17" i="10"/>
  <c r="I17" i="11" s="1"/>
  <c r="D9" i="10"/>
  <c r="I9" i="11" s="1"/>
  <c r="D36" i="10"/>
  <c r="I36" i="11" s="1"/>
  <c r="D28" i="10"/>
  <c r="I28" i="11" s="1"/>
  <c r="D20" i="10"/>
  <c r="I20" i="11" s="1"/>
  <c r="D12" i="10"/>
  <c r="I12" i="11" s="1"/>
  <c r="D4" i="10"/>
  <c r="I4" i="11" s="1"/>
  <c r="D35" i="10"/>
  <c r="I35" i="11" s="1"/>
  <c r="D27" i="10"/>
  <c r="I27" i="11" s="1"/>
  <c r="D19" i="10"/>
  <c r="I19" i="11" s="1"/>
  <c r="D11" i="10"/>
  <c r="I11" i="11" s="1"/>
  <c r="D3" i="10"/>
  <c r="I3" i="11" s="1"/>
  <c r="D39" i="9"/>
  <c r="D38" i="10"/>
  <c r="D31" i="9"/>
  <c r="H31" i="11" s="1"/>
  <c r="D23" i="9"/>
  <c r="H23" i="11" s="1"/>
  <c r="D15" i="9"/>
  <c r="H15" i="11" s="1"/>
  <c r="D7" i="9"/>
  <c r="H7" i="11" s="1"/>
  <c r="D34" i="10"/>
  <c r="I34" i="11" s="1"/>
  <c r="D26" i="10"/>
  <c r="I26" i="11" s="1"/>
  <c r="D18" i="10"/>
  <c r="I18" i="11" s="1"/>
  <c r="D10" i="10"/>
  <c r="I10" i="11" s="1"/>
  <c r="D30" i="9"/>
  <c r="H30" i="11" s="1"/>
  <c r="D22" i="9"/>
  <c r="H22" i="11" s="1"/>
  <c r="D14" i="9"/>
  <c r="H14" i="11" s="1"/>
  <c r="D6" i="9"/>
  <c r="H6" i="11" s="1"/>
  <c r="D2" i="10"/>
  <c r="I2" i="11" s="1"/>
  <c r="J45" i="7"/>
  <c r="J44" i="7"/>
  <c r="J43" i="7"/>
  <c r="J42" i="7"/>
  <c r="J41" i="7"/>
  <c r="J40" i="7"/>
  <c r="K44" i="7"/>
  <c r="K43" i="7"/>
  <c r="K42" i="7"/>
  <c r="K41" i="7"/>
  <c r="C1" i="6"/>
  <c r="B1" i="6"/>
  <c r="C1" i="5"/>
  <c r="B1" i="5"/>
  <c r="C1" i="4"/>
  <c r="B1" i="4"/>
  <c r="C1" i="3"/>
  <c r="B1" i="3"/>
  <c r="C1" i="2"/>
  <c r="B1" i="2"/>
  <c r="B1" i="1"/>
  <c r="C1" i="1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C2" i="6"/>
  <c r="B2" i="6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C2" i="5"/>
  <c r="B2" i="5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C2" i="4"/>
  <c r="B2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C2" i="3"/>
  <c r="B2" i="3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C2" i="1"/>
  <c r="B2" i="1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B38" i="2"/>
  <c r="B39" i="2"/>
  <c r="B40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2" i="2"/>
  <c r="G38" i="8"/>
  <c r="F38" i="8"/>
  <c r="E38" i="8"/>
  <c r="B38" i="8"/>
  <c r="D38" i="8"/>
  <c r="C38" i="8"/>
  <c r="A7" i="8"/>
  <c r="A9" i="8" s="1"/>
  <c r="A11" i="8" s="1"/>
  <c r="A13" i="8" s="1"/>
  <c r="A15" i="8" s="1"/>
  <c r="A17" i="8" s="1"/>
  <c r="A19" i="8" s="1"/>
  <c r="A21" i="8" s="1"/>
  <c r="A23" i="8" s="1"/>
  <c r="A25" i="8" s="1"/>
  <c r="A27" i="8" s="1"/>
  <c r="A29" i="8" s="1"/>
  <c r="A31" i="8" s="1"/>
  <c r="A33" i="8" s="1"/>
  <c r="A35" i="8" s="1"/>
  <c r="A6" i="8"/>
  <c r="A8" i="8" s="1"/>
  <c r="A10" i="8" s="1"/>
  <c r="A12" i="8" s="1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5" i="8"/>
  <c r="A4" i="8"/>
  <c r="A5" i="6"/>
  <c r="A7" i="6" s="1"/>
  <c r="A9" i="6" s="1"/>
  <c r="A11" i="6" s="1"/>
  <c r="A13" i="6" s="1"/>
  <c r="A15" i="6" s="1"/>
  <c r="A17" i="6" s="1"/>
  <c r="A19" i="6" s="1"/>
  <c r="A21" i="6" s="1"/>
  <c r="A23" i="6" s="1"/>
  <c r="A25" i="6" s="1"/>
  <c r="A27" i="6" s="1"/>
  <c r="A29" i="6" s="1"/>
  <c r="A31" i="6" s="1"/>
  <c r="A33" i="6" s="1"/>
  <c r="A35" i="6" s="1"/>
  <c r="A4" i="6"/>
  <c r="A6" i="6" s="1"/>
  <c r="A8" i="6" s="1"/>
  <c r="A10" i="6" s="1"/>
  <c r="A12" i="6" s="1"/>
  <c r="A14" i="6" s="1"/>
  <c r="A16" i="6" s="1"/>
  <c r="A18" i="6" s="1"/>
  <c r="A20" i="6" s="1"/>
  <c r="A22" i="6" s="1"/>
  <c r="A24" i="6" s="1"/>
  <c r="A26" i="6" s="1"/>
  <c r="A28" i="6" s="1"/>
  <c r="A30" i="6" s="1"/>
  <c r="A32" i="6" s="1"/>
  <c r="A34" i="6" s="1"/>
  <c r="A36" i="6" s="1"/>
  <c r="A5" i="5"/>
  <c r="A7" i="5" s="1"/>
  <c r="A9" i="5" s="1"/>
  <c r="A11" i="5" s="1"/>
  <c r="A13" i="5" s="1"/>
  <c r="A15" i="5" s="1"/>
  <c r="A17" i="5" s="1"/>
  <c r="A19" i="5" s="1"/>
  <c r="A21" i="5" s="1"/>
  <c r="A23" i="5" s="1"/>
  <c r="A25" i="5" s="1"/>
  <c r="A27" i="5" s="1"/>
  <c r="A29" i="5" s="1"/>
  <c r="A31" i="5" s="1"/>
  <c r="A33" i="5" s="1"/>
  <c r="A35" i="5" s="1"/>
  <c r="A4" i="5"/>
  <c r="A6" i="5" s="1"/>
  <c r="A8" i="5" s="1"/>
  <c r="A10" i="5" s="1"/>
  <c r="A12" i="5" s="1"/>
  <c r="A14" i="5" s="1"/>
  <c r="A16" i="5" s="1"/>
  <c r="A18" i="5" s="1"/>
  <c r="A20" i="5" s="1"/>
  <c r="A22" i="5" s="1"/>
  <c r="A24" i="5" s="1"/>
  <c r="A26" i="5" s="1"/>
  <c r="A28" i="5" s="1"/>
  <c r="A30" i="5" s="1"/>
  <c r="A32" i="5" s="1"/>
  <c r="A34" i="5" s="1"/>
  <c r="A36" i="5" s="1"/>
  <c r="A5" i="4"/>
  <c r="A7" i="4" s="1"/>
  <c r="A9" i="4" s="1"/>
  <c r="A11" i="4" s="1"/>
  <c r="A13" i="4" s="1"/>
  <c r="A15" i="4" s="1"/>
  <c r="A17" i="4" s="1"/>
  <c r="A19" i="4" s="1"/>
  <c r="A21" i="4" s="1"/>
  <c r="A23" i="4" s="1"/>
  <c r="A25" i="4" s="1"/>
  <c r="A27" i="4" s="1"/>
  <c r="A29" i="4" s="1"/>
  <c r="A31" i="4" s="1"/>
  <c r="A33" i="4" s="1"/>
  <c r="A35" i="4" s="1"/>
  <c r="A4" i="4"/>
  <c r="A6" i="4" s="1"/>
  <c r="A8" i="4" s="1"/>
  <c r="A10" i="4" s="1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5" i="3"/>
  <c r="A7" i="3" s="1"/>
  <c r="A9" i="3" s="1"/>
  <c r="A11" i="3" s="1"/>
  <c r="A13" i="3" s="1"/>
  <c r="A15" i="3" s="1"/>
  <c r="A17" i="3" s="1"/>
  <c r="A19" i="3" s="1"/>
  <c r="A21" i="3" s="1"/>
  <c r="A23" i="3" s="1"/>
  <c r="A25" i="3" s="1"/>
  <c r="A27" i="3" s="1"/>
  <c r="A29" i="3" s="1"/>
  <c r="A31" i="3" s="1"/>
  <c r="A33" i="3" s="1"/>
  <c r="A35" i="3" s="1"/>
  <c r="A4" i="3"/>
  <c r="A6" i="3" s="1"/>
  <c r="A8" i="3" s="1"/>
  <c r="A10" i="3" s="1"/>
  <c r="A12" i="3" s="1"/>
  <c r="A14" i="3" s="1"/>
  <c r="A16" i="3" s="1"/>
  <c r="A18" i="3" s="1"/>
  <c r="A20" i="3" s="1"/>
  <c r="A22" i="3" s="1"/>
  <c r="A24" i="3" s="1"/>
  <c r="A26" i="3" s="1"/>
  <c r="A28" i="3" s="1"/>
  <c r="A30" i="3" s="1"/>
  <c r="A32" i="3" s="1"/>
  <c r="A34" i="3" s="1"/>
  <c r="A36" i="3" s="1"/>
  <c r="A5" i="2"/>
  <c r="A7" i="2" s="1"/>
  <c r="A9" i="2" s="1"/>
  <c r="A11" i="2" s="1"/>
  <c r="A13" i="2" s="1"/>
  <c r="A15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4" i="2"/>
  <c r="A6" i="2" s="1"/>
  <c r="A8" i="2" s="1"/>
  <c r="A10" i="2" s="1"/>
  <c r="A12" i="2" s="1"/>
  <c r="A14" i="2" s="1"/>
  <c r="A16" i="2" s="1"/>
  <c r="A18" i="2" s="1"/>
  <c r="A20" i="2" s="1"/>
  <c r="A22" i="2" s="1"/>
  <c r="A24" i="2" s="1"/>
  <c r="A26" i="2" s="1"/>
  <c r="A28" i="2" s="1"/>
  <c r="A30" i="2" s="1"/>
  <c r="A32" i="2" s="1"/>
  <c r="A34" i="2" s="1"/>
  <c r="A36" i="2" s="1"/>
  <c r="A5" i="1"/>
  <c r="A7" i="1" s="1"/>
  <c r="A9" i="1" s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4" i="1"/>
  <c r="A6" i="1" s="1"/>
  <c r="A8" i="1" s="1"/>
  <c r="A10" i="1" s="1"/>
  <c r="A12" i="1" s="1"/>
  <c r="A14" i="1" s="1"/>
  <c r="A16" i="1" s="1"/>
  <c r="A18" i="1" s="1"/>
  <c r="A20" i="1" s="1"/>
  <c r="A22" i="1" s="1"/>
  <c r="A24" i="1" s="1"/>
  <c r="A26" i="1" s="1"/>
  <c r="A28" i="1" s="1"/>
  <c r="A30" i="1" s="1"/>
  <c r="A32" i="1" s="1"/>
  <c r="A34" i="1" s="1"/>
  <c r="A36" i="1" s="1"/>
  <c r="D14" i="6" l="1"/>
  <c r="D8" i="6"/>
  <c r="D7" i="6"/>
  <c r="D13" i="6"/>
  <c r="G13" i="8" s="1"/>
  <c r="D11" i="6"/>
  <c r="D3" i="6"/>
  <c r="D10" i="6"/>
  <c r="D12" i="6"/>
  <c r="D9" i="6"/>
  <c r="D15" i="6"/>
  <c r="D16" i="6"/>
  <c r="D17" i="6"/>
  <c r="D18" i="6"/>
  <c r="D2" i="6"/>
  <c r="D2" i="5"/>
  <c r="D35" i="4"/>
  <c r="D30" i="6"/>
  <c r="D31" i="6"/>
  <c r="D32" i="6"/>
  <c r="D33" i="6"/>
  <c r="D34" i="6"/>
  <c r="D35" i="6"/>
  <c r="D36" i="6"/>
  <c r="D37" i="6"/>
  <c r="D36" i="4"/>
  <c r="D19" i="6"/>
  <c r="D21" i="6"/>
  <c r="D22" i="6"/>
  <c r="D20" i="6"/>
  <c r="D23" i="6"/>
  <c r="D24" i="6"/>
  <c r="D25" i="6"/>
  <c r="D26" i="6"/>
  <c r="D27" i="6"/>
  <c r="D6" i="3"/>
  <c r="D8" i="3"/>
  <c r="D13" i="3"/>
  <c r="D17" i="3"/>
  <c r="D22" i="3"/>
  <c r="D3" i="3"/>
  <c r="D9" i="3"/>
  <c r="D10" i="3"/>
  <c r="D18" i="3"/>
  <c r="D24" i="3"/>
  <c r="D5" i="3"/>
  <c r="D12" i="3"/>
  <c r="D16" i="3"/>
  <c r="D21" i="3"/>
  <c r="D25" i="3"/>
  <c r="D4" i="3"/>
  <c r="D15" i="3"/>
  <c r="D19" i="3"/>
  <c r="D23" i="3"/>
  <c r="D11" i="3"/>
  <c r="D7" i="3"/>
  <c r="D14" i="3"/>
  <c r="D20" i="3"/>
  <c r="D4" i="6"/>
  <c r="D5" i="6"/>
  <c r="D6" i="6"/>
  <c r="D28" i="6"/>
  <c r="D29" i="6"/>
  <c r="D6" i="4"/>
  <c r="D10" i="4"/>
  <c r="D13" i="4"/>
  <c r="D17" i="4"/>
  <c r="D20" i="4"/>
  <c r="D23" i="4"/>
  <c r="D26" i="4"/>
  <c r="D29" i="4"/>
  <c r="D32" i="4"/>
  <c r="D7" i="4"/>
  <c r="D11" i="4"/>
  <c r="D14" i="4"/>
  <c r="D18" i="4"/>
  <c r="D21" i="4"/>
  <c r="D24" i="4"/>
  <c r="D27" i="4"/>
  <c r="D30" i="4"/>
  <c r="D33" i="4"/>
  <c r="D3" i="4"/>
  <c r="D4" i="4"/>
  <c r="D5" i="4"/>
  <c r="D8" i="4"/>
  <c r="D9" i="4"/>
  <c r="D12" i="4"/>
  <c r="D15" i="4"/>
  <c r="D16" i="4"/>
  <c r="D19" i="4"/>
  <c r="D22" i="4"/>
  <c r="D25" i="4"/>
  <c r="D28" i="4"/>
  <c r="D31" i="4"/>
  <c r="D34" i="4"/>
  <c r="D2" i="4"/>
  <c r="D30" i="3"/>
  <c r="D31" i="3"/>
  <c r="D32" i="3"/>
  <c r="D33" i="3"/>
  <c r="D34" i="3"/>
  <c r="D35" i="3"/>
  <c r="D36" i="3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37" i="4"/>
  <c r="D26" i="3"/>
  <c r="D27" i="3"/>
  <c r="D28" i="3"/>
  <c r="D29" i="3"/>
  <c r="D27" i="5"/>
  <c r="D28" i="5"/>
  <c r="D29" i="5"/>
  <c r="D30" i="5"/>
  <c r="D31" i="5"/>
  <c r="D32" i="5"/>
  <c r="D33" i="5"/>
  <c r="D34" i="5"/>
  <c r="D35" i="5"/>
  <c r="D36" i="5"/>
  <c r="D37" i="5"/>
  <c r="D37" i="3"/>
  <c r="D2" i="3"/>
  <c r="D3" i="2"/>
  <c r="D5" i="2"/>
  <c r="D7" i="2"/>
  <c r="D8" i="2"/>
  <c r="D9" i="2"/>
  <c r="D13" i="2"/>
  <c r="D16" i="2"/>
  <c r="D19" i="2"/>
  <c r="D22" i="2"/>
  <c r="D25" i="2"/>
  <c r="D27" i="2"/>
  <c r="D28" i="2"/>
  <c r="D29" i="2"/>
  <c r="D30" i="2"/>
  <c r="D31" i="2"/>
  <c r="D32" i="2"/>
  <c r="D33" i="2"/>
  <c r="D34" i="2"/>
  <c r="D35" i="2"/>
  <c r="D36" i="2"/>
  <c r="D37" i="2"/>
  <c r="D4" i="2"/>
  <c r="D10" i="2"/>
  <c r="D12" i="2"/>
  <c r="D18" i="2"/>
  <c r="D21" i="2"/>
  <c r="D24" i="2"/>
  <c r="D6" i="2"/>
  <c r="D11" i="2"/>
  <c r="D14" i="2"/>
  <c r="D17" i="2"/>
  <c r="D20" i="2"/>
  <c r="D23" i="2"/>
  <c r="D26" i="2"/>
  <c r="D2" i="2"/>
  <c r="D3" i="1"/>
  <c r="D17" i="1"/>
  <c r="D19" i="1"/>
  <c r="D20" i="1"/>
  <c r="D21" i="1"/>
  <c r="D22" i="1"/>
  <c r="D27" i="1"/>
  <c r="D30" i="1"/>
  <c r="D31" i="1"/>
  <c r="D34" i="1"/>
  <c r="D6" i="1"/>
  <c r="D4" i="1"/>
  <c r="D29" i="1"/>
  <c r="D35" i="1"/>
  <c r="D37" i="1"/>
  <c r="D11" i="1"/>
  <c r="D32" i="1"/>
  <c r="D36" i="1"/>
  <c r="D5" i="1"/>
  <c r="D8" i="1"/>
  <c r="D12" i="1"/>
  <c r="D7" i="1"/>
  <c r="D13" i="1"/>
  <c r="D26" i="1"/>
  <c r="D10" i="1"/>
  <c r="D33" i="1"/>
  <c r="D25" i="1"/>
  <c r="D9" i="1"/>
  <c r="D24" i="1"/>
  <c r="D16" i="1"/>
  <c r="D14" i="1"/>
  <c r="D28" i="1"/>
  <c r="D18" i="1"/>
  <c r="D23" i="1"/>
  <c r="D15" i="1"/>
  <c r="D2" i="1"/>
  <c r="B35" i="11" l="1"/>
  <c r="F35" i="1"/>
  <c r="E35" i="1"/>
  <c r="C22" i="11"/>
  <c r="E22" i="2"/>
  <c r="F22" i="2"/>
  <c r="D27" i="11"/>
  <c r="F27" i="3"/>
  <c r="E27" i="3"/>
  <c r="F5" i="11"/>
  <c r="F5" i="5"/>
  <c r="E5" i="5"/>
  <c r="D31" i="11"/>
  <c r="F31" i="3"/>
  <c r="E31" i="3"/>
  <c r="E3" i="11"/>
  <c r="F3" i="4"/>
  <c r="E3" i="4"/>
  <c r="E11" i="11"/>
  <c r="F11" i="4"/>
  <c r="E11" i="4"/>
  <c r="E13" i="11"/>
  <c r="F13" i="4"/>
  <c r="E13" i="4"/>
  <c r="D20" i="11"/>
  <c r="F20" i="3"/>
  <c r="E20" i="3"/>
  <c r="D9" i="11"/>
  <c r="F9" i="3"/>
  <c r="E9" i="3"/>
  <c r="G9" i="11"/>
  <c r="E9" i="6"/>
  <c r="F9" i="6"/>
  <c r="B2" i="11"/>
  <c r="E2" i="1"/>
  <c r="F2" i="1"/>
  <c r="B9" i="11"/>
  <c r="F9" i="1"/>
  <c r="E9" i="1"/>
  <c r="B8" i="11"/>
  <c r="F8" i="1"/>
  <c r="E8" i="1"/>
  <c r="B4" i="11"/>
  <c r="F4" i="1"/>
  <c r="E4" i="1"/>
  <c r="B20" i="11"/>
  <c r="F20" i="1"/>
  <c r="E20" i="1"/>
  <c r="C17" i="11"/>
  <c r="F17" i="2"/>
  <c r="E17" i="2"/>
  <c r="C10" i="11"/>
  <c r="E10" i="2"/>
  <c r="F10" i="2"/>
  <c r="C31" i="11"/>
  <c r="F31" i="2"/>
  <c r="E31" i="2"/>
  <c r="C16" i="11"/>
  <c r="F16" i="2"/>
  <c r="E16" i="2"/>
  <c r="D37" i="11"/>
  <c r="F37" i="3"/>
  <c r="E37" i="3"/>
  <c r="F30" i="11"/>
  <c r="F30" i="5"/>
  <c r="E30" i="5"/>
  <c r="E37" i="11"/>
  <c r="F37" i="4"/>
  <c r="E37" i="4"/>
  <c r="F19" i="11"/>
  <c r="F19" i="5"/>
  <c r="E19" i="5"/>
  <c r="F11" i="11"/>
  <c r="F11" i="5"/>
  <c r="E11" i="5"/>
  <c r="F3" i="11"/>
  <c r="E3" i="5"/>
  <c r="F3" i="5"/>
  <c r="E2" i="11"/>
  <c r="E2" i="4"/>
  <c r="F2" i="4"/>
  <c r="E15" i="11"/>
  <c r="F15" i="4"/>
  <c r="E15" i="4"/>
  <c r="E30" i="11"/>
  <c r="E30" i="4"/>
  <c r="F30" i="4"/>
  <c r="E32" i="11"/>
  <c r="F32" i="4"/>
  <c r="E32" i="4"/>
  <c r="E6" i="11"/>
  <c r="E6" i="4"/>
  <c r="F6" i="4"/>
  <c r="D7" i="11"/>
  <c r="F7" i="3"/>
  <c r="E7" i="3"/>
  <c r="D16" i="11"/>
  <c r="F16" i="3"/>
  <c r="E16" i="3"/>
  <c r="D22" i="11"/>
  <c r="E22" i="3"/>
  <c r="F22" i="3"/>
  <c r="G24" i="11"/>
  <c r="F24" i="6"/>
  <c r="E24" i="6"/>
  <c r="G36" i="11"/>
  <c r="F36" i="6"/>
  <c r="E36" i="6"/>
  <c r="F2" i="11"/>
  <c r="F2" i="5"/>
  <c r="E2" i="5"/>
  <c r="G10" i="11"/>
  <c r="E10" i="6"/>
  <c r="F10" i="6"/>
  <c r="D36" i="11"/>
  <c r="F36" i="3"/>
  <c r="E36" i="3"/>
  <c r="E34" i="11"/>
  <c r="E34" i="4"/>
  <c r="F34" i="4"/>
  <c r="E12" i="11"/>
  <c r="F12" i="4"/>
  <c r="E12" i="4"/>
  <c r="E27" i="11"/>
  <c r="F27" i="4"/>
  <c r="E27" i="4"/>
  <c r="E29" i="11"/>
  <c r="F29" i="4"/>
  <c r="E29" i="4"/>
  <c r="G29" i="11"/>
  <c r="F29" i="6"/>
  <c r="E29" i="6"/>
  <c r="D11" i="11"/>
  <c r="F11" i="3"/>
  <c r="E11" i="3"/>
  <c r="D12" i="11"/>
  <c r="F12" i="3"/>
  <c r="E12" i="3"/>
  <c r="D17" i="11"/>
  <c r="F17" i="3"/>
  <c r="E17" i="3"/>
  <c r="G23" i="11"/>
  <c r="F23" i="6"/>
  <c r="E23" i="6"/>
  <c r="G35" i="11"/>
  <c r="E35" i="6"/>
  <c r="F35" i="6"/>
  <c r="E2" i="6"/>
  <c r="F2" i="6"/>
  <c r="G3" i="11"/>
  <c r="F3" i="6"/>
  <c r="E3" i="6"/>
  <c r="F36" i="11"/>
  <c r="F36" i="5"/>
  <c r="E36" i="5"/>
  <c r="D35" i="11"/>
  <c r="F35" i="3"/>
  <c r="E35" i="3"/>
  <c r="E31" i="11"/>
  <c r="F31" i="4"/>
  <c r="E31" i="4"/>
  <c r="E24" i="11"/>
  <c r="F24" i="4"/>
  <c r="E24" i="4"/>
  <c r="E26" i="11"/>
  <c r="E26" i="4"/>
  <c r="F26" i="4"/>
  <c r="D23" i="11"/>
  <c r="F23" i="3"/>
  <c r="E23" i="3"/>
  <c r="D13" i="11"/>
  <c r="F13" i="3"/>
  <c r="E13" i="3"/>
  <c r="G20" i="11"/>
  <c r="F20" i="6"/>
  <c r="E20" i="6"/>
  <c r="G34" i="11"/>
  <c r="E34" i="6"/>
  <c r="F34" i="6"/>
  <c r="G18" i="11"/>
  <c r="E18" i="6"/>
  <c r="F18" i="6"/>
  <c r="G11" i="11"/>
  <c r="E11" i="6"/>
  <c r="F11" i="6"/>
  <c r="B18" i="11"/>
  <c r="E18" i="1"/>
  <c r="F18" i="1"/>
  <c r="B10" i="11"/>
  <c r="E10" i="1"/>
  <c r="F10" i="1"/>
  <c r="B32" i="11"/>
  <c r="F32" i="1"/>
  <c r="E32" i="1"/>
  <c r="B31" i="11"/>
  <c r="F31" i="1"/>
  <c r="E31" i="1"/>
  <c r="B3" i="11"/>
  <c r="F3" i="1"/>
  <c r="E3" i="1"/>
  <c r="C6" i="11"/>
  <c r="E6" i="2"/>
  <c r="F6" i="2"/>
  <c r="C36" i="11"/>
  <c r="F36" i="2"/>
  <c r="E36" i="2"/>
  <c r="C28" i="11"/>
  <c r="F28" i="2"/>
  <c r="E28" i="2"/>
  <c r="C8" i="11"/>
  <c r="F8" i="2"/>
  <c r="E8" i="2"/>
  <c r="F35" i="11"/>
  <c r="F35" i="5"/>
  <c r="E35" i="5"/>
  <c r="F27" i="11"/>
  <c r="F27" i="5"/>
  <c r="E27" i="5"/>
  <c r="F24" i="11"/>
  <c r="F24" i="5"/>
  <c r="E24" i="5"/>
  <c r="F16" i="11"/>
  <c r="F16" i="5"/>
  <c r="E16" i="5"/>
  <c r="F8" i="11"/>
  <c r="F8" i="5"/>
  <c r="E8" i="5"/>
  <c r="D34" i="11"/>
  <c r="E34" i="3"/>
  <c r="F34" i="3"/>
  <c r="E28" i="11"/>
  <c r="F28" i="4"/>
  <c r="E28" i="4"/>
  <c r="E8" i="11"/>
  <c r="F8" i="4"/>
  <c r="E8" i="4"/>
  <c r="E21" i="11"/>
  <c r="F21" i="4"/>
  <c r="E21" i="4"/>
  <c r="E23" i="11"/>
  <c r="F23" i="4"/>
  <c r="E23" i="4"/>
  <c r="G6" i="11"/>
  <c r="F6" i="6"/>
  <c r="E6" i="6"/>
  <c r="D19" i="11"/>
  <c r="F19" i="3"/>
  <c r="E19" i="3"/>
  <c r="D24" i="11"/>
  <c r="F24" i="3"/>
  <c r="E24" i="3"/>
  <c r="D8" i="11"/>
  <c r="F8" i="3"/>
  <c r="E8" i="3"/>
  <c r="G22" i="11"/>
  <c r="F22" i="6"/>
  <c r="E22" i="6"/>
  <c r="G33" i="11"/>
  <c r="E33" i="6"/>
  <c r="F33" i="6"/>
  <c r="G17" i="11"/>
  <c r="E17" i="6"/>
  <c r="F17" i="6"/>
  <c r="B15" i="11"/>
  <c r="F15" i="1"/>
  <c r="E15" i="1"/>
  <c r="B5" i="11"/>
  <c r="F5" i="1"/>
  <c r="E5" i="1"/>
  <c r="B19" i="11"/>
  <c r="F19" i="1"/>
  <c r="E19" i="1"/>
  <c r="C14" i="11"/>
  <c r="E14" i="2"/>
  <c r="F14" i="2"/>
  <c r="C4" i="11"/>
  <c r="F4" i="2"/>
  <c r="E4" i="2"/>
  <c r="C13" i="11"/>
  <c r="F13" i="2"/>
  <c r="E13" i="2"/>
  <c r="F37" i="11"/>
  <c r="F37" i="5"/>
  <c r="E37" i="5"/>
  <c r="F29" i="11"/>
  <c r="F29" i="5"/>
  <c r="E29" i="5"/>
  <c r="F26" i="11"/>
  <c r="F26" i="5"/>
  <c r="E26" i="5"/>
  <c r="F18" i="11"/>
  <c r="F18" i="5"/>
  <c r="E18" i="5"/>
  <c r="B23" i="11"/>
  <c r="F23" i="1"/>
  <c r="E23" i="1"/>
  <c r="B33" i="11"/>
  <c r="F33" i="1"/>
  <c r="E33" i="1"/>
  <c r="B36" i="11"/>
  <c r="F36" i="1"/>
  <c r="E36" i="1"/>
  <c r="B17" i="11"/>
  <c r="F17" i="1"/>
  <c r="E17" i="1"/>
  <c r="C29" i="11"/>
  <c r="F29" i="2"/>
  <c r="E29" i="2"/>
  <c r="F25" i="11"/>
  <c r="F25" i="5"/>
  <c r="E25" i="5"/>
  <c r="D5" i="11"/>
  <c r="F5" i="3"/>
  <c r="E5" i="3"/>
  <c r="B28" i="11"/>
  <c r="F28" i="1"/>
  <c r="E28" i="1"/>
  <c r="B26" i="11"/>
  <c r="E26" i="1"/>
  <c r="F26" i="1"/>
  <c r="B11" i="11"/>
  <c r="F11" i="1"/>
  <c r="E11" i="1"/>
  <c r="B30" i="11"/>
  <c r="E30" i="1"/>
  <c r="F30" i="1"/>
  <c r="C2" i="11"/>
  <c r="E2" i="2"/>
  <c r="F2" i="2"/>
  <c r="C24" i="11"/>
  <c r="F24" i="2"/>
  <c r="E24" i="2"/>
  <c r="C35" i="11"/>
  <c r="F35" i="2"/>
  <c r="E35" i="2"/>
  <c r="C27" i="11"/>
  <c r="F27" i="2"/>
  <c r="E27" i="2"/>
  <c r="C7" i="11"/>
  <c r="F7" i="2"/>
  <c r="E7" i="2"/>
  <c r="F34" i="11"/>
  <c r="F34" i="5"/>
  <c r="E34" i="5"/>
  <c r="D29" i="11"/>
  <c r="F29" i="3"/>
  <c r="E29" i="3"/>
  <c r="F23" i="11"/>
  <c r="F23" i="5"/>
  <c r="E23" i="5"/>
  <c r="F15" i="11"/>
  <c r="F15" i="5"/>
  <c r="E15" i="5"/>
  <c r="F7" i="11"/>
  <c r="F7" i="5"/>
  <c r="E7" i="5"/>
  <c r="D33" i="11"/>
  <c r="F33" i="3"/>
  <c r="E33" i="3"/>
  <c r="E25" i="11"/>
  <c r="F25" i="4"/>
  <c r="E25" i="4"/>
  <c r="E5" i="11"/>
  <c r="F5" i="4"/>
  <c r="E5" i="4"/>
  <c r="E18" i="11"/>
  <c r="F18" i="4"/>
  <c r="E18" i="4"/>
  <c r="E20" i="11"/>
  <c r="F20" i="4"/>
  <c r="E20" i="4"/>
  <c r="G5" i="11"/>
  <c r="F5" i="6"/>
  <c r="E5" i="6"/>
  <c r="D15" i="11"/>
  <c r="F15" i="3"/>
  <c r="E15" i="3"/>
  <c r="D18" i="11"/>
  <c r="E18" i="3"/>
  <c r="F18" i="3"/>
  <c r="D6" i="11"/>
  <c r="E6" i="3"/>
  <c r="F6" i="3"/>
  <c r="G21" i="11"/>
  <c r="F21" i="6"/>
  <c r="E21" i="6"/>
  <c r="G32" i="11"/>
  <c r="F32" i="6"/>
  <c r="E32" i="6"/>
  <c r="G16" i="11"/>
  <c r="F16" i="6"/>
  <c r="E16" i="6"/>
  <c r="G13" i="11"/>
  <c r="F13" i="6"/>
  <c r="E13" i="6"/>
  <c r="B6" i="11"/>
  <c r="E6" i="1"/>
  <c r="F6" i="1"/>
  <c r="C30" i="11"/>
  <c r="E30" i="2"/>
  <c r="F30" i="2"/>
  <c r="F10" i="11"/>
  <c r="F10" i="5"/>
  <c r="E10" i="5"/>
  <c r="B34" i="11"/>
  <c r="E34" i="1"/>
  <c r="F34" i="1"/>
  <c r="C11" i="11"/>
  <c r="F11" i="2"/>
  <c r="E11" i="2"/>
  <c r="C37" i="11"/>
  <c r="F37" i="2"/>
  <c r="E37" i="2"/>
  <c r="C9" i="11"/>
  <c r="F9" i="2"/>
  <c r="E9" i="2"/>
  <c r="F28" i="11"/>
  <c r="F28" i="5"/>
  <c r="E28" i="5"/>
  <c r="F17" i="11"/>
  <c r="F17" i="5"/>
  <c r="E17" i="5"/>
  <c r="F9" i="11"/>
  <c r="F9" i="5"/>
  <c r="E9" i="5"/>
  <c r="E9" i="11"/>
  <c r="F9" i="4"/>
  <c r="E9" i="4"/>
  <c r="G28" i="11"/>
  <c r="F28" i="6"/>
  <c r="E28" i="6"/>
  <c r="B14" i="11"/>
  <c r="E14" i="1"/>
  <c r="F14" i="1"/>
  <c r="B13" i="11"/>
  <c r="F13" i="1"/>
  <c r="E13" i="1"/>
  <c r="B37" i="11"/>
  <c r="F37" i="1"/>
  <c r="E37" i="1"/>
  <c r="B27" i="11"/>
  <c r="F27" i="1"/>
  <c r="E27" i="1"/>
  <c r="C26" i="11"/>
  <c r="E26" i="2"/>
  <c r="F26" i="2"/>
  <c r="C21" i="11"/>
  <c r="F21" i="2"/>
  <c r="E21" i="2"/>
  <c r="C34" i="11"/>
  <c r="E34" i="2"/>
  <c r="F34" i="2"/>
  <c r="C25" i="11"/>
  <c r="F25" i="2"/>
  <c r="E25" i="2"/>
  <c r="C5" i="11"/>
  <c r="F5" i="2"/>
  <c r="E5" i="2"/>
  <c r="F33" i="11"/>
  <c r="E33" i="5"/>
  <c r="F33" i="5"/>
  <c r="D28" i="11"/>
  <c r="F28" i="3"/>
  <c r="E28" i="3"/>
  <c r="F22" i="11"/>
  <c r="F22" i="5"/>
  <c r="E22" i="5"/>
  <c r="F14" i="11"/>
  <c r="F14" i="5"/>
  <c r="E14" i="5"/>
  <c r="F6" i="11"/>
  <c r="F6" i="5"/>
  <c r="E6" i="5"/>
  <c r="D32" i="11"/>
  <c r="F32" i="3"/>
  <c r="E32" i="3"/>
  <c r="E22" i="11"/>
  <c r="E22" i="4"/>
  <c r="F22" i="4"/>
  <c r="E4" i="11"/>
  <c r="F4" i="4"/>
  <c r="E4" i="4"/>
  <c r="E14" i="11"/>
  <c r="E14" i="4"/>
  <c r="F14" i="4"/>
  <c r="E17" i="11"/>
  <c r="F17" i="4"/>
  <c r="E17" i="4"/>
  <c r="G4" i="11"/>
  <c r="F4" i="6"/>
  <c r="E4" i="6"/>
  <c r="D4" i="11"/>
  <c r="F4" i="3"/>
  <c r="E4" i="3"/>
  <c r="D10" i="11"/>
  <c r="E10" i="3"/>
  <c r="F10" i="3"/>
  <c r="G27" i="11"/>
  <c r="E27" i="6"/>
  <c r="F27" i="6"/>
  <c r="G19" i="11"/>
  <c r="E19" i="6"/>
  <c r="F19" i="6"/>
  <c r="G31" i="11"/>
  <c r="F31" i="6"/>
  <c r="E31" i="6"/>
  <c r="G15" i="11"/>
  <c r="F15" i="6"/>
  <c r="E15" i="6"/>
  <c r="G7" i="11"/>
  <c r="F7" i="6"/>
  <c r="E7" i="6"/>
  <c r="B25" i="11"/>
  <c r="F25" i="1"/>
  <c r="E25" i="1"/>
  <c r="B16" i="11"/>
  <c r="F16" i="1"/>
  <c r="E16" i="1"/>
  <c r="B7" i="11"/>
  <c r="F7" i="1"/>
  <c r="E7" i="1"/>
  <c r="B22" i="11"/>
  <c r="E22" i="1"/>
  <c r="F22" i="1"/>
  <c r="C23" i="11"/>
  <c r="F23" i="2"/>
  <c r="E23" i="2"/>
  <c r="C18" i="11"/>
  <c r="E18" i="2"/>
  <c r="F18" i="2"/>
  <c r="C33" i="11"/>
  <c r="F33" i="2"/>
  <c r="E33" i="2"/>
  <c r="C3" i="11"/>
  <c r="F3" i="2"/>
  <c r="E3" i="2"/>
  <c r="F32" i="11"/>
  <c r="F32" i="5"/>
  <c r="E32" i="5"/>
  <c r="F21" i="11"/>
  <c r="F21" i="5"/>
  <c r="E21" i="5"/>
  <c r="F13" i="11"/>
  <c r="F13" i="5"/>
  <c r="E13" i="5"/>
  <c r="E19" i="11"/>
  <c r="F19" i="4"/>
  <c r="E19" i="4"/>
  <c r="D25" i="11"/>
  <c r="F25" i="3"/>
  <c r="E25" i="3"/>
  <c r="G26" i="11"/>
  <c r="E26" i="6"/>
  <c r="F26" i="6"/>
  <c r="E36" i="11"/>
  <c r="F36" i="4"/>
  <c r="E36" i="4"/>
  <c r="G30" i="11"/>
  <c r="F30" i="6"/>
  <c r="E30" i="6"/>
  <c r="G8" i="11"/>
  <c r="F8" i="6"/>
  <c r="E8" i="6"/>
  <c r="B24" i="11"/>
  <c r="F24" i="1"/>
  <c r="E24" i="1"/>
  <c r="B12" i="11"/>
  <c r="F12" i="1"/>
  <c r="E12" i="1"/>
  <c r="B29" i="11"/>
  <c r="F29" i="1"/>
  <c r="E29" i="1"/>
  <c r="B21" i="11"/>
  <c r="F21" i="1"/>
  <c r="E21" i="1"/>
  <c r="C20" i="11"/>
  <c r="F20" i="2"/>
  <c r="E20" i="2"/>
  <c r="C12" i="11"/>
  <c r="F12" i="2"/>
  <c r="E12" i="2"/>
  <c r="C32" i="11"/>
  <c r="F32" i="2"/>
  <c r="E32" i="2"/>
  <c r="C19" i="11"/>
  <c r="F19" i="2"/>
  <c r="E19" i="2"/>
  <c r="D2" i="11"/>
  <c r="E2" i="3"/>
  <c r="F2" i="3"/>
  <c r="F31" i="11"/>
  <c r="F31" i="5"/>
  <c r="E31" i="5"/>
  <c r="D26" i="11"/>
  <c r="E26" i="3"/>
  <c r="F26" i="3"/>
  <c r="F20" i="11"/>
  <c r="F20" i="5"/>
  <c r="E20" i="5"/>
  <c r="F12" i="11"/>
  <c r="F12" i="5"/>
  <c r="E12" i="5"/>
  <c r="F4" i="11"/>
  <c r="F4" i="5"/>
  <c r="E4" i="5"/>
  <c r="D30" i="11"/>
  <c r="E30" i="3"/>
  <c r="F30" i="3"/>
  <c r="E16" i="11"/>
  <c r="F16" i="4"/>
  <c r="E16" i="4"/>
  <c r="E33" i="11"/>
  <c r="F33" i="4"/>
  <c r="E33" i="4"/>
  <c r="E7" i="11"/>
  <c r="F7" i="4"/>
  <c r="E7" i="4"/>
  <c r="E10" i="11"/>
  <c r="E10" i="4"/>
  <c r="F10" i="4"/>
  <c r="D14" i="11"/>
  <c r="E14" i="3"/>
  <c r="F14" i="3"/>
  <c r="D21" i="11"/>
  <c r="F21" i="3"/>
  <c r="E21" i="3"/>
  <c r="D3" i="11"/>
  <c r="F3" i="3"/>
  <c r="E3" i="3"/>
  <c r="G25" i="11"/>
  <c r="E25" i="6"/>
  <c r="F25" i="6"/>
  <c r="G37" i="11"/>
  <c r="F37" i="6"/>
  <c r="E37" i="6"/>
  <c r="E35" i="11"/>
  <c r="F35" i="4"/>
  <c r="E35" i="4"/>
  <c r="G12" i="11"/>
  <c r="F12" i="6"/>
  <c r="E12" i="6"/>
  <c r="G14" i="11"/>
  <c r="F14" i="6"/>
  <c r="E14" i="6"/>
  <c r="G14" i="8"/>
  <c r="G7" i="8"/>
  <c r="G2" i="11"/>
  <c r="G8" i="8"/>
  <c r="B3" i="8"/>
  <c r="C6" i="8"/>
  <c r="C36" i="8"/>
  <c r="C28" i="8"/>
  <c r="C8" i="8"/>
  <c r="F35" i="8"/>
  <c r="F27" i="8"/>
  <c r="F24" i="8"/>
  <c r="F16" i="8"/>
  <c r="F8" i="8"/>
  <c r="D34" i="8"/>
  <c r="E28" i="8"/>
  <c r="E8" i="8"/>
  <c r="E21" i="8"/>
  <c r="E23" i="8"/>
  <c r="G6" i="8"/>
  <c r="D19" i="8"/>
  <c r="D24" i="8"/>
  <c r="D8" i="8"/>
  <c r="G22" i="8"/>
  <c r="G33" i="8"/>
  <c r="G17" i="8"/>
  <c r="B18" i="8"/>
  <c r="B10" i="8"/>
  <c r="B32" i="8"/>
  <c r="B31" i="8"/>
  <c r="B28" i="8"/>
  <c r="B26" i="8"/>
  <c r="B11" i="8"/>
  <c r="B30" i="8"/>
  <c r="C7" i="8"/>
  <c r="F34" i="8"/>
  <c r="D29" i="8"/>
  <c r="F23" i="8"/>
  <c r="F15" i="8"/>
  <c r="F7" i="8"/>
  <c r="D33" i="8"/>
  <c r="E25" i="8"/>
  <c r="E5" i="8"/>
  <c r="E18" i="8"/>
  <c r="E20" i="8"/>
  <c r="G5" i="8"/>
  <c r="D15" i="8"/>
  <c r="D18" i="8"/>
  <c r="D6" i="8"/>
  <c r="G21" i="8"/>
  <c r="G32" i="8"/>
  <c r="G16" i="8"/>
  <c r="C24" i="8"/>
  <c r="C35" i="8"/>
  <c r="C27" i="8"/>
  <c r="B14" i="8"/>
  <c r="B13" i="8"/>
  <c r="B37" i="8"/>
  <c r="B27" i="8"/>
  <c r="C26" i="8"/>
  <c r="C21" i="8"/>
  <c r="C34" i="8"/>
  <c r="C25" i="8"/>
  <c r="C5" i="8"/>
  <c r="D28" i="8"/>
  <c r="F22" i="8"/>
  <c r="F14" i="8"/>
  <c r="F6" i="8"/>
  <c r="D32" i="8"/>
  <c r="E22" i="8"/>
  <c r="E4" i="8"/>
  <c r="E14" i="8"/>
  <c r="E17" i="8"/>
  <c r="D4" i="8"/>
  <c r="D10" i="8"/>
  <c r="G27" i="8"/>
  <c r="G19" i="8"/>
  <c r="G31" i="8"/>
  <c r="G15" i="8"/>
  <c r="B22" i="8"/>
  <c r="C23" i="8"/>
  <c r="C18" i="8"/>
  <c r="C22" i="8"/>
  <c r="C3" i="8"/>
  <c r="D27" i="8"/>
  <c r="F21" i="8"/>
  <c r="F13" i="8"/>
  <c r="F5" i="8"/>
  <c r="D31" i="8"/>
  <c r="E19" i="8"/>
  <c r="E11" i="8"/>
  <c r="E13" i="8"/>
  <c r="D20" i="8"/>
  <c r="D25" i="8"/>
  <c r="D9" i="8"/>
  <c r="G26" i="8"/>
  <c r="E36" i="8"/>
  <c r="G30" i="8"/>
  <c r="G9" i="8"/>
  <c r="B16" i="8"/>
  <c r="B7" i="8"/>
  <c r="C33" i="8"/>
  <c r="B24" i="8"/>
  <c r="B12" i="8"/>
  <c r="B29" i="8"/>
  <c r="B21" i="8"/>
  <c r="C20" i="8"/>
  <c r="C12" i="8"/>
  <c r="C32" i="8"/>
  <c r="C19" i="8"/>
  <c r="D26" i="8"/>
  <c r="F20" i="8"/>
  <c r="F4" i="8"/>
  <c r="D30" i="8"/>
  <c r="E16" i="8"/>
  <c r="E33" i="8"/>
  <c r="E7" i="8"/>
  <c r="E10" i="8"/>
  <c r="D14" i="8"/>
  <c r="D21" i="8"/>
  <c r="D3" i="8"/>
  <c r="G25" i="8"/>
  <c r="G37" i="8"/>
  <c r="E35" i="8"/>
  <c r="G12" i="8"/>
  <c r="F31" i="8"/>
  <c r="E37" i="8"/>
  <c r="F19" i="8"/>
  <c r="F11" i="8"/>
  <c r="F3" i="8"/>
  <c r="E2" i="8"/>
  <c r="E15" i="8"/>
  <c r="E30" i="8"/>
  <c r="E32" i="8"/>
  <c r="E6" i="8"/>
  <c r="D7" i="8"/>
  <c r="D16" i="8"/>
  <c r="D22" i="8"/>
  <c r="G24" i="8"/>
  <c r="G36" i="8"/>
  <c r="F2" i="8"/>
  <c r="G10" i="8"/>
  <c r="F30" i="8"/>
  <c r="B15" i="8"/>
  <c r="B25" i="8"/>
  <c r="B5" i="8"/>
  <c r="B6" i="8"/>
  <c r="B19" i="8"/>
  <c r="C14" i="8"/>
  <c r="C4" i="8"/>
  <c r="C30" i="8"/>
  <c r="C13" i="8"/>
  <c r="F37" i="8"/>
  <c r="F29" i="8"/>
  <c r="F26" i="8"/>
  <c r="F18" i="8"/>
  <c r="F10" i="8"/>
  <c r="D36" i="8"/>
  <c r="E34" i="8"/>
  <c r="E12" i="8"/>
  <c r="E27" i="8"/>
  <c r="E29" i="8"/>
  <c r="G29" i="8"/>
  <c r="D11" i="8"/>
  <c r="D12" i="8"/>
  <c r="D17" i="8"/>
  <c r="G23" i="8"/>
  <c r="G35" i="8"/>
  <c r="G2" i="8"/>
  <c r="G3" i="8"/>
  <c r="B35" i="8"/>
  <c r="F12" i="8"/>
  <c r="B9" i="8"/>
  <c r="B8" i="8"/>
  <c r="B4" i="8"/>
  <c r="B20" i="8"/>
  <c r="C17" i="8"/>
  <c r="C10" i="8"/>
  <c r="C31" i="8"/>
  <c r="C16" i="8"/>
  <c r="D37" i="8"/>
  <c r="B23" i="8"/>
  <c r="B33" i="8"/>
  <c r="B36" i="8"/>
  <c r="B34" i="8"/>
  <c r="B17" i="8"/>
  <c r="C11" i="8"/>
  <c r="C37" i="8"/>
  <c r="C29" i="8"/>
  <c r="C9" i="8"/>
  <c r="F36" i="8"/>
  <c r="F28" i="8"/>
  <c r="F25" i="8"/>
  <c r="F17" i="8"/>
  <c r="F9" i="8"/>
  <c r="D35" i="8"/>
  <c r="E31" i="8"/>
  <c r="E9" i="8"/>
  <c r="E24" i="8"/>
  <c r="E26" i="8"/>
  <c r="G28" i="8"/>
  <c r="D23" i="8"/>
  <c r="D5" i="8"/>
  <c r="D13" i="8"/>
  <c r="G20" i="8"/>
  <c r="G34" i="8"/>
  <c r="G18" i="8"/>
  <c r="G11" i="8"/>
  <c r="G4" i="8"/>
  <c r="D39" i="6"/>
  <c r="D40" i="6"/>
  <c r="E3" i="8"/>
  <c r="D39" i="4"/>
  <c r="D40" i="4"/>
  <c r="F32" i="8"/>
  <c r="D40" i="5"/>
  <c r="F33" i="8"/>
  <c r="D39" i="5"/>
  <c r="D2" i="8"/>
  <c r="D40" i="3"/>
  <c r="D39" i="3"/>
  <c r="D15" i="2"/>
  <c r="C2" i="8"/>
  <c r="D40" i="1"/>
  <c r="D39" i="1"/>
  <c r="B2" i="8"/>
  <c r="C15" i="11" l="1"/>
  <c r="K1" i="11" s="1" a="1"/>
  <c r="AR7" i="7" s="1"/>
  <c r="F15" i="2"/>
  <c r="E15" i="2"/>
  <c r="D40" i="2"/>
  <c r="C40" i="8" s="1"/>
  <c r="F40" i="8"/>
  <c r="E40" i="8"/>
  <c r="E39" i="8"/>
  <c r="D39" i="8"/>
  <c r="D40" i="8"/>
  <c r="G40" i="8"/>
  <c r="B39" i="8"/>
  <c r="G39" i="8"/>
  <c r="F39" i="8"/>
  <c r="B40" i="8"/>
  <c r="C15" i="8"/>
  <c r="I1" i="8" s="1" a="1"/>
  <c r="D39" i="2"/>
  <c r="AQ7" i="7" l="1"/>
  <c r="AS2" i="7"/>
  <c r="V1" i="7"/>
  <c r="L3" i="7"/>
  <c r="P6" i="7"/>
  <c r="AI1" i="7"/>
  <c r="AM4" i="7"/>
  <c r="S2" i="7"/>
  <c r="Y3" i="7"/>
  <c r="AM9" i="7"/>
  <c r="I4" i="7"/>
  <c r="R1" i="7"/>
  <c r="AM8" i="7"/>
  <c r="AP6" i="7"/>
  <c r="V4" i="7"/>
  <c r="AM1" i="7"/>
  <c r="Z7" i="7"/>
  <c r="AI4" i="7"/>
  <c r="AP3" i="7"/>
  <c r="I7" i="7"/>
  <c r="Z4" i="7"/>
  <c r="AF5" i="7"/>
  <c r="Z9" i="7"/>
  <c r="V7" i="7"/>
  <c r="AC6" i="7"/>
  <c r="O5" i="7"/>
  <c r="AF2" i="7"/>
  <c r="AJ5" i="7"/>
  <c r="V9" i="7"/>
  <c r="L6" i="7"/>
  <c r="AC3" i="7"/>
  <c r="AQ9" i="7"/>
  <c r="O2" i="7"/>
  <c r="AM7" i="7"/>
  <c r="S5" i="7"/>
  <c r="AJ2" i="7"/>
  <c r="N2" i="7"/>
  <c r="AE5" i="7"/>
  <c r="U7" i="7"/>
  <c r="AL9" i="7"/>
  <c r="U4" i="7"/>
  <c r="K6" i="7"/>
  <c r="AL7" i="7"/>
  <c r="U1" i="7"/>
  <c r="K3" i="7"/>
  <c r="AL4" i="7"/>
  <c r="AB6" i="7"/>
  <c r="AL8" i="7"/>
  <c r="AL1" i="7"/>
  <c r="AB3" i="7"/>
  <c r="R5" i="7"/>
  <c r="AS6" i="7"/>
  <c r="Y9" i="7"/>
  <c r="R2" i="7"/>
  <c r="AS3" i="7"/>
  <c r="AI5" i="7"/>
  <c r="Y7" i="7"/>
  <c r="AP9" i="7"/>
  <c r="AI2" i="7"/>
  <c r="Y4" i="7"/>
  <c r="O6" i="7"/>
  <c r="AP7" i="7"/>
  <c r="Y1" i="7"/>
  <c r="O3" i="7"/>
  <c r="AP4" i="7"/>
  <c r="AF6" i="7"/>
  <c r="AP8" i="7"/>
  <c r="AH1" i="7"/>
  <c r="X3" i="7"/>
  <c r="N5" i="7"/>
  <c r="AO6" i="7"/>
  <c r="U9" i="7"/>
  <c r="AQ1" i="7"/>
  <c r="AG3" i="7"/>
  <c r="W5" i="7"/>
  <c r="M7" i="7"/>
  <c r="AD9" i="7"/>
  <c r="W2" i="7"/>
  <c r="M4" i="7"/>
  <c r="AN5" i="7"/>
  <c r="AD7" i="7"/>
  <c r="M1" i="7"/>
  <c r="AN2" i="7"/>
  <c r="AD4" i="7"/>
  <c r="T6" i="7"/>
  <c r="AD8" i="7"/>
  <c r="AD1" i="7"/>
  <c r="T3" i="7"/>
  <c r="J5" i="7"/>
  <c r="AK6" i="7"/>
  <c r="Q9" i="7"/>
  <c r="J2" i="7"/>
  <c r="AK3" i="7"/>
  <c r="AA5" i="7"/>
  <c r="Q7" i="7"/>
  <c r="AH9" i="7"/>
  <c r="AA2" i="7"/>
  <c r="Q4" i="7"/>
  <c r="AR5" i="7"/>
  <c r="AH7" i="7"/>
  <c r="Q1" i="7"/>
  <c r="AR2" i="7"/>
  <c r="AH4" i="7"/>
  <c r="X6" i="7"/>
  <c r="AH8" i="7"/>
  <c r="Z1" i="7"/>
  <c r="P3" i="7"/>
  <c r="AQ4" i="7"/>
  <c r="AG6" i="7"/>
  <c r="AQ8" i="7"/>
  <c r="AO3" i="7"/>
  <c r="AE2" i="7"/>
  <c r="V2" i="7"/>
  <c r="L4" i="7"/>
  <c r="AM5" i="7"/>
  <c r="AC7" i="7"/>
  <c r="L1" i="7"/>
  <c r="AM2" i="7"/>
  <c r="AC4" i="7"/>
  <c r="S6" i="7"/>
  <c r="I8" i="7"/>
  <c r="AC1" i="7"/>
  <c r="S3" i="7"/>
  <c r="I5" i="7"/>
  <c r="AJ6" i="7"/>
  <c r="I9" i="7"/>
  <c r="I2" i="7"/>
  <c r="AJ3" i="7"/>
  <c r="Z5" i="7"/>
  <c r="P7" i="7"/>
  <c r="AG9" i="7"/>
  <c r="Z2" i="7"/>
  <c r="P4" i="7"/>
  <c r="AQ5" i="7"/>
  <c r="AG7" i="7"/>
  <c r="P1" i="7"/>
  <c r="AQ2" i="7"/>
  <c r="AG4" i="7"/>
  <c r="W6" i="7"/>
  <c r="AG8" i="7"/>
  <c r="AG1" i="7"/>
  <c r="W3" i="7"/>
  <c r="M5" i="7"/>
  <c r="AN6" i="7"/>
  <c r="T9" i="7"/>
  <c r="AP1" i="7"/>
  <c r="AF3" i="7"/>
  <c r="V5" i="7"/>
  <c r="L7" i="7"/>
  <c r="AC9" i="7"/>
  <c r="Y6" i="7"/>
  <c r="AD2" i="7"/>
  <c r="AK7" i="7"/>
  <c r="J3" i="7"/>
  <c r="AA6" i="7"/>
  <c r="AK1" i="7"/>
  <c r="Q5" i="7"/>
  <c r="X9" i="7"/>
  <c r="Q2" i="7"/>
  <c r="AH5" i="7"/>
  <c r="AO9" i="7"/>
  <c r="X4" i="7"/>
  <c r="AO7" i="7"/>
  <c r="AO4" i="7"/>
  <c r="AD5" i="7"/>
  <c r="AL2" i="7"/>
  <c r="R6" i="7"/>
  <c r="AB1" i="7"/>
  <c r="AS4" i="7"/>
  <c r="AS8" i="7"/>
  <c r="AI3" i="7"/>
  <c r="O7" i="7"/>
  <c r="Y2" i="7"/>
  <c r="AP5" i="7"/>
  <c r="AP2" i="7"/>
  <c r="V6" i="7"/>
  <c r="AF1" i="7"/>
  <c r="L5" i="7"/>
  <c r="S9" i="7"/>
  <c r="L2" i="7"/>
  <c r="AC5" i="7"/>
  <c r="S7" i="7"/>
  <c r="AJ9" i="7"/>
  <c r="U2" i="7"/>
  <c r="K4" i="7"/>
  <c r="AL5" i="7"/>
  <c r="AS9" i="7"/>
  <c r="I3" i="7"/>
  <c r="Z6" i="7"/>
  <c r="AJ1" i="7"/>
  <c r="P5" i="7"/>
  <c r="AQ6" i="7"/>
  <c r="P2" i="7"/>
  <c r="AQ3" i="7"/>
  <c r="AG5" i="7"/>
  <c r="W7" i="7"/>
  <c r="AN9" i="7"/>
  <c r="AG2" i="7"/>
  <c r="W4" i="7"/>
  <c r="M6" i="7"/>
  <c r="AN7" i="7"/>
  <c r="W1" i="7"/>
  <c r="M3" i="7"/>
  <c r="AN4" i="7"/>
  <c r="AD6" i="7"/>
  <c r="AN8" i="7"/>
  <c r="AN1" i="7"/>
  <c r="AD3" i="7"/>
  <c r="T5" i="7"/>
  <c r="J7" i="7"/>
  <c r="AA9" i="7"/>
  <c r="T2" i="7"/>
  <c r="J4" i="7"/>
  <c r="AK5" i="7"/>
  <c r="AA7" i="7"/>
  <c r="AR9" i="7"/>
  <c r="AC2" i="7"/>
  <c r="S4" i="7"/>
  <c r="I6" i="7"/>
  <c r="AJ7" i="7"/>
  <c r="K1" i="11"/>
  <c r="I1" i="7" s="1"/>
  <c r="AI8" i="7"/>
  <c r="T4" i="7"/>
  <c r="J6" i="7"/>
  <c r="T1" i="7"/>
  <c r="AK4" i="7"/>
  <c r="AK8" i="7"/>
  <c r="AA3" i="7"/>
  <c r="AR6" i="7"/>
  <c r="AR3" i="7"/>
  <c r="X7" i="7"/>
  <c r="AH2" i="7"/>
  <c r="N6" i="7"/>
  <c r="X1" i="7"/>
  <c r="N3" i="7"/>
  <c r="AE6" i="7"/>
  <c r="AO8" i="7"/>
  <c r="AO1" i="7"/>
  <c r="AE3" i="7"/>
  <c r="U5" i="7"/>
  <c r="K7" i="7"/>
  <c r="AB9" i="7"/>
  <c r="M2" i="7"/>
  <c r="AN3" i="7"/>
  <c r="T7" i="7"/>
  <c r="AK9" i="7"/>
  <c r="K1" i="7"/>
  <c r="AB4" i="7"/>
  <c r="AS7" i="7"/>
  <c r="R3" i="7"/>
  <c r="AI6" i="7"/>
  <c r="AS1" i="7"/>
  <c r="Y5" i="7"/>
  <c r="AF9" i="7"/>
  <c r="O4" i="7"/>
  <c r="AF7" i="7"/>
  <c r="O1" i="7"/>
  <c r="AF4" i="7"/>
  <c r="AF8" i="7"/>
  <c r="V3" i="7"/>
  <c r="AM6" i="7"/>
  <c r="AM3" i="7"/>
  <c r="AB7" i="7"/>
  <c r="S1" i="7"/>
  <c r="AJ4" i="7"/>
  <c r="AJ8" i="7"/>
  <c r="Z3" i="7"/>
  <c r="W9" i="7"/>
  <c r="AA1" i="7"/>
  <c r="Q3" i="7"/>
  <c r="AR4" i="7"/>
  <c r="AH6" i="7"/>
  <c r="AR8" i="7"/>
  <c r="AR1" i="7"/>
  <c r="AH3" i="7"/>
  <c r="X5" i="7"/>
  <c r="N7" i="7"/>
  <c r="AE9" i="7"/>
  <c r="X2" i="7"/>
  <c r="N4" i="7"/>
  <c r="AO5" i="7"/>
  <c r="AE7" i="7"/>
  <c r="N1" i="7"/>
  <c r="AO2" i="7"/>
  <c r="AE4" i="7"/>
  <c r="U6" i="7"/>
  <c r="AE8" i="7"/>
  <c r="AE1" i="7"/>
  <c r="U3" i="7"/>
  <c r="K5" i="7"/>
  <c r="AL6" i="7"/>
  <c r="R9" i="7"/>
  <c r="K2" i="7"/>
  <c r="AL3" i="7"/>
  <c r="AB5" i="7"/>
  <c r="R7" i="7"/>
  <c r="AI9" i="7"/>
  <c r="AB2" i="7"/>
  <c r="R4" i="7"/>
  <c r="AS5" i="7"/>
  <c r="AI7" i="7"/>
  <c r="J1" i="7"/>
  <c r="AK2" i="7"/>
  <c r="AA4" i="7"/>
  <c r="Q6" i="7"/>
  <c r="C39" i="8"/>
  <c r="AO1" i="8"/>
  <c r="K1" i="8"/>
  <c r="AJ4" i="8"/>
  <c r="Z7" i="8"/>
  <c r="R2" i="8"/>
  <c r="T6" i="8"/>
  <c r="W5" i="8"/>
  <c r="Z2" i="8"/>
  <c r="AK5" i="8"/>
  <c r="V4" i="8"/>
  <c r="O4" i="8"/>
  <c r="AP2" i="8"/>
  <c r="Q6" i="8"/>
  <c r="R1" i="8"/>
  <c r="N4" i="8"/>
  <c r="U2" i="8"/>
  <c r="AD7" i="8"/>
  <c r="I1" i="8"/>
  <c r="J6" i="8"/>
  <c r="M3" i="8"/>
  <c r="Q2" i="8"/>
  <c r="J7" i="8"/>
  <c r="W3" i="8"/>
  <c r="AQ5" i="8"/>
  <c r="AH7" i="8"/>
  <c r="U4" i="8"/>
  <c r="L2" i="8"/>
  <c r="AG2" i="8"/>
  <c r="AC4" i="8"/>
  <c r="AA7" i="8"/>
  <c r="AD1" i="8"/>
  <c r="W1" i="8"/>
  <c r="R7" i="8"/>
  <c r="T3" i="8"/>
  <c r="AI4" i="8"/>
  <c r="N7" i="8"/>
  <c r="K4" i="8"/>
  <c r="R5" i="8"/>
  <c r="V2" i="8"/>
  <c r="Q1" i="8"/>
  <c r="O5" i="8"/>
  <c r="Q4" i="8"/>
  <c r="AR4" i="8"/>
  <c r="AC7" i="8"/>
  <c r="M5" i="8"/>
  <c r="T5" i="8"/>
  <c r="K7" i="8"/>
  <c r="M6" i="8"/>
  <c r="AF3" i="8"/>
  <c r="Z6" i="8"/>
  <c r="AJ3" i="8"/>
  <c r="AQ1" i="8"/>
  <c r="AN7" i="8"/>
  <c r="AC2" i="8"/>
  <c r="AL4" i="8"/>
  <c r="AM1" i="8"/>
  <c r="I5" i="8"/>
  <c r="Z3" i="8"/>
  <c r="AK4" i="8"/>
  <c r="AL3" i="8"/>
  <c r="AH3" i="8"/>
  <c r="I4" i="8"/>
  <c r="AF6" i="8"/>
  <c r="V1" i="8"/>
  <c r="AJ6" i="8"/>
  <c r="AD6" i="8"/>
  <c r="AG6" i="8"/>
  <c r="AF4" i="8"/>
  <c r="AO6" i="8"/>
  <c r="Y7" i="8"/>
  <c r="V5" i="8"/>
  <c r="AR3" i="8"/>
  <c r="Y4" i="8"/>
  <c r="AG3" i="8"/>
  <c r="AO4" i="8"/>
  <c r="AO5" i="8"/>
  <c r="N2" i="8"/>
  <c r="S7" i="8"/>
  <c r="AG4" i="8"/>
  <c r="Y5" i="8"/>
  <c r="AD5" i="8"/>
  <c r="N6" i="8"/>
  <c r="AJ2" i="8"/>
  <c r="P2" i="8"/>
  <c r="S5" i="8"/>
  <c r="Y6" i="8"/>
  <c r="AR5" i="8"/>
  <c r="AO3" i="8"/>
  <c r="AA2" i="8"/>
  <c r="AL6" i="8"/>
  <c r="AH4" i="8"/>
  <c r="K3" i="8"/>
  <c r="N3" i="8"/>
  <c r="J3" i="8"/>
  <c r="AQ6" i="8"/>
  <c r="AN6" i="8"/>
  <c r="AF2" i="8"/>
  <c r="AH1" i="8"/>
  <c r="AM7" i="8"/>
  <c r="AP1" i="8"/>
  <c r="AR1" i="8"/>
  <c r="AS7" i="8"/>
  <c r="T7" i="8"/>
  <c r="AD3" i="8"/>
  <c r="P6" i="8"/>
  <c r="P4" i="8"/>
  <c r="AS6" i="8"/>
  <c r="U7" i="8"/>
  <c r="X5" i="8"/>
  <c r="M7" i="8"/>
  <c r="AR6" i="8"/>
  <c r="AE1" i="8"/>
  <c r="T4" i="8"/>
  <c r="O3" i="8"/>
  <c r="Y2" i="8"/>
  <c r="J5" i="8"/>
  <c r="AK1" i="8"/>
  <c r="AQ4" i="8"/>
  <c r="I7" i="8"/>
  <c r="N5" i="8"/>
  <c r="AJ1" i="8"/>
  <c r="AB2" i="8"/>
  <c r="N1" i="8"/>
  <c r="AF7" i="8"/>
  <c r="P3" i="8"/>
  <c r="X2" i="8"/>
  <c r="P7" i="8"/>
  <c r="X3" i="8"/>
  <c r="L5" i="8"/>
  <c r="AL7" i="8"/>
  <c r="AG1" i="8"/>
  <c r="I6" i="8"/>
  <c r="AR2" i="8"/>
  <c r="AP3" i="8"/>
  <c r="AI6" i="8"/>
  <c r="R4" i="8"/>
  <c r="AS1" i="8"/>
  <c r="L1" i="8"/>
  <c r="AE5" i="8"/>
  <c r="AP5" i="8"/>
  <c r="AI3" i="8"/>
  <c r="AK7" i="8"/>
  <c r="AC1" i="8"/>
  <c r="W2" i="8"/>
  <c r="S1" i="8"/>
  <c r="AN1" i="8"/>
  <c r="AG5" i="8"/>
  <c r="AH5" i="8"/>
  <c r="L7" i="8"/>
  <c r="R3" i="8"/>
  <c r="T2" i="8"/>
  <c r="W7" i="8"/>
  <c r="O2" i="8"/>
  <c r="AJ7" i="8"/>
  <c r="X6" i="8"/>
  <c r="Y1" i="8"/>
  <c r="AB1" i="8"/>
  <c r="AS5" i="8"/>
  <c r="AA6" i="8"/>
  <c r="M4" i="8"/>
  <c r="AA3" i="8"/>
  <c r="AE7" i="8"/>
  <c r="AP7" i="8"/>
  <c r="V3" i="8"/>
  <c r="U5" i="8"/>
  <c r="AM2" i="8"/>
  <c r="AB4" i="8"/>
  <c r="M1" i="8"/>
  <c r="AR7" i="8"/>
  <c r="X1" i="8"/>
  <c r="S4" i="8"/>
  <c r="U6" i="8"/>
  <c r="AF5" i="8"/>
  <c r="O7" i="8"/>
  <c r="AC5" i="8"/>
  <c r="P5" i="8"/>
  <c r="V6" i="8"/>
  <c r="AA4" i="8"/>
  <c r="T1" i="8"/>
  <c r="AP6" i="8"/>
  <c r="O6" i="8"/>
  <c r="AC6" i="8"/>
  <c r="Q7" i="8"/>
  <c r="AK6" i="8"/>
  <c r="AN3" i="8"/>
  <c r="J2" i="8"/>
  <c r="AN5" i="8"/>
  <c r="AG7" i="8"/>
  <c r="AN4" i="8"/>
  <c r="Q3" i="8"/>
  <c r="AH6" i="8"/>
  <c r="AQ7" i="8"/>
  <c r="AL1" i="8"/>
  <c r="P1" i="8"/>
  <c r="AB7" i="8"/>
  <c r="AI2" i="8"/>
  <c r="AM5" i="8"/>
  <c r="R6" i="8"/>
  <c r="AI5" i="8"/>
  <c r="AB6" i="8"/>
  <c r="X4" i="8"/>
  <c r="W4" i="8"/>
  <c r="AH2" i="8"/>
  <c r="AO2" i="8"/>
  <c r="S2" i="8"/>
  <c r="M2" i="8"/>
  <c r="L3" i="8"/>
  <c r="O1" i="8"/>
  <c r="Y3" i="8"/>
  <c r="AM3" i="8"/>
  <c r="AN2" i="8"/>
  <c r="AA1" i="8"/>
  <c r="AQ3" i="8"/>
  <c r="AC3" i="8"/>
  <c r="U1" i="8"/>
  <c r="I3" i="8"/>
  <c r="W6" i="8"/>
  <c r="V7" i="8"/>
  <c r="S6" i="8"/>
  <c r="AI1" i="8"/>
  <c r="Q5" i="8"/>
  <c r="J4" i="8"/>
  <c r="K5" i="8"/>
  <c r="AE6" i="8"/>
  <c r="AO7" i="8"/>
  <c r="AK2" i="8"/>
  <c r="AP4" i="8"/>
  <c r="AB3" i="8"/>
  <c r="AI7" i="8"/>
  <c r="S3" i="8"/>
  <c r="AM4" i="8"/>
  <c r="AF1" i="8"/>
  <c r="AE2" i="8"/>
  <c r="AQ2" i="8"/>
  <c r="K2" i="8"/>
  <c r="U3" i="8"/>
  <c r="Z1" i="8"/>
  <c r="AK3" i="8"/>
  <c r="AA5" i="8"/>
  <c r="I2" i="8"/>
  <c r="AE3" i="8"/>
  <c r="L6" i="8"/>
  <c r="AS2" i="8"/>
  <c r="AE4" i="8"/>
  <c r="J1" i="8"/>
  <c r="AS4" i="8"/>
  <c r="Z4" i="8"/>
  <c r="AD4" i="8"/>
  <c r="AS3" i="8"/>
  <c r="AL5" i="8"/>
  <c r="X7" i="8"/>
  <c r="Z5" i="8"/>
  <c r="AL2" i="8"/>
  <c r="AJ5" i="8"/>
  <c r="AD2" i="8"/>
  <c r="K6" i="8"/>
  <c r="L4" i="8"/>
  <c r="AM6" i="8"/>
  <c r="AB5" i="8"/>
  <c r="I44" i="7" l="1"/>
  <c r="I42" i="7"/>
  <c r="I43" i="7"/>
  <c r="I40" i="7"/>
  <c r="I41" i="7"/>
  <c r="I45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<sst xmlns="http://schemas.openxmlformats.org/spreadsheetml/2006/main" count="83" uniqueCount="26">
  <si>
    <t>Year</t>
    <phoneticPr fontId="1" type="noConversion"/>
  </si>
  <si>
    <t>Percentage</t>
    <phoneticPr fontId="1" type="noConversion"/>
  </si>
  <si>
    <t>Clinical trial</t>
    <phoneticPr fontId="1" type="noConversion"/>
  </si>
  <si>
    <t>Meta-analysis</t>
    <phoneticPr fontId="1" type="noConversion"/>
  </si>
  <si>
    <t>Review</t>
    <phoneticPr fontId="1" type="noConversion"/>
  </si>
  <si>
    <t>All MEDLINE</t>
    <phoneticPr fontId="1" type="noConversion"/>
  </si>
  <si>
    <t>MAX</t>
    <phoneticPr fontId="1" type="noConversion"/>
  </si>
  <si>
    <t>MIN</t>
    <phoneticPr fontId="1" type="noConversion"/>
  </si>
  <si>
    <t>SUM</t>
    <phoneticPr fontId="1" type="noConversion"/>
  </si>
  <si>
    <t>Randomized controlled trial</t>
    <phoneticPr fontId="1" type="noConversion"/>
  </si>
  <si>
    <t>Article Category</t>
  </si>
  <si>
    <t>Abstracts, No</t>
  </si>
  <si>
    <t>Abstracts Reporting P Values, No. (range per year)</t>
  </si>
  <si>
    <t>Observational study</t>
  </si>
  <si>
    <t>Observational study</t>
    <phoneticPr fontId="1" type="noConversion"/>
  </si>
  <si>
    <t>Systematic review</t>
  </si>
  <si>
    <t>Systematic review</t>
    <phoneticPr fontId="1" type="noConversion"/>
  </si>
  <si>
    <t xml:space="preserve">
</t>
    <phoneticPr fontId="1" type="noConversion"/>
  </si>
  <si>
    <t>71913 (9-8563)</t>
    <phoneticPr fontId="1" type="noConversion"/>
  </si>
  <si>
    <t>107193 (19-11186)</t>
    <phoneticPr fontId="1" type="noConversion"/>
  </si>
  <si>
    <t>HasPvalue same or lower than n=5 excluded</t>
    <phoneticPr fontId="1" type="noConversion"/>
  </si>
  <si>
    <t>Clinical useful journal</t>
    <phoneticPr fontId="1" type="noConversion"/>
  </si>
  <si>
    <t>All PubMed</t>
    <phoneticPr fontId="1" type="noConversion"/>
  </si>
  <si>
    <t>Clinically Useful Journals</t>
    <phoneticPr fontId="1" type="noConversion"/>
  </si>
  <si>
    <t>95%CI low</t>
    <phoneticPr fontId="1" type="noConversion"/>
  </si>
  <si>
    <t>95%CI high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</si>
</sst>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Sheet1!$I$2</c:f>
              <c:strCache>
                <c:ptCount val="1"/>
                <c:pt idx="0">
                  <c:v>Randomized controlled trial</c:v>
                </c:pt>
              </c:strCache>
            </c:strRef>
          </c:tx>
          <c:spPr>
            <a:ln w="15875" cap="rnd">
              <a:solidFill>
                <a:srgbClr val="FFC000"/>
              </a:solidFill>
              <a:round/>
            </a:ln>
            <a:effectLst>
              <a:softEdge rad="0"/>
            </a:effectLst>
          </c:spPr>
          <c:marker>
            <c:symbol val="circle"/>
            <c:size val="5"/>
            <c:spPr>
              <a:solidFill>
                <a:srgbClr val="FFC000"/>
              </a:solidFill>
              <a:ln w="9525">
                <a:noFill/>
              </a:ln>
              <a:effectLst>
                <a:softEdge rad="0"/>
              </a:effectLst>
            </c:spPr>
          </c:marker>
          <c:cat>
            <c:numRef>
              <c:f>Sheet1!$J$1:$AS$1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Sheet1!$J$2:$AS$2</c:f>
              <c:numCache>
                <c:formatCode>General</c:formatCode>
                <c:ptCount val="36"/>
                <c:pt idx="0">
                  <c:v>34.022128213472172</c:v>
                </c:pt>
                <c:pt idx="1">
                  <c:v>37.302423603793464</c:v>
                </c:pt>
                <c:pt idx="2">
                  <c:v>38.157341186369379</c:v>
                </c:pt>
                <c:pt idx="3">
                  <c:v>39.421711630308508</c:v>
                </c:pt>
                <c:pt idx="4">
                  <c:v>40.414333706606939</c:v>
                </c:pt>
                <c:pt idx="5">
                  <c:v>41.617195496417601</c:v>
                </c:pt>
                <c:pt idx="6">
                  <c:v>43.335761107064826</c:v>
                </c:pt>
                <c:pt idx="7">
                  <c:v>45.245835026412031</c:v>
                </c:pt>
                <c:pt idx="8">
                  <c:v>46.355998436889415</c:v>
                </c:pt>
                <c:pt idx="9">
                  <c:v>47.740524781341108</c:v>
                </c:pt>
                <c:pt idx="10">
                  <c:v>47.753650318232872</c:v>
                </c:pt>
                <c:pt idx="11">
                  <c:v>48.385146804835919</c:v>
                </c:pt>
                <c:pt idx="12">
                  <c:v>50.354186225142946</c:v>
                </c:pt>
                <c:pt idx="13">
                  <c:v>51.886066204772909</c:v>
                </c:pt>
                <c:pt idx="14">
                  <c:v>51.003853173798419</c:v>
                </c:pt>
                <c:pt idx="15">
                  <c:v>53.009390559021874</c:v>
                </c:pt>
                <c:pt idx="16">
                  <c:v>52.73166136818557</c:v>
                </c:pt>
                <c:pt idx="17">
                  <c:v>52.505889912186767</c:v>
                </c:pt>
                <c:pt idx="18">
                  <c:v>53.065154038301422</c:v>
                </c:pt>
                <c:pt idx="19">
                  <c:v>53.786312161496795</c:v>
                </c:pt>
                <c:pt idx="20">
                  <c:v>52.828064487075565</c:v>
                </c:pt>
                <c:pt idx="21">
                  <c:v>51.620129610368828</c:v>
                </c:pt>
                <c:pt idx="22">
                  <c:v>52.36165352590082</c:v>
                </c:pt>
                <c:pt idx="23">
                  <c:v>51.193958772705628</c:v>
                </c:pt>
                <c:pt idx="24">
                  <c:v>52.048931724742197</c:v>
                </c:pt>
                <c:pt idx="25">
                  <c:v>52.62459601973125</c:v>
                </c:pt>
                <c:pt idx="26">
                  <c:v>52.930772223990942</c:v>
                </c:pt>
                <c:pt idx="27">
                  <c:v>53.457598178713717</c:v>
                </c:pt>
                <c:pt idx="28">
                  <c:v>55.143724468762876</c:v>
                </c:pt>
                <c:pt idx="29">
                  <c:v>55.267429132223612</c:v>
                </c:pt>
                <c:pt idx="30">
                  <c:v>56.058056373580143</c:v>
                </c:pt>
                <c:pt idx="31">
                  <c:v>55.933579086205143</c:v>
                </c:pt>
                <c:pt idx="32">
                  <c:v>55.555944178237901</c:v>
                </c:pt>
                <c:pt idx="33">
                  <c:v>55.500315656565661</c:v>
                </c:pt>
                <c:pt idx="34">
                  <c:v>57.778185824458319</c:v>
                </c:pt>
                <c:pt idx="35">
                  <c:v>58.286713286713287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23-7049-B02C-E52CFC1D189F}"/>
            </c:ext>
          </c:extLst>
        </c:ser>
        <c:ser>
          <c:idx val="1"/>
          <c:order val="1"/>
          <c:tx>
            <c:strRef>
              <c:f>Sheet1!$I$3</c:f>
              <c:strCache>
                <c:ptCount val="1"/>
                <c:pt idx="0">
                  <c:v>Clinical trial</c:v>
                </c:pt>
              </c:strCache>
            </c:strRef>
          </c:tx>
          <c:spPr>
            <a:ln w="158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50000"/>
                </a:schemeClr>
              </a:solidFill>
              <a:ln w="9525">
                <a:solidFill>
                  <a:schemeClr val="bg2">
                    <a:lumMod val="50000"/>
                  </a:schemeClr>
                </a:solidFill>
              </a:ln>
              <a:effectLst/>
            </c:spPr>
          </c:marker>
          <c:cat>
            <c:numRef>
              <c:f>Sheet1!$J$1:$AS$1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Sheet1!$J$3:$AS$3</c:f>
              <c:numCache>
                <c:formatCode>General</c:formatCode>
                <c:ptCount val="36"/>
                <c:pt idx="0">
                  <c:v>18.33824975417896</c:v>
                </c:pt>
                <c:pt idx="1">
                  <c:v>20.600961538461537</c:v>
                </c:pt>
                <c:pt idx="2">
                  <c:v>20.714285714285715</c:v>
                </c:pt>
                <c:pt idx="3">
                  <c:v>23.345041880572818</c:v>
                </c:pt>
                <c:pt idx="4">
                  <c:v>25.196757899682837</c:v>
                </c:pt>
                <c:pt idx="5">
                  <c:v>24.576089289547113</c:v>
                </c:pt>
                <c:pt idx="6">
                  <c:v>25.424688561721403</c:v>
                </c:pt>
                <c:pt idx="7">
                  <c:v>25.036375982151522</c:v>
                </c:pt>
                <c:pt idx="8">
                  <c:v>25.852574630470489</c:v>
                </c:pt>
                <c:pt idx="9">
                  <c:v>27.126008690254501</c:v>
                </c:pt>
                <c:pt idx="10">
                  <c:v>29.246428237930711</c:v>
                </c:pt>
                <c:pt idx="11">
                  <c:v>29.368904831296938</c:v>
                </c:pt>
                <c:pt idx="12">
                  <c:v>30.400172117039588</c:v>
                </c:pt>
                <c:pt idx="13">
                  <c:v>31.843674886495148</c:v>
                </c:pt>
                <c:pt idx="14">
                  <c:v>31.128940756949508</c:v>
                </c:pt>
                <c:pt idx="15">
                  <c:v>31.231057872708906</c:v>
                </c:pt>
                <c:pt idx="16">
                  <c:v>33.220202020202024</c:v>
                </c:pt>
                <c:pt idx="17">
                  <c:v>34.986389928547126</c:v>
                </c:pt>
                <c:pt idx="18">
                  <c:v>35.697137580794092</c:v>
                </c:pt>
                <c:pt idx="19">
                  <c:v>35.2018149163437</c:v>
                </c:pt>
                <c:pt idx="20">
                  <c:v>36.416131135326438</c:v>
                </c:pt>
                <c:pt idx="21">
                  <c:v>37.063453025086076</c:v>
                </c:pt>
                <c:pt idx="22">
                  <c:v>37.143069049914708</c:v>
                </c:pt>
                <c:pt idx="23">
                  <c:v>38.472540045766593</c:v>
                </c:pt>
                <c:pt idx="24">
                  <c:v>38.624584203604854</c:v>
                </c:pt>
                <c:pt idx="25">
                  <c:v>39.906103286384976</c:v>
                </c:pt>
                <c:pt idx="26">
                  <c:v>40.04805766920304</c:v>
                </c:pt>
                <c:pt idx="27">
                  <c:v>39.516979540181396</c:v>
                </c:pt>
                <c:pt idx="28">
                  <c:v>38.798786229988494</c:v>
                </c:pt>
                <c:pt idx="29">
                  <c:v>37.728069271209151</c:v>
                </c:pt>
                <c:pt idx="30">
                  <c:v>35.514367458639136</c:v>
                </c:pt>
                <c:pt idx="31">
                  <c:v>34.7206015817451</c:v>
                </c:pt>
                <c:pt idx="32">
                  <c:v>35.374627127566235</c:v>
                </c:pt>
                <c:pt idx="33">
                  <c:v>34.96056277979109</c:v>
                </c:pt>
                <c:pt idx="34">
                  <c:v>31.050333256722588</c:v>
                </c:pt>
                <c:pt idx="35">
                  <c:v>30.512640449438202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23-7049-B02C-E52CFC1D189F}"/>
            </c:ext>
          </c:extLst>
        </c:ser>
        <c:ser>
          <c:idx val="2"/>
          <c:order val="2"/>
          <c:tx>
            <c:strRef>
              <c:f>Sheet1!$I$4</c:f>
              <c:strCache>
                <c:ptCount val="1"/>
                <c:pt idx="0">
                  <c:v>Meta-analysis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3">
                  <a:lumMod val="75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Sheet1!$J$4:$AS$4</c:f>
              <c:numCache>
                <c:formatCode>General</c:formatCode>
                <c:ptCount val="36"/>
                <c:pt idx="0">
                  <c:v>14.018691588785046</c:v>
                </c:pt>
                <c:pt idx="1">
                  <c:v>13.059701492537313</c:v>
                </c:pt>
                <c:pt idx="2">
                  <c:v>13.486842105263158</c:v>
                </c:pt>
                <c:pt idx="3">
                  <c:v>21.532846715328464</c:v>
                </c:pt>
                <c:pt idx="4">
                  <c:v>17.816091954022991</c:v>
                </c:pt>
                <c:pt idx="5">
                  <c:v>22.025316455696203</c:v>
                </c:pt>
                <c:pt idx="6">
                  <c:v>20.898876404494381</c:v>
                </c:pt>
                <c:pt idx="7">
                  <c:v>21.167883211678831</c:v>
                </c:pt>
                <c:pt idx="8">
                  <c:v>18.367346938775512</c:v>
                </c:pt>
                <c:pt idx="9">
                  <c:v>18.208516886930983</c:v>
                </c:pt>
                <c:pt idx="10">
                  <c:v>21.815889029003781</c:v>
                </c:pt>
                <c:pt idx="11">
                  <c:v>18.931475029036005</c:v>
                </c:pt>
                <c:pt idx="12">
                  <c:v>20.672601384767557</c:v>
                </c:pt>
                <c:pt idx="13">
                  <c:v>25.121555915721235</c:v>
                </c:pt>
                <c:pt idx="14">
                  <c:v>22.17873450750163</c:v>
                </c:pt>
                <c:pt idx="15">
                  <c:v>23.762861342479177</c:v>
                </c:pt>
                <c:pt idx="16">
                  <c:v>23.560855263157894</c:v>
                </c:pt>
                <c:pt idx="17">
                  <c:v>26.841721371261851</c:v>
                </c:pt>
                <c:pt idx="18">
                  <c:v>27.968596663395484</c:v>
                </c:pt>
                <c:pt idx="19">
                  <c:v>29.906798245614034</c:v>
                </c:pt>
                <c:pt idx="20">
                  <c:v>31.707317073170731</c:v>
                </c:pt>
                <c:pt idx="21">
                  <c:v>32.793103448275865</c:v>
                </c:pt>
                <c:pt idx="22">
                  <c:v>34.001811359813686</c:v>
                </c:pt>
                <c:pt idx="23">
                  <c:v>36.025560444165095</c:v>
                </c:pt>
                <c:pt idx="24">
                  <c:v>37.02838663312972</c:v>
                </c:pt>
                <c:pt idx="25">
                  <c:v>38.040229420793281</c:v>
                </c:pt>
                <c:pt idx="26">
                  <c:v>37.190336974919219</c:v>
                </c:pt>
                <c:pt idx="27">
                  <c:v>37.814574367204031</c:v>
                </c:pt>
                <c:pt idx="28">
                  <c:v>38.211437998350291</c:v>
                </c:pt>
                <c:pt idx="29">
                  <c:v>38.101087023275809</c:v>
                </c:pt>
                <c:pt idx="30">
                  <c:v>38.234994913530009</c:v>
                </c:pt>
                <c:pt idx="31">
                  <c:v>38.177177309334155</c:v>
                </c:pt>
                <c:pt idx="32">
                  <c:v>38.665236051502141</c:v>
                </c:pt>
                <c:pt idx="33">
                  <c:v>38.860472356891876</c:v>
                </c:pt>
                <c:pt idx="34">
                  <c:v>40.001698946653072</c:v>
                </c:pt>
                <c:pt idx="35">
                  <c:v>41.018046562887449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23-7049-B02C-E52CFC1D189F}"/>
            </c:ext>
          </c:extLst>
        </c:ser>
        <c:ser>
          <c:idx val="3"/>
          <c:order val="3"/>
          <c:tx>
            <c:strRef>
              <c:f>Sheet1!$I$5</c:f>
              <c:strCache>
                <c:ptCount val="1"/>
                <c:pt idx="0">
                  <c:v>Review</c:v>
                </c:pt>
              </c:strCache>
            </c:strRef>
          </c:tx>
          <c:spPr>
            <a:ln w="15875" cap="rnd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tx2">
                  <a:lumMod val="25000"/>
                  <a:lumOff val="75000"/>
                </a:schemeClr>
              </a:solidFill>
              <a:ln w="9525">
                <a:solidFill>
                  <a:schemeClr val="tx2">
                    <a:lumMod val="25000"/>
                    <a:lumOff val="75000"/>
                  </a:schemeClr>
                </a:solidFill>
              </a:ln>
              <a:effectLst/>
            </c:spPr>
          </c:marker>
          <c:cat>
            <c:numRef>
              <c:f>Sheet1!$J$1:$AS$1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Sheet1!$J$5:$AS$5</c:f>
              <c:numCache>
                <c:formatCode>General</c:formatCode>
                <c:ptCount val="36"/>
                <c:pt idx="0">
                  <c:v>0.74556164270708902</c:v>
                </c:pt>
                <c:pt idx="1">
                  <c:v>0.74762808349146104</c:v>
                </c:pt>
                <c:pt idx="2">
                  <c:v>0.79196515353324448</c:v>
                </c:pt>
                <c:pt idx="3">
                  <c:v>0.71374387973243225</c:v>
                </c:pt>
                <c:pt idx="4">
                  <c:v>0.67620286085825743</c:v>
                </c:pt>
                <c:pt idx="5">
                  <c:v>0.77999818605073012</c:v>
                </c:pt>
                <c:pt idx="6">
                  <c:v>0.8684166151424878</c:v>
                </c:pt>
                <c:pt idx="7">
                  <c:v>0.80828358603201433</c:v>
                </c:pt>
                <c:pt idx="8">
                  <c:v>0.72692793931731992</c:v>
                </c:pt>
                <c:pt idx="9">
                  <c:v>0.57890525721278296</c:v>
                </c:pt>
                <c:pt idx="10">
                  <c:v>0.58907128586434876</c:v>
                </c:pt>
                <c:pt idx="11">
                  <c:v>0.61254831995242343</c:v>
                </c:pt>
                <c:pt idx="12">
                  <c:v>0.60838297254104312</c:v>
                </c:pt>
                <c:pt idx="13">
                  <c:v>0.82874315659060094</c:v>
                </c:pt>
                <c:pt idx="14">
                  <c:v>0.85103108648815018</c:v>
                </c:pt>
                <c:pt idx="15">
                  <c:v>0.66062308106456347</c:v>
                </c:pt>
                <c:pt idx="16">
                  <c:v>0.5767059751635587</c:v>
                </c:pt>
                <c:pt idx="17">
                  <c:v>0.6334629742842649</c:v>
                </c:pt>
                <c:pt idx="18">
                  <c:v>0.60370408267676257</c:v>
                </c:pt>
                <c:pt idx="19">
                  <c:v>0.66180341430397838</c:v>
                </c:pt>
                <c:pt idx="20">
                  <c:v>0.73191307344082313</c:v>
                </c:pt>
                <c:pt idx="21">
                  <c:v>0.7814161768821718</c:v>
                </c:pt>
                <c:pt idx="22">
                  <c:v>0.85359162657212795</c:v>
                </c:pt>
                <c:pt idx="23">
                  <c:v>0.94824539257763185</c:v>
                </c:pt>
                <c:pt idx="24">
                  <c:v>0.96976390463180939</c:v>
                </c:pt>
                <c:pt idx="25">
                  <c:v>1.0365251727541955</c:v>
                </c:pt>
                <c:pt idx="26">
                  <c:v>1.1055230009689476</c:v>
                </c:pt>
                <c:pt idx="27">
                  <c:v>1.0958704615580657</c:v>
                </c:pt>
                <c:pt idx="28">
                  <c:v>1.0833713228392909</c:v>
                </c:pt>
                <c:pt idx="29">
                  <c:v>1.1087149341727682</c:v>
                </c:pt>
                <c:pt idx="30">
                  <c:v>1.1758733814693871</c:v>
                </c:pt>
                <c:pt idx="31">
                  <c:v>1.3836239575435938</c:v>
                </c:pt>
                <c:pt idx="32">
                  <c:v>1.8311187813992262</c:v>
                </c:pt>
                <c:pt idx="33">
                  <c:v>1.8749804852155993</c:v>
                </c:pt>
                <c:pt idx="34">
                  <c:v>1.2476601819413389</c:v>
                </c:pt>
                <c:pt idx="35">
                  <c:v>0.98786172302013586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23-7049-B02C-E52CFC1D189F}"/>
            </c:ext>
          </c:extLst>
        </c:ser>
        <c:ser>
          <c:idx val="4"/>
          <c:order val="4"/>
          <c:tx>
            <c:strRef>
              <c:f>Sheet1!$I$6</c:f>
              <c:strCache>
                <c:ptCount val="1"/>
                <c:pt idx="0">
                  <c:v>Clinically Useful Journals</c:v>
                </c:pt>
              </c:strCache>
            </c:strRef>
          </c:tx>
          <c:spPr>
            <a:ln w="15875" cap="rnd">
              <a:solidFill>
                <a:srgbClr val="00B0F0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Sheet1!$J$1:$AS$1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Sheet1!$J$6:$AS$6</c:f>
              <c:numCache>
                <c:formatCode>General</c:formatCode>
                <c:ptCount val="36"/>
                <c:pt idx="0">
                  <c:v>17.081861856129301</c:v>
                </c:pt>
                <c:pt idx="1">
                  <c:v>18.481627695110841</c:v>
                </c:pt>
                <c:pt idx="2">
                  <c:v>19.917976368016518</c:v>
                </c:pt>
                <c:pt idx="3">
                  <c:v>20.397014279532669</c:v>
                </c:pt>
                <c:pt idx="4">
                  <c:v>22.02908283183098</c:v>
                </c:pt>
                <c:pt idx="5">
                  <c:v>22.788981800295129</c:v>
                </c:pt>
                <c:pt idx="6">
                  <c:v>23.489670983634543</c:v>
                </c:pt>
                <c:pt idx="7">
                  <c:v>24.347396641738396</c:v>
                </c:pt>
                <c:pt idx="8">
                  <c:v>24.75206800420456</c:v>
                </c:pt>
                <c:pt idx="9">
                  <c:v>25.12456293706294</c:v>
                </c:pt>
                <c:pt idx="10">
                  <c:v>24.647010405014669</c:v>
                </c:pt>
                <c:pt idx="11">
                  <c:v>26.35683290359097</c:v>
                </c:pt>
                <c:pt idx="12">
                  <c:v>26.425378161553066</c:v>
                </c:pt>
                <c:pt idx="13">
                  <c:v>26.72712723392905</c:v>
                </c:pt>
                <c:pt idx="14">
                  <c:v>27.541566416490106</c:v>
                </c:pt>
                <c:pt idx="15">
                  <c:v>28.061489513667944</c:v>
                </c:pt>
                <c:pt idx="16">
                  <c:v>27.702219040801719</c:v>
                </c:pt>
                <c:pt idx="17">
                  <c:v>28.003961762984531</c:v>
                </c:pt>
                <c:pt idx="18">
                  <c:v>28.368213083565053</c:v>
                </c:pt>
                <c:pt idx="19">
                  <c:v>29.250547845142439</c:v>
                </c:pt>
                <c:pt idx="20">
                  <c:v>29.870477640127973</c:v>
                </c:pt>
                <c:pt idx="21">
                  <c:v>30.849690777090615</c:v>
                </c:pt>
                <c:pt idx="22">
                  <c:v>31.297126143773312</c:v>
                </c:pt>
                <c:pt idx="23">
                  <c:v>32.296949260547485</c:v>
                </c:pt>
                <c:pt idx="24">
                  <c:v>32.438746203844936</c:v>
                </c:pt>
                <c:pt idx="25">
                  <c:v>33.117611646234671</c:v>
                </c:pt>
                <c:pt idx="26">
                  <c:v>33.476342572542229</c:v>
                </c:pt>
                <c:pt idx="27">
                  <c:v>32.484309552534199</c:v>
                </c:pt>
                <c:pt idx="28">
                  <c:v>32.404129793510322</c:v>
                </c:pt>
                <c:pt idx="29">
                  <c:v>32.320939857152389</c:v>
                </c:pt>
                <c:pt idx="30">
                  <c:v>31.814090400428164</c:v>
                </c:pt>
                <c:pt idx="31">
                  <c:v>31.787556904400603</c:v>
                </c:pt>
                <c:pt idx="32">
                  <c:v>31.794229737352612</c:v>
                </c:pt>
                <c:pt idx="33">
                  <c:v>31.298849046289316</c:v>
                </c:pt>
                <c:pt idx="34">
                  <c:v>31.131419633287955</c:v>
                </c:pt>
                <c:pt idx="35">
                  <c:v>31.699519286059296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23-7049-B02C-E52CFC1D189F}"/>
            </c:ext>
          </c:extLst>
        </c:ser>
        <c:ser>
          <c:idx val="5"/>
          <c:order val="5"/>
          <c:tx>
            <c:strRef>
              <c:f>Sheet1!$I$7</c:f>
              <c:strCache>
                <c:ptCount val="1"/>
                <c:pt idx="0">
                  <c:v>All MEDLINE</c:v>
                </c:pt>
              </c:strCache>
            </c:strRef>
          </c:tx>
          <c:spPr>
            <a:ln w="158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numRef>
              <c:f>Sheet1!$J$1:$AS$1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Sheet1!$J$7:$AS$7</c:f>
              <c:numCache>
                <c:formatCode>General</c:formatCode>
                <c:ptCount val="36"/>
                <c:pt idx="0">
                  <c:v>7.4922142969904844</c:v>
                </c:pt>
                <c:pt idx="1">
                  <c:v>8.0870050195203582</c:v>
                </c:pt>
                <c:pt idx="2">
                  <c:v>8.7406741760882749</c:v>
                </c:pt>
                <c:pt idx="3">
                  <c:v>9.3137690724187685</c:v>
                </c:pt>
                <c:pt idx="4">
                  <c:v>9.8484268417320546</c:v>
                </c:pt>
                <c:pt idx="5">
                  <c:v>10.328659721908281</c:v>
                </c:pt>
                <c:pt idx="6">
                  <c:v>10.885077675899092</c:v>
                </c:pt>
                <c:pt idx="7">
                  <c:v>11.278772142190517</c:v>
                </c:pt>
                <c:pt idx="8">
                  <c:v>11.337926491820825</c:v>
                </c:pt>
                <c:pt idx="9">
                  <c:v>11.72828551146122</c:v>
                </c:pt>
                <c:pt idx="10">
                  <c:v>11.322342125238199</c:v>
                </c:pt>
                <c:pt idx="11">
                  <c:v>11.594853456667458</c:v>
                </c:pt>
                <c:pt idx="12">
                  <c:v>11.862182353110848</c:v>
                </c:pt>
                <c:pt idx="13">
                  <c:v>12.377194341007494</c:v>
                </c:pt>
                <c:pt idx="14">
                  <c:v>12.676840607112061</c:v>
                </c:pt>
                <c:pt idx="15">
                  <c:v>13.102711092290559</c:v>
                </c:pt>
                <c:pt idx="16">
                  <c:v>13.125184327942478</c:v>
                </c:pt>
                <c:pt idx="17">
                  <c:v>13.536554113452862</c:v>
                </c:pt>
                <c:pt idx="18">
                  <c:v>13.979206194949636</c:v>
                </c:pt>
                <c:pt idx="19">
                  <c:v>14.32795047215833</c:v>
                </c:pt>
                <c:pt idx="20">
                  <c:v>14.645641271785365</c:v>
                </c:pt>
                <c:pt idx="21">
                  <c:v>15.203296222069953</c:v>
                </c:pt>
                <c:pt idx="22">
                  <c:v>15.665689399803734</c:v>
                </c:pt>
                <c:pt idx="23">
                  <c:v>16.239176395104092</c:v>
                </c:pt>
                <c:pt idx="24">
                  <c:v>16.711395693923428</c:v>
                </c:pt>
                <c:pt idx="25">
                  <c:v>17.318446487825607</c:v>
                </c:pt>
                <c:pt idx="26">
                  <c:v>17.598548329989377</c:v>
                </c:pt>
                <c:pt idx="27">
                  <c:v>17.845313571181705</c:v>
                </c:pt>
                <c:pt idx="28">
                  <c:v>18.038837711311086</c:v>
                </c:pt>
                <c:pt idx="29">
                  <c:v>18.037654943366718</c:v>
                </c:pt>
                <c:pt idx="30">
                  <c:v>18.397820926048926</c:v>
                </c:pt>
                <c:pt idx="31">
                  <c:v>18.5436095484154</c:v>
                </c:pt>
                <c:pt idx="32">
                  <c:v>18.031976808029341</c:v>
                </c:pt>
                <c:pt idx="33">
                  <c:v>18.226438453555172</c:v>
                </c:pt>
                <c:pt idx="34">
                  <c:v>18.085418722597812</c:v>
                </c:pt>
                <c:pt idx="35">
                  <c:v>18.338838624583488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423-7049-B02C-E52CFC1D1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3349519"/>
        <c:axId val="1063432095"/>
        <c:extLst>
          <c:ext xmlns:c15="http://schemas.microsoft.com/office/drawing/2012/chart" uri="{02D57815-91ED-43cb-92C2-25804820EDAC}"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Sheet1!$I$8</c15:sqref>
                        </c15:formulaRef>
                      </c:ext>
                    </c:extLst>
                    <c:strCache>
                      <c:ptCount val="1"/>
                      <c:pt idx="0">
                        <c:v>Observational study</c:v>
                      </c:pt>
                    </c:strCache>
                  </c:strRef>
                </c:tx>
                <c:spPr>
                  <a:ln w="158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diamond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Sheet1!$J$8:$AS$8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20">
                        <c:v>57.575757575757578</c:v>
                      </c:pt>
                      <c:pt idx="21">
                        <c:v>60.869565217391312</c:v>
                      </c:pt>
                      <c:pt idx="22">
                        <c:v>46.478873239436616</c:v>
                      </c:pt>
                      <c:pt idx="23">
                        <c:v>50.091041514930815</c:v>
                      </c:pt>
                      <c:pt idx="24">
                        <c:v>49.898562229866805</c:v>
                      </c:pt>
                      <c:pt idx="25">
                        <c:v>50.437613019891501</c:v>
                      </c:pt>
                      <c:pt idx="26">
                        <c:v>51.0977522216414</c:v>
                      </c:pt>
                      <c:pt idx="27">
                        <c:v>51.36562818896693</c:v>
                      </c:pt>
                      <c:pt idx="28">
                        <c:v>50.733009973295552</c:v>
                      </c:pt>
                      <c:pt idx="29">
                        <c:v>50.323898744269478</c:v>
                      </c:pt>
                      <c:pt idx="30">
                        <c:v>49.735449735449734</c:v>
                      </c:pt>
                      <c:pt idx="31">
                        <c:v>48.010473451517363</c:v>
                      </c:pt>
                      <c:pt idx="32">
                        <c:v>48.154445236658802</c:v>
                      </c:pt>
                      <c:pt idx="33">
                        <c:v>48.499510044096034</c:v>
                      </c:pt>
                      <c:pt idx="34">
                        <c:v>48.480402431356111</c:v>
                      </c:pt>
                      <c:pt idx="35">
                        <c:v>50.198222829801779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A28-4A64-981A-39E8AFE456FF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Sheet1!$I$9</c15:sqref>
                        </c15:formulaRef>
                      </c:ext>
                    </c:extLst>
                    <c:strCache>
                      <c:ptCount val="1"/>
                      <c:pt idx="0">
                        <c:v>Systematic review</c:v>
                      </c:pt>
                    </c:strCache>
                  </c:strRef>
                </c:tx>
                <c:spPr>
                  <a:ln w="158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diamond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Sheet1!$J$9:$AS$9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7">
                        <c:v>7.0866141732283463</c:v>
                      </c:pt>
                      <c:pt idx="8">
                        <c:v>3.9024390243902438</c:v>
                      </c:pt>
                      <c:pt idx="9">
                        <c:v>6.1594202898550732</c:v>
                      </c:pt>
                      <c:pt idx="10">
                        <c:v>5.3352559480894008</c:v>
                      </c:pt>
                      <c:pt idx="11">
                        <c:v>6.7698259187620886</c:v>
                      </c:pt>
                      <c:pt idx="12">
                        <c:v>7.9242032730404821</c:v>
                      </c:pt>
                      <c:pt idx="13">
                        <c:v>9.9342585829072316</c:v>
                      </c:pt>
                      <c:pt idx="14">
                        <c:v>10.035419126328216</c:v>
                      </c:pt>
                      <c:pt idx="15">
                        <c:v>10.637230306071249</c:v>
                      </c:pt>
                      <c:pt idx="16">
                        <c:v>10.851149657119805</c:v>
                      </c:pt>
                      <c:pt idx="17">
                        <c:v>11.546578233343382</c:v>
                      </c:pt>
                      <c:pt idx="18">
                        <c:v>12.368566685113448</c:v>
                      </c:pt>
                      <c:pt idx="19">
                        <c:v>12.914961346066395</c:v>
                      </c:pt>
                      <c:pt idx="20">
                        <c:v>13.678795961135453</c:v>
                      </c:pt>
                      <c:pt idx="21">
                        <c:v>13.723076923076924</c:v>
                      </c:pt>
                      <c:pt idx="22">
                        <c:v>15.630679752817159</c:v>
                      </c:pt>
                      <c:pt idx="23">
                        <c:v>16.999012833168806</c:v>
                      </c:pt>
                      <c:pt idx="24">
                        <c:v>17.726929846618052</c:v>
                      </c:pt>
                      <c:pt idx="25">
                        <c:v>19.481654047757718</c:v>
                      </c:pt>
                      <c:pt idx="26">
                        <c:v>19.634464751958227</c:v>
                      </c:pt>
                      <c:pt idx="27">
                        <c:v>20.243930240510657</c:v>
                      </c:pt>
                      <c:pt idx="28">
                        <c:v>20.988829334268395</c:v>
                      </c:pt>
                      <c:pt idx="29">
                        <c:v>21.942765354863251</c:v>
                      </c:pt>
                      <c:pt idx="30">
                        <c:v>22.2074700394815</c:v>
                      </c:pt>
                      <c:pt idx="31">
                        <c:v>22.582573606336869</c:v>
                      </c:pt>
                      <c:pt idx="32">
                        <c:v>22.77823675203588</c:v>
                      </c:pt>
                      <c:pt idx="33">
                        <c:v>23.555264634374414</c:v>
                      </c:pt>
                      <c:pt idx="34">
                        <c:v>24.451741861793259</c:v>
                      </c:pt>
                      <c:pt idx="35">
                        <c:v>25.52181781620752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A28-4A64-981A-39E8AFE456FF}"/>
                  </c:ext>
                </c:extLst>
              </c15:ser>
            </c15:filteredLineSeries>
          </c:ext>
        </c:extLst>
      </c:lineChart>
      <c:catAx>
        <c:axId val="1063349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2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ko-JP"/>
          </a:p>
        </c:txPr>
        <c:crossAx val="1063432095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063432095"/>
        <c:scaling>
          <c:orientation val="minMax"/>
          <c:max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sz="1500">
                    <a:latin typeface="Helvetica" panose="020B0604020202020204" pitchFamily="34" charset="0"/>
                    <a:cs typeface="Helvetica" panose="020B0604020202020204" pitchFamily="34" charset="0"/>
                  </a:rPr>
                  <a:t>Proportion of</a:t>
                </a:r>
                <a:r>
                  <a:rPr lang="en-US" sz="1500" baseline="0">
                    <a:latin typeface="Helvetica" panose="020B0604020202020204" pitchFamily="34" charset="0"/>
                    <a:cs typeface="Helvetica" panose="020B0604020202020204" pitchFamily="34" charset="0"/>
                  </a:rPr>
                  <a:t> PubMed</a:t>
                </a:r>
                <a:r>
                  <a:rPr lang="en-US" sz="1500">
                    <a:latin typeface="Helvetica" panose="020B0604020202020204" pitchFamily="34" charset="0"/>
                    <a:cs typeface="Helvetica" panose="020B0604020202020204" pitchFamily="34" charset="0"/>
                  </a:rPr>
                  <a:t> Abstracts With P Values, %</a:t>
                </a:r>
              </a:p>
            </c:rich>
          </c:tx>
          <c:layout>
            <c:manualLayout>
              <c:xMode val="edge"/>
              <c:yMode val="edge"/>
              <c:x val="9.0233548580739963E-3"/>
              <c:y val="0.208316056817925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ko-JP"/>
          </a:p>
        </c:txPr>
        <c:crossAx val="1063349519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7.6241269825230315E-2"/>
          <c:y val="0.16032393915660548"/>
          <c:w val="0.1401316105328104"/>
          <c:h val="0.2707612105515988"/>
        </c:manualLayout>
      </c:layout>
      <c:overlay val="0"/>
      <c:spPr>
        <a:solidFill>
          <a:schemeClr val="bg1"/>
        </a:solidFill>
        <a:ln>
          <a:solidFill>
            <a:schemeClr val="tx1">
              <a:lumMod val="95000"/>
              <a:lumOff val="5000"/>
              <a:alpha val="93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lvetica" panose="020B0604020202020204" pitchFamily="34" charset="0"/>
              <a:ea typeface="+mn-ea"/>
              <a:cs typeface="Helvetica" panose="020B0604020202020204" pitchFamily="34" charset="0"/>
            </a:defRPr>
          </a:pPr>
          <a:endParaRPr lang="ko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Helvetica" panose="020B0604020202020204" pitchFamily="34" charset="0"/>
          <a:cs typeface="Helvetica" panose="020B0604020202020204" pitchFamily="34" charset="0"/>
        </a:defRPr>
      </a:pPr>
      <a:endParaRPr lang="ko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383989</xdr:colOff>
      <xdr:row>8</xdr:row>
      <xdr:rowOff>196850</xdr:rowOff>
    </xdr:from>
    <xdr:to>
      <xdr:col>21</xdr:col>
      <xdr:colOff>231589</xdr:colOff>
      <xdr:row>36</xdr:row>
      <xdr:rowOff>42582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19D5EE80-DA4A-454F-CD13-156B84A372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ke4\Downloads\OrganizedCodeStructure\OrganizedCodeStructure\Step4_text_analysis\Figure1\20251128Fig1PubmedTotal\20250920Totalsheet.xlsx" TargetMode="External"/><Relationship Id="rId1" Type="http://schemas.openxmlformats.org/officeDocument/2006/relationships/externalLinkPath" Target="20250920Total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CT"/>
      <sheetName val="CT"/>
      <sheetName val="META"/>
      <sheetName val="REVIEW"/>
      <sheetName val="CCJ"/>
      <sheetName val="ALL"/>
      <sheetName val="OBS"/>
      <sheetName val="SYSREV"/>
    </sheetNames>
    <sheetDataSet>
      <sheetData sheetId="0">
        <row r="1">
          <cell r="B1" t="str">
            <v>Total article count</v>
          </cell>
          <cell r="C1" t="str">
            <v>HasPvalue</v>
          </cell>
        </row>
        <row r="2">
          <cell r="B2">
            <v>6146</v>
          </cell>
          <cell r="C2">
            <v>2091</v>
          </cell>
        </row>
        <row r="3">
          <cell r="B3">
            <v>6643</v>
          </cell>
          <cell r="C3">
            <v>2478</v>
          </cell>
        </row>
        <row r="4">
          <cell r="B4">
            <v>7131</v>
          </cell>
          <cell r="C4">
            <v>2721</v>
          </cell>
        </row>
        <row r="5">
          <cell r="B5">
            <v>7747</v>
          </cell>
          <cell r="C5">
            <v>3054</v>
          </cell>
        </row>
        <row r="6">
          <cell r="B6">
            <v>8930</v>
          </cell>
          <cell r="C6">
            <v>3609</v>
          </cell>
        </row>
        <row r="7">
          <cell r="B7">
            <v>9770</v>
          </cell>
          <cell r="C7">
            <v>4066</v>
          </cell>
        </row>
        <row r="8">
          <cell r="B8">
            <v>9611</v>
          </cell>
          <cell r="C8">
            <v>4165</v>
          </cell>
        </row>
        <row r="9">
          <cell r="B9">
            <v>9844</v>
          </cell>
          <cell r="C9">
            <v>4454</v>
          </cell>
        </row>
        <row r="10">
          <cell r="B10">
            <v>10236</v>
          </cell>
          <cell r="C10">
            <v>4745</v>
          </cell>
        </row>
        <row r="11">
          <cell r="B11">
            <v>10976</v>
          </cell>
          <cell r="C11">
            <v>5240</v>
          </cell>
        </row>
        <row r="12">
          <cell r="B12">
            <v>10684</v>
          </cell>
          <cell r="C12">
            <v>5102</v>
          </cell>
        </row>
        <row r="13">
          <cell r="B13">
            <v>11580</v>
          </cell>
          <cell r="C13">
            <v>5603</v>
          </cell>
        </row>
        <row r="14">
          <cell r="B14">
            <v>11717</v>
          </cell>
          <cell r="C14">
            <v>5900</v>
          </cell>
        </row>
        <row r="15">
          <cell r="B15">
            <v>12990</v>
          </cell>
          <cell r="C15">
            <v>6740</v>
          </cell>
        </row>
        <row r="16">
          <cell r="B16">
            <v>14793</v>
          </cell>
          <cell r="C16">
            <v>7545</v>
          </cell>
        </row>
        <row r="17">
          <cell r="B17">
            <v>15867</v>
          </cell>
          <cell r="C17">
            <v>8411</v>
          </cell>
        </row>
        <row r="18">
          <cell r="B18">
            <v>16986</v>
          </cell>
          <cell r="C18">
            <v>8957</v>
          </cell>
        </row>
        <row r="19">
          <cell r="B19">
            <v>18676</v>
          </cell>
          <cell r="C19">
            <v>9806</v>
          </cell>
        </row>
        <row r="20">
          <cell r="B20">
            <v>19216</v>
          </cell>
          <cell r="C20">
            <v>10197</v>
          </cell>
        </row>
        <row r="21">
          <cell r="B21">
            <v>20310</v>
          </cell>
          <cell r="C21">
            <v>10924</v>
          </cell>
        </row>
        <row r="22">
          <cell r="B22">
            <v>22206</v>
          </cell>
          <cell r="C22">
            <v>11731</v>
          </cell>
        </row>
        <row r="23">
          <cell r="B23">
            <v>24998</v>
          </cell>
          <cell r="C23">
            <v>12904</v>
          </cell>
        </row>
        <row r="24">
          <cell r="B24">
            <v>27142</v>
          </cell>
          <cell r="C24">
            <v>14212</v>
          </cell>
        </row>
        <row r="25">
          <cell r="B25">
            <v>29398</v>
          </cell>
          <cell r="C25">
            <v>15050</v>
          </cell>
        </row>
        <row r="26">
          <cell r="B26">
            <v>29674</v>
          </cell>
          <cell r="C26">
            <v>15445</v>
          </cell>
        </row>
        <row r="27">
          <cell r="B27">
            <v>29395</v>
          </cell>
          <cell r="C27">
            <v>15469</v>
          </cell>
        </row>
        <row r="28">
          <cell r="B28">
            <v>28269</v>
          </cell>
          <cell r="C28">
            <v>14963</v>
          </cell>
        </row>
        <row r="29">
          <cell r="B29">
            <v>28112</v>
          </cell>
          <cell r="C29">
            <v>15028</v>
          </cell>
        </row>
        <row r="30">
          <cell r="B30">
            <v>26683</v>
          </cell>
          <cell r="C30">
            <v>14714</v>
          </cell>
        </row>
        <row r="31">
          <cell r="B31">
            <v>26493</v>
          </cell>
          <cell r="C31">
            <v>14642</v>
          </cell>
        </row>
        <row r="32">
          <cell r="B32">
            <v>28524</v>
          </cell>
          <cell r="C32">
            <v>15990</v>
          </cell>
        </row>
        <row r="33">
          <cell r="B33">
            <v>29569</v>
          </cell>
          <cell r="C33">
            <v>16539</v>
          </cell>
        </row>
        <row r="34">
          <cell r="B34">
            <v>28591</v>
          </cell>
          <cell r="C34">
            <v>15884</v>
          </cell>
        </row>
        <row r="35">
          <cell r="B35">
            <v>25344</v>
          </cell>
          <cell r="C35">
            <v>14066</v>
          </cell>
        </row>
        <row r="36">
          <cell r="B36">
            <v>27230</v>
          </cell>
          <cell r="C36">
            <v>15733</v>
          </cell>
        </row>
        <row r="37">
          <cell r="B37">
            <v>17160</v>
          </cell>
          <cell r="C37">
            <v>10002</v>
          </cell>
        </row>
        <row r="38">
          <cell r="B38">
            <v>668641</v>
          </cell>
          <cell r="C38">
            <v>348180</v>
          </cell>
        </row>
        <row r="39">
          <cell r="B39">
            <v>29674</v>
          </cell>
          <cell r="C39">
            <v>16539</v>
          </cell>
        </row>
        <row r="40">
          <cell r="B40">
            <v>6146</v>
          </cell>
          <cell r="C40">
            <v>2091</v>
          </cell>
        </row>
      </sheetData>
      <sheetData sheetId="1">
        <row r="1">
          <cell r="B1" t="str">
            <v>Total article count</v>
          </cell>
          <cell r="C1" t="str">
            <v>HasPvalue</v>
          </cell>
        </row>
        <row r="2">
          <cell r="B2">
            <v>4068</v>
          </cell>
          <cell r="C2">
            <v>746</v>
          </cell>
        </row>
        <row r="3">
          <cell r="B3">
            <v>4160</v>
          </cell>
          <cell r="C3">
            <v>857</v>
          </cell>
        </row>
        <row r="4">
          <cell r="B4">
            <v>3780</v>
          </cell>
          <cell r="C4">
            <v>783</v>
          </cell>
        </row>
        <row r="5">
          <cell r="B5">
            <v>3701</v>
          </cell>
          <cell r="C5">
            <v>864</v>
          </cell>
        </row>
        <row r="6">
          <cell r="B6">
            <v>8513</v>
          </cell>
          <cell r="C6">
            <v>2145</v>
          </cell>
        </row>
        <row r="7">
          <cell r="B7">
            <v>9318</v>
          </cell>
          <cell r="C7">
            <v>2290</v>
          </cell>
        </row>
        <row r="8">
          <cell r="B8">
            <v>8830</v>
          </cell>
          <cell r="C8">
            <v>2245</v>
          </cell>
        </row>
        <row r="9">
          <cell r="B9">
            <v>10309</v>
          </cell>
          <cell r="C9">
            <v>2581</v>
          </cell>
        </row>
        <row r="10">
          <cell r="B10">
            <v>10351</v>
          </cell>
          <cell r="C10">
            <v>2676</v>
          </cell>
        </row>
        <row r="11">
          <cell r="B11">
            <v>11277</v>
          </cell>
          <cell r="C11">
            <v>3059</v>
          </cell>
        </row>
        <row r="12">
          <cell r="B12">
            <v>10709</v>
          </cell>
          <cell r="C12">
            <v>3132</v>
          </cell>
        </row>
        <row r="13">
          <cell r="B13">
            <v>8921</v>
          </cell>
          <cell r="C13">
            <v>2620</v>
          </cell>
        </row>
        <row r="14">
          <cell r="B14">
            <v>9296</v>
          </cell>
          <cell r="C14">
            <v>2826</v>
          </cell>
        </row>
        <row r="15">
          <cell r="B15">
            <v>11233</v>
          </cell>
          <cell r="C15">
            <v>3577</v>
          </cell>
        </row>
        <row r="16">
          <cell r="B16">
            <v>12339</v>
          </cell>
          <cell r="C16">
            <v>3841</v>
          </cell>
        </row>
        <row r="17">
          <cell r="B17">
            <v>13858</v>
          </cell>
          <cell r="C17">
            <v>4328</v>
          </cell>
        </row>
        <row r="18">
          <cell r="B18">
            <v>12375</v>
          </cell>
          <cell r="C18">
            <v>4111</v>
          </cell>
        </row>
        <row r="19">
          <cell r="B19">
            <v>11756</v>
          </cell>
          <cell r="C19">
            <v>4113</v>
          </cell>
        </row>
        <row r="20">
          <cell r="B20">
            <v>10830</v>
          </cell>
          <cell r="C20">
            <v>3866</v>
          </cell>
        </row>
        <row r="21">
          <cell r="B21">
            <v>10579</v>
          </cell>
          <cell r="C21">
            <v>3724</v>
          </cell>
        </row>
        <row r="22">
          <cell r="B22">
            <v>10737</v>
          </cell>
          <cell r="C22">
            <v>3910</v>
          </cell>
        </row>
        <row r="23">
          <cell r="B23">
            <v>12198</v>
          </cell>
          <cell r="C23">
            <v>4521</v>
          </cell>
        </row>
        <row r="24">
          <cell r="B24">
            <v>13483</v>
          </cell>
          <cell r="C24">
            <v>5008</v>
          </cell>
        </row>
        <row r="25">
          <cell r="B25">
            <v>13984</v>
          </cell>
          <cell r="C25">
            <v>5380</v>
          </cell>
        </row>
        <row r="26">
          <cell r="B26">
            <v>12927</v>
          </cell>
          <cell r="C26">
            <v>4993</v>
          </cell>
        </row>
        <row r="27">
          <cell r="B27">
            <v>11502</v>
          </cell>
          <cell r="C27">
            <v>4590</v>
          </cell>
        </row>
        <row r="28">
          <cell r="B28">
            <v>9988</v>
          </cell>
          <cell r="C28">
            <v>4000</v>
          </cell>
        </row>
        <row r="29">
          <cell r="B29">
            <v>9482</v>
          </cell>
          <cell r="C29">
            <v>3747</v>
          </cell>
        </row>
        <row r="30">
          <cell r="B30">
            <v>9557</v>
          </cell>
          <cell r="C30">
            <v>3708</v>
          </cell>
        </row>
        <row r="31">
          <cell r="B31">
            <v>9701</v>
          </cell>
          <cell r="C31">
            <v>3660</v>
          </cell>
        </row>
        <row r="32">
          <cell r="B32">
            <v>8039</v>
          </cell>
          <cell r="C32">
            <v>2855</v>
          </cell>
        </row>
        <row r="33">
          <cell r="B33">
            <v>7713</v>
          </cell>
          <cell r="C33">
            <v>2678</v>
          </cell>
        </row>
        <row r="34">
          <cell r="B34">
            <v>5699</v>
          </cell>
          <cell r="C34">
            <v>2016</v>
          </cell>
        </row>
        <row r="35">
          <cell r="B35">
            <v>4691</v>
          </cell>
          <cell r="C35">
            <v>1640</v>
          </cell>
        </row>
        <row r="36">
          <cell r="B36">
            <v>4351</v>
          </cell>
          <cell r="C36">
            <v>1351</v>
          </cell>
        </row>
        <row r="37">
          <cell r="B37">
            <v>2848</v>
          </cell>
          <cell r="C37">
            <v>869</v>
          </cell>
        </row>
        <row r="38">
          <cell r="B38">
            <v>333103</v>
          </cell>
          <cell r="C38">
            <v>109310</v>
          </cell>
        </row>
        <row r="39">
          <cell r="B39">
            <v>13984</v>
          </cell>
          <cell r="C39">
            <v>5380</v>
          </cell>
        </row>
        <row r="40">
          <cell r="B40">
            <v>2848</v>
          </cell>
          <cell r="C40">
            <v>746</v>
          </cell>
        </row>
      </sheetData>
      <sheetData sheetId="2">
        <row r="1">
          <cell r="B1" t="str">
            <v>Total article count</v>
          </cell>
          <cell r="C1" t="str">
            <v>HasPvalue</v>
          </cell>
        </row>
        <row r="2">
          <cell r="B2">
            <v>214</v>
          </cell>
          <cell r="C2">
            <v>30</v>
          </cell>
        </row>
        <row r="3">
          <cell r="B3">
            <v>268</v>
          </cell>
          <cell r="C3">
            <v>35</v>
          </cell>
        </row>
        <row r="4">
          <cell r="B4">
            <v>304</v>
          </cell>
          <cell r="C4">
            <v>41</v>
          </cell>
        </row>
        <row r="5">
          <cell r="B5">
            <v>274</v>
          </cell>
          <cell r="C5">
            <v>59</v>
          </cell>
        </row>
        <row r="6">
          <cell r="B6">
            <v>348</v>
          </cell>
          <cell r="C6">
            <v>62</v>
          </cell>
        </row>
        <row r="7">
          <cell r="B7">
            <v>395</v>
          </cell>
          <cell r="C7">
            <v>87</v>
          </cell>
        </row>
        <row r="8">
          <cell r="B8">
            <v>445</v>
          </cell>
          <cell r="C8">
            <v>93</v>
          </cell>
        </row>
        <row r="9">
          <cell r="B9">
            <v>548</v>
          </cell>
          <cell r="C9">
            <v>116</v>
          </cell>
        </row>
        <row r="10">
          <cell r="B10">
            <v>588</v>
          </cell>
          <cell r="C10">
            <v>108</v>
          </cell>
        </row>
        <row r="11">
          <cell r="B11">
            <v>681</v>
          </cell>
          <cell r="C11">
            <v>124</v>
          </cell>
        </row>
        <row r="12">
          <cell r="B12">
            <v>793</v>
          </cell>
          <cell r="C12">
            <v>173</v>
          </cell>
        </row>
        <row r="13">
          <cell r="B13">
            <v>861</v>
          </cell>
          <cell r="C13">
            <v>163</v>
          </cell>
        </row>
        <row r="14">
          <cell r="B14">
            <v>1011</v>
          </cell>
          <cell r="C14">
            <v>209</v>
          </cell>
        </row>
        <row r="15">
          <cell r="B15">
            <v>1234</v>
          </cell>
          <cell r="C15">
            <v>310</v>
          </cell>
        </row>
        <row r="16">
          <cell r="B16">
            <v>1533</v>
          </cell>
          <cell r="C16">
            <v>340</v>
          </cell>
        </row>
        <row r="17">
          <cell r="B17">
            <v>2041</v>
          </cell>
          <cell r="C17">
            <v>485</v>
          </cell>
        </row>
        <row r="18">
          <cell r="B18">
            <v>2432</v>
          </cell>
          <cell r="C18">
            <v>573</v>
          </cell>
        </row>
        <row r="19">
          <cell r="B19">
            <v>2742</v>
          </cell>
          <cell r="C19">
            <v>736</v>
          </cell>
        </row>
        <row r="20">
          <cell r="B20">
            <v>3057</v>
          </cell>
          <cell r="C20">
            <v>855</v>
          </cell>
        </row>
        <row r="21">
          <cell r="B21">
            <v>3648</v>
          </cell>
          <cell r="C21">
            <v>1091</v>
          </cell>
        </row>
        <row r="22">
          <cell r="B22">
            <v>4510</v>
          </cell>
          <cell r="C22">
            <v>1430</v>
          </cell>
        </row>
        <row r="23">
          <cell r="B23">
            <v>5800</v>
          </cell>
          <cell r="C23">
            <v>1902</v>
          </cell>
        </row>
        <row r="24">
          <cell r="B24">
            <v>7729</v>
          </cell>
          <cell r="C24">
            <v>2628</v>
          </cell>
        </row>
        <row r="25">
          <cell r="B25">
            <v>9546</v>
          </cell>
          <cell r="C25">
            <v>3439</v>
          </cell>
        </row>
        <row r="26">
          <cell r="B26">
            <v>11132</v>
          </cell>
          <cell r="C26">
            <v>4122</v>
          </cell>
        </row>
        <row r="27">
          <cell r="B27">
            <v>12379</v>
          </cell>
          <cell r="C27">
            <v>4709</v>
          </cell>
        </row>
        <row r="28">
          <cell r="B28">
            <v>12998</v>
          </cell>
          <cell r="C28">
            <v>4834</v>
          </cell>
        </row>
        <row r="29">
          <cell r="B29">
            <v>13709</v>
          </cell>
          <cell r="C29">
            <v>5184</v>
          </cell>
        </row>
        <row r="30">
          <cell r="B30">
            <v>14548</v>
          </cell>
          <cell r="C30">
            <v>5559</v>
          </cell>
        </row>
        <row r="31">
          <cell r="B31">
            <v>16283</v>
          </cell>
          <cell r="C31">
            <v>6204</v>
          </cell>
        </row>
        <row r="32">
          <cell r="B32">
            <v>19660</v>
          </cell>
          <cell r="C32">
            <v>7517</v>
          </cell>
        </row>
        <row r="33">
          <cell r="B33">
            <v>22723</v>
          </cell>
          <cell r="C33">
            <v>8675</v>
          </cell>
        </row>
        <row r="34">
          <cell r="B34">
            <v>23300</v>
          </cell>
          <cell r="C34">
            <v>9009</v>
          </cell>
        </row>
        <row r="35">
          <cell r="B35">
            <v>22483</v>
          </cell>
          <cell r="C35">
            <v>8737</v>
          </cell>
        </row>
        <row r="36">
          <cell r="B36">
            <v>23544</v>
          </cell>
          <cell r="C36">
            <v>9418</v>
          </cell>
        </row>
        <row r="37">
          <cell r="B37">
            <v>14518</v>
          </cell>
          <cell r="C37">
            <v>5955</v>
          </cell>
        </row>
        <row r="38">
          <cell r="B38">
            <v>258279</v>
          </cell>
          <cell r="C38">
            <v>95012</v>
          </cell>
        </row>
        <row r="39">
          <cell r="B39">
            <v>23544</v>
          </cell>
          <cell r="C39">
            <v>9418</v>
          </cell>
        </row>
        <row r="40">
          <cell r="B40">
            <v>214</v>
          </cell>
          <cell r="C40">
            <v>30</v>
          </cell>
        </row>
      </sheetData>
      <sheetData sheetId="3">
        <row r="1">
          <cell r="B1" t="str">
            <v>Total article count</v>
          </cell>
          <cell r="C1" t="str">
            <v>HasPvalue</v>
          </cell>
        </row>
        <row r="2">
          <cell r="B2">
            <v>24277</v>
          </cell>
          <cell r="C2">
            <v>181</v>
          </cell>
        </row>
        <row r="3">
          <cell r="B3">
            <v>26350</v>
          </cell>
          <cell r="C3">
            <v>197</v>
          </cell>
        </row>
        <row r="4">
          <cell r="B4">
            <v>27779</v>
          </cell>
          <cell r="C4">
            <v>220</v>
          </cell>
        </row>
        <row r="5">
          <cell r="B5">
            <v>29002</v>
          </cell>
          <cell r="C5">
            <v>207</v>
          </cell>
        </row>
        <row r="6">
          <cell r="B6">
            <v>30760</v>
          </cell>
          <cell r="C6">
            <v>208</v>
          </cell>
        </row>
        <row r="7">
          <cell r="B7">
            <v>33077</v>
          </cell>
          <cell r="C7">
            <v>258</v>
          </cell>
        </row>
        <row r="8">
          <cell r="B8">
            <v>35582</v>
          </cell>
          <cell r="C8">
            <v>309</v>
          </cell>
        </row>
        <row r="9">
          <cell r="B9">
            <v>37858</v>
          </cell>
          <cell r="C9">
            <v>306</v>
          </cell>
        </row>
        <row r="10">
          <cell r="B10">
            <v>41132</v>
          </cell>
          <cell r="C10">
            <v>299</v>
          </cell>
        </row>
        <row r="11">
          <cell r="B11">
            <v>42494</v>
          </cell>
          <cell r="C11">
            <v>246</v>
          </cell>
        </row>
        <row r="12">
          <cell r="B12">
            <v>48551</v>
          </cell>
          <cell r="C12">
            <v>286</v>
          </cell>
        </row>
        <row r="13">
          <cell r="B13">
            <v>50445</v>
          </cell>
          <cell r="C13">
            <v>309</v>
          </cell>
        </row>
        <row r="14">
          <cell r="B14">
            <v>55064</v>
          </cell>
          <cell r="C14">
            <v>335</v>
          </cell>
        </row>
        <row r="15">
          <cell r="B15">
            <v>59729</v>
          </cell>
          <cell r="C15">
            <v>495</v>
          </cell>
        </row>
        <row r="16">
          <cell r="B16">
            <v>64980</v>
          </cell>
          <cell r="C16">
            <v>553</v>
          </cell>
        </row>
        <row r="17">
          <cell r="B17">
            <v>68723</v>
          </cell>
          <cell r="C17">
            <v>454</v>
          </cell>
        </row>
        <row r="18">
          <cell r="B18">
            <v>73521</v>
          </cell>
          <cell r="C18">
            <v>424</v>
          </cell>
        </row>
        <row r="19">
          <cell r="B19">
            <v>76879</v>
          </cell>
          <cell r="C19">
            <v>487</v>
          </cell>
        </row>
        <row r="20">
          <cell r="B20">
            <v>78184</v>
          </cell>
          <cell r="C20">
            <v>472</v>
          </cell>
        </row>
        <row r="21">
          <cell r="B21">
            <v>79782</v>
          </cell>
          <cell r="C21">
            <v>528</v>
          </cell>
        </row>
        <row r="22">
          <cell r="B22">
            <v>84163</v>
          </cell>
          <cell r="C22">
            <v>616</v>
          </cell>
        </row>
        <row r="23">
          <cell r="B23">
            <v>89325</v>
          </cell>
          <cell r="C23">
            <v>698</v>
          </cell>
        </row>
        <row r="24">
          <cell r="B24">
            <v>94776</v>
          </cell>
          <cell r="C24">
            <v>809</v>
          </cell>
        </row>
        <row r="25">
          <cell r="B25">
            <v>99025</v>
          </cell>
          <cell r="C25">
            <v>939</v>
          </cell>
        </row>
        <row r="26">
          <cell r="B26">
            <v>103221</v>
          </cell>
          <cell r="C26">
            <v>1001</v>
          </cell>
        </row>
        <row r="27">
          <cell r="B27">
            <v>105352</v>
          </cell>
          <cell r="C27">
            <v>1092</v>
          </cell>
        </row>
        <row r="28">
          <cell r="B28">
            <v>108365</v>
          </cell>
          <cell r="C28">
            <v>1198</v>
          </cell>
        </row>
        <row r="29">
          <cell r="B29">
            <v>109867</v>
          </cell>
          <cell r="C29">
            <v>1204</v>
          </cell>
        </row>
        <row r="30">
          <cell r="B30">
            <v>111873</v>
          </cell>
          <cell r="C30">
            <v>1212</v>
          </cell>
        </row>
        <row r="31">
          <cell r="B31">
            <v>114998</v>
          </cell>
          <cell r="C31">
            <v>1275</v>
          </cell>
        </row>
        <row r="32">
          <cell r="B32">
            <v>131987</v>
          </cell>
          <cell r="C32">
            <v>1552</v>
          </cell>
        </row>
        <row r="33">
          <cell r="B33">
            <v>142452</v>
          </cell>
          <cell r="C33">
            <v>1971</v>
          </cell>
        </row>
        <row r="34">
          <cell r="B34">
            <v>136747</v>
          </cell>
          <cell r="C34">
            <v>2504</v>
          </cell>
        </row>
        <row r="35">
          <cell r="B35">
            <v>128108</v>
          </cell>
          <cell r="C35">
            <v>2402</v>
          </cell>
        </row>
        <row r="36">
          <cell r="B36">
            <v>137297</v>
          </cell>
          <cell r="C36">
            <v>1713</v>
          </cell>
        </row>
        <row r="37">
          <cell r="B37">
            <v>84526</v>
          </cell>
          <cell r="C37">
            <v>835</v>
          </cell>
        </row>
        <row r="38">
          <cell r="B38">
            <v>2766251</v>
          </cell>
          <cell r="C38">
            <v>27795</v>
          </cell>
        </row>
        <row r="39">
          <cell r="B39">
            <v>142452</v>
          </cell>
          <cell r="C39">
            <v>2504</v>
          </cell>
        </row>
        <row r="40">
          <cell r="B40">
            <v>24277</v>
          </cell>
          <cell r="C40">
            <v>181</v>
          </cell>
        </row>
      </sheetData>
      <sheetData sheetId="4">
        <row r="1">
          <cell r="B1" t="str">
            <v>Total article count</v>
          </cell>
          <cell r="C1" t="str">
            <v>HasPvalue</v>
          </cell>
        </row>
        <row r="2">
          <cell r="B2">
            <v>31431</v>
          </cell>
          <cell r="C2">
            <v>5369</v>
          </cell>
        </row>
        <row r="3">
          <cell r="B3">
            <v>32930</v>
          </cell>
          <cell r="C3">
            <v>6086</v>
          </cell>
        </row>
        <row r="4">
          <cell r="B4">
            <v>34868</v>
          </cell>
          <cell r="C4">
            <v>6945</v>
          </cell>
        </row>
        <row r="5">
          <cell r="B5">
            <v>36976</v>
          </cell>
          <cell r="C5">
            <v>7542</v>
          </cell>
        </row>
        <row r="6">
          <cell r="B6">
            <v>38717</v>
          </cell>
          <cell r="C6">
            <v>8529</v>
          </cell>
        </row>
        <row r="7">
          <cell r="B7">
            <v>40660</v>
          </cell>
          <cell r="C7">
            <v>9266</v>
          </cell>
        </row>
        <row r="8">
          <cell r="B8">
            <v>41001</v>
          </cell>
          <cell r="C8">
            <v>9631</v>
          </cell>
        </row>
        <row r="9">
          <cell r="B9">
            <v>42522</v>
          </cell>
          <cell r="C9">
            <v>10353</v>
          </cell>
        </row>
        <row r="10">
          <cell r="B10">
            <v>43762</v>
          </cell>
          <cell r="C10">
            <v>10832</v>
          </cell>
        </row>
        <row r="11">
          <cell r="B11">
            <v>45760</v>
          </cell>
          <cell r="C11">
            <v>11497</v>
          </cell>
        </row>
        <row r="12">
          <cell r="B12">
            <v>47381</v>
          </cell>
          <cell r="C12">
            <v>11678</v>
          </cell>
        </row>
        <row r="13">
          <cell r="B13">
            <v>47703</v>
          </cell>
          <cell r="C13">
            <v>12573</v>
          </cell>
        </row>
        <row r="14">
          <cell r="B14">
            <v>48987</v>
          </cell>
          <cell r="C14">
            <v>12945</v>
          </cell>
        </row>
        <row r="15">
          <cell r="B15">
            <v>52486</v>
          </cell>
          <cell r="C15">
            <v>14028</v>
          </cell>
        </row>
        <row r="16">
          <cell r="B16">
            <v>55694</v>
          </cell>
          <cell r="C16">
            <v>15339</v>
          </cell>
        </row>
        <row r="17">
          <cell r="B17">
            <v>61604</v>
          </cell>
          <cell r="C17">
            <v>17287</v>
          </cell>
        </row>
        <row r="18">
          <cell r="B18">
            <v>64262</v>
          </cell>
          <cell r="C18">
            <v>17802</v>
          </cell>
        </row>
        <row r="19">
          <cell r="B19">
            <v>66637</v>
          </cell>
          <cell r="C19">
            <v>18661</v>
          </cell>
        </row>
        <row r="20">
          <cell r="B20">
            <v>68330</v>
          </cell>
          <cell r="C20">
            <v>19384</v>
          </cell>
        </row>
        <row r="21">
          <cell r="B21">
            <v>68450</v>
          </cell>
          <cell r="C21">
            <v>20022</v>
          </cell>
        </row>
        <row r="22">
          <cell r="B22">
            <v>70953</v>
          </cell>
          <cell r="C22">
            <v>21194</v>
          </cell>
        </row>
        <row r="23">
          <cell r="B23">
            <v>74380</v>
          </cell>
          <cell r="C23">
            <v>22946</v>
          </cell>
        </row>
        <row r="24">
          <cell r="B24">
            <v>74534</v>
          </cell>
          <cell r="C24">
            <v>23327</v>
          </cell>
        </row>
        <row r="25">
          <cell r="B25">
            <v>75326</v>
          </cell>
          <cell r="C25">
            <v>24328</v>
          </cell>
        </row>
        <row r="26">
          <cell r="B26">
            <v>72771</v>
          </cell>
          <cell r="C26">
            <v>23606</v>
          </cell>
        </row>
        <row r="27">
          <cell r="B27">
            <v>73088</v>
          </cell>
          <cell r="C27">
            <v>24205</v>
          </cell>
        </row>
        <row r="28">
          <cell r="B28">
            <v>73888</v>
          </cell>
          <cell r="C28">
            <v>24735</v>
          </cell>
        </row>
        <row r="29">
          <cell r="B29">
            <v>73771</v>
          </cell>
          <cell r="C29">
            <v>23964</v>
          </cell>
        </row>
        <row r="30">
          <cell r="B30">
            <v>74580</v>
          </cell>
          <cell r="C30">
            <v>24167</v>
          </cell>
        </row>
        <row r="31">
          <cell r="B31">
            <v>74905</v>
          </cell>
          <cell r="C31">
            <v>24210</v>
          </cell>
        </row>
        <row r="32">
          <cell r="B32">
            <v>82212</v>
          </cell>
          <cell r="C32">
            <v>26155</v>
          </cell>
        </row>
        <row r="33">
          <cell r="B33">
            <v>82375</v>
          </cell>
          <cell r="C33">
            <v>26185</v>
          </cell>
        </row>
        <row r="34">
          <cell r="B34">
            <v>72683</v>
          </cell>
          <cell r="C34">
            <v>23109</v>
          </cell>
        </row>
        <row r="35">
          <cell r="B35">
            <v>67683</v>
          </cell>
          <cell r="C35">
            <v>21184</v>
          </cell>
        </row>
        <row r="36">
          <cell r="B36">
            <v>69046</v>
          </cell>
          <cell r="C36">
            <v>21495</v>
          </cell>
        </row>
        <row r="37">
          <cell r="B37">
            <v>43477</v>
          </cell>
          <cell r="C37">
            <v>13782</v>
          </cell>
        </row>
        <row r="38">
          <cell r="B38">
            <v>2125833</v>
          </cell>
          <cell r="C38">
            <v>614361</v>
          </cell>
        </row>
        <row r="39">
          <cell r="B39">
            <v>82375</v>
          </cell>
          <cell r="C39">
            <v>26185</v>
          </cell>
        </row>
        <row r="40">
          <cell r="B40">
            <v>31431</v>
          </cell>
          <cell r="C40">
            <v>5369</v>
          </cell>
        </row>
      </sheetData>
      <sheetData sheetId="5">
        <row r="1">
          <cell r="B1" t="str">
            <v>Total article count</v>
          </cell>
          <cell r="C1" t="str">
            <v>HasPvalue</v>
          </cell>
        </row>
        <row r="2">
          <cell r="B2">
            <v>278716</v>
          </cell>
          <cell r="C2">
            <v>20882</v>
          </cell>
        </row>
        <row r="3">
          <cell r="B3">
            <v>281501</v>
          </cell>
          <cell r="C3">
            <v>22765</v>
          </cell>
        </row>
        <row r="4">
          <cell r="B4">
            <v>287106</v>
          </cell>
          <cell r="C4">
            <v>25095</v>
          </cell>
        </row>
        <row r="5">
          <cell r="B5">
            <v>292438</v>
          </cell>
          <cell r="C5">
            <v>27237</v>
          </cell>
        </row>
        <row r="6">
          <cell r="B6">
            <v>300383</v>
          </cell>
          <cell r="C6">
            <v>29583</v>
          </cell>
        </row>
        <row r="7">
          <cell r="B7">
            <v>309682</v>
          </cell>
          <cell r="C7">
            <v>31986</v>
          </cell>
        </row>
        <row r="8">
          <cell r="B8">
            <v>315735</v>
          </cell>
          <cell r="C8">
            <v>34368</v>
          </cell>
        </row>
        <row r="9">
          <cell r="B9">
            <v>324663</v>
          </cell>
          <cell r="C9">
            <v>36618</v>
          </cell>
        </row>
        <row r="10">
          <cell r="B10">
            <v>340071</v>
          </cell>
          <cell r="C10">
            <v>38557</v>
          </cell>
        </row>
        <row r="11">
          <cell r="B11">
            <v>349352</v>
          </cell>
          <cell r="C11">
            <v>40973</v>
          </cell>
        </row>
        <row r="12">
          <cell r="B12">
            <v>376786</v>
          </cell>
          <cell r="C12">
            <v>42661</v>
          </cell>
        </row>
        <row r="13">
          <cell r="B13">
            <v>396538</v>
          </cell>
          <cell r="C13">
            <v>45978</v>
          </cell>
        </row>
        <row r="14">
          <cell r="B14">
            <v>416028</v>
          </cell>
          <cell r="C14">
            <v>49350</v>
          </cell>
        </row>
        <row r="15">
          <cell r="B15">
            <v>445521</v>
          </cell>
          <cell r="C15">
            <v>55143</v>
          </cell>
        </row>
        <row r="16">
          <cell r="B16">
            <v>481295</v>
          </cell>
          <cell r="C16">
            <v>61013</v>
          </cell>
        </row>
        <row r="17">
          <cell r="B17">
            <v>536057</v>
          </cell>
          <cell r="C17">
            <v>70238</v>
          </cell>
        </row>
        <row r="18">
          <cell r="B18">
            <v>579809</v>
          </cell>
          <cell r="C18">
            <v>76101</v>
          </cell>
        </row>
        <row r="19">
          <cell r="B19">
            <v>616538</v>
          </cell>
          <cell r="C19">
            <v>83458</v>
          </cell>
        </row>
        <row r="20">
          <cell r="B20">
            <v>648270</v>
          </cell>
          <cell r="C20">
            <v>90623</v>
          </cell>
        </row>
        <row r="21">
          <cell r="B21">
            <v>676468</v>
          </cell>
          <cell r="C21">
            <v>96924</v>
          </cell>
        </row>
        <row r="22">
          <cell r="B22">
            <v>725028</v>
          </cell>
          <cell r="C22">
            <v>106185</v>
          </cell>
        </row>
        <row r="23">
          <cell r="B23">
            <v>776404</v>
          </cell>
          <cell r="C23">
            <v>118039</v>
          </cell>
        </row>
        <row r="24">
          <cell r="B24">
            <v>820315</v>
          </cell>
          <cell r="C24">
            <v>128508</v>
          </cell>
        </row>
        <row r="25">
          <cell r="B25">
            <v>855653</v>
          </cell>
          <cell r="C25">
            <v>138951</v>
          </cell>
        </row>
        <row r="26">
          <cell r="B26">
            <v>876761</v>
          </cell>
          <cell r="C26">
            <v>146519</v>
          </cell>
        </row>
        <row r="27">
          <cell r="B27">
            <v>884808</v>
          </cell>
          <cell r="C27">
            <v>153235</v>
          </cell>
        </row>
        <row r="28">
          <cell r="B28">
            <v>881192</v>
          </cell>
          <cell r="C28">
            <v>155077</v>
          </cell>
        </row>
        <row r="29">
          <cell r="B29">
            <v>882495</v>
          </cell>
          <cell r="C29">
            <v>157484</v>
          </cell>
        </row>
        <row r="30">
          <cell r="B30">
            <v>900568</v>
          </cell>
          <cell r="C30">
            <v>162452</v>
          </cell>
        </row>
        <row r="31">
          <cell r="B31">
            <v>941231</v>
          </cell>
          <cell r="C31">
            <v>169776</v>
          </cell>
        </row>
        <row r="32">
          <cell r="B32">
            <v>1043379</v>
          </cell>
          <cell r="C32">
            <v>191959</v>
          </cell>
        </row>
        <row r="33">
          <cell r="B33">
            <v>1112394</v>
          </cell>
          <cell r="C33">
            <v>206278</v>
          </cell>
        </row>
        <row r="34">
          <cell r="B34">
            <v>1092792</v>
          </cell>
          <cell r="C34">
            <v>197052</v>
          </cell>
        </row>
        <row r="35">
          <cell r="B35">
            <v>978968</v>
          </cell>
          <cell r="C35">
            <v>178431</v>
          </cell>
        </row>
        <row r="36">
          <cell r="B36">
            <v>1018395</v>
          </cell>
          <cell r="C36">
            <v>184181</v>
          </cell>
        </row>
        <row r="37">
          <cell r="B37">
            <v>691456</v>
          </cell>
          <cell r="C37">
            <v>126805</v>
          </cell>
        </row>
        <row r="38">
          <cell r="B38">
            <v>22734796</v>
          </cell>
          <cell r="C38">
            <v>3500485</v>
          </cell>
        </row>
        <row r="39">
          <cell r="B39">
            <v>1112394</v>
          </cell>
          <cell r="C39">
            <v>206278</v>
          </cell>
        </row>
        <row r="40">
          <cell r="B40">
            <v>278716</v>
          </cell>
          <cell r="C40">
            <v>20882</v>
          </cell>
        </row>
      </sheetData>
      <sheetData sheetId="6">
        <row r="1">
          <cell r="B1" t="str">
            <v>Total article count</v>
          </cell>
          <cell r="C1" t="str">
            <v>HasPvalue</v>
          </cell>
        </row>
        <row r="2">
          <cell r="B2">
            <v>0</v>
          </cell>
          <cell r="C2">
            <v>0</v>
          </cell>
        </row>
        <row r="3">
          <cell r="B3">
            <v>0</v>
          </cell>
          <cell r="C3">
            <v>0</v>
          </cell>
        </row>
        <row r="4">
          <cell r="B4">
            <v>0</v>
          </cell>
          <cell r="C4">
            <v>0</v>
          </cell>
        </row>
        <row r="5">
          <cell r="B5">
            <v>0</v>
          </cell>
          <cell r="C5">
            <v>0</v>
          </cell>
        </row>
        <row r="6">
          <cell r="B6">
            <v>0</v>
          </cell>
          <cell r="C6">
            <v>0</v>
          </cell>
        </row>
        <row r="7">
          <cell r="B7">
            <v>0</v>
          </cell>
          <cell r="C7">
            <v>0</v>
          </cell>
        </row>
        <row r="8">
          <cell r="B8">
            <v>0</v>
          </cell>
          <cell r="C8">
            <v>0</v>
          </cell>
        </row>
        <row r="9">
          <cell r="B9">
            <v>0</v>
          </cell>
          <cell r="C9">
            <v>0</v>
          </cell>
        </row>
        <row r="10">
          <cell r="B10">
            <v>0</v>
          </cell>
          <cell r="C10">
            <v>0</v>
          </cell>
        </row>
        <row r="11">
          <cell r="B11">
            <v>0</v>
          </cell>
          <cell r="C11">
            <v>0</v>
          </cell>
        </row>
        <row r="12">
          <cell r="B12">
            <v>0</v>
          </cell>
          <cell r="C12">
            <v>0</v>
          </cell>
        </row>
        <row r="13">
          <cell r="B13">
            <v>0</v>
          </cell>
          <cell r="C13">
            <v>0</v>
          </cell>
        </row>
        <row r="14">
          <cell r="B14">
            <v>1</v>
          </cell>
          <cell r="C14">
            <v>1</v>
          </cell>
        </row>
        <row r="15">
          <cell r="B15">
            <v>0</v>
          </cell>
          <cell r="C15">
            <v>0</v>
          </cell>
        </row>
        <row r="16">
          <cell r="B16">
            <v>0</v>
          </cell>
          <cell r="C16">
            <v>0</v>
          </cell>
        </row>
        <row r="17">
          <cell r="B17">
            <v>1</v>
          </cell>
          <cell r="C17">
            <v>0</v>
          </cell>
        </row>
        <row r="18">
          <cell r="B18">
            <v>1</v>
          </cell>
          <cell r="C18">
            <v>0</v>
          </cell>
        </row>
        <row r="19">
          <cell r="B19">
            <v>1</v>
          </cell>
          <cell r="C19">
            <v>0</v>
          </cell>
        </row>
        <row r="20">
          <cell r="B20">
            <v>1</v>
          </cell>
          <cell r="C20">
            <v>0</v>
          </cell>
        </row>
        <row r="21">
          <cell r="B21">
            <v>6</v>
          </cell>
          <cell r="C21">
            <v>2</v>
          </cell>
        </row>
        <row r="22">
          <cell r="B22">
            <v>33</v>
          </cell>
          <cell r="C22">
            <v>19</v>
          </cell>
        </row>
        <row r="23">
          <cell r="B23">
            <v>69</v>
          </cell>
          <cell r="C23">
            <v>42</v>
          </cell>
        </row>
        <row r="24">
          <cell r="B24">
            <v>639</v>
          </cell>
          <cell r="C24">
            <v>297</v>
          </cell>
        </row>
        <row r="25">
          <cell r="B25">
            <v>5492</v>
          </cell>
          <cell r="C25">
            <v>2751</v>
          </cell>
        </row>
        <row r="26">
          <cell r="B26">
            <v>11337</v>
          </cell>
          <cell r="C26">
            <v>5657</v>
          </cell>
        </row>
        <row r="27">
          <cell r="B27">
            <v>13825</v>
          </cell>
          <cell r="C27">
            <v>6973</v>
          </cell>
        </row>
        <row r="28">
          <cell r="B28">
            <v>15304</v>
          </cell>
          <cell r="C28">
            <v>7820</v>
          </cell>
        </row>
        <row r="29">
          <cell r="B29">
            <v>16659</v>
          </cell>
          <cell r="C29">
            <v>8557</v>
          </cell>
        </row>
        <row r="30">
          <cell r="B30">
            <v>18349</v>
          </cell>
          <cell r="C30">
            <v>9309</v>
          </cell>
        </row>
        <row r="31">
          <cell r="B31">
            <v>20068</v>
          </cell>
          <cell r="C31">
            <v>10099</v>
          </cell>
        </row>
        <row r="32">
          <cell r="B32">
            <v>22491</v>
          </cell>
          <cell r="C32">
            <v>11186</v>
          </cell>
        </row>
        <row r="33">
          <cell r="B33">
            <v>23297</v>
          </cell>
          <cell r="C33">
            <v>11185</v>
          </cell>
        </row>
        <row r="34">
          <cell r="B34">
            <v>18233</v>
          </cell>
          <cell r="C34">
            <v>8780</v>
          </cell>
        </row>
        <row r="35">
          <cell r="B35">
            <v>16328</v>
          </cell>
          <cell r="C35">
            <v>7919</v>
          </cell>
        </row>
        <row r="36">
          <cell r="B36">
            <v>19084</v>
          </cell>
          <cell r="C36">
            <v>9252</v>
          </cell>
        </row>
        <row r="37">
          <cell r="B37">
            <v>14630</v>
          </cell>
          <cell r="C37">
            <v>7344</v>
          </cell>
        </row>
        <row r="38">
          <cell r="B38">
            <v>215849</v>
          </cell>
          <cell r="C38">
            <v>107193</v>
          </cell>
        </row>
        <row r="39">
          <cell r="B39">
            <v>23297</v>
          </cell>
          <cell r="C39">
            <v>11186</v>
          </cell>
        </row>
        <row r="40">
          <cell r="B40">
            <v>0</v>
          </cell>
          <cell r="C40">
            <v>0</v>
          </cell>
        </row>
      </sheetData>
      <sheetData sheetId="7">
        <row r="2">
          <cell r="B2">
            <v>4</v>
          </cell>
          <cell r="C2">
            <v>0</v>
          </cell>
        </row>
        <row r="3">
          <cell r="B3">
            <v>7</v>
          </cell>
          <cell r="C3">
            <v>0</v>
          </cell>
        </row>
        <row r="4">
          <cell r="B4">
            <v>2</v>
          </cell>
          <cell r="C4">
            <v>0</v>
          </cell>
        </row>
        <row r="5">
          <cell r="B5">
            <v>8</v>
          </cell>
          <cell r="C5">
            <v>0</v>
          </cell>
        </row>
        <row r="6">
          <cell r="B6">
            <v>22</v>
          </cell>
          <cell r="C6">
            <v>0</v>
          </cell>
        </row>
        <row r="7">
          <cell r="B7">
            <v>36</v>
          </cell>
          <cell r="C7">
            <v>3</v>
          </cell>
        </row>
        <row r="8">
          <cell r="B8">
            <v>69</v>
          </cell>
          <cell r="C8">
            <v>4</v>
          </cell>
        </row>
        <row r="9">
          <cell r="B9">
            <v>127</v>
          </cell>
          <cell r="C9">
            <v>9</v>
          </cell>
        </row>
        <row r="10">
          <cell r="B10">
            <v>205</v>
          </cell>
          <cell r="C10">
            <v>8</v>
          </cell>
        </row>
        <row r="11">
          <cell r="B11">
            <v>276</v>
          </cell>
          <cell r="C11">
            <v>17</v>
          </cell>
        </row>
        <row r="12">
          <cell r="B12">
            <v>1387</v>
          </cell>
          <cell r="C12">
            <v>74</v>
          </cell>
        </row>
        <row r="13">
          <cell r="B13">
            <v>1034</v>
          </cell>
          <cell r="C13">
            <v>70</v>
          </cell>
        </row>
        <row r="14">
          <cell r="B14">
            <v>1161</v>
          </cell>
          <cell r="C14">
            <v>92</v>
          </cell>
        </row>
        <row r="15">
          <cell r="B15">
            <v>1369</v>
          </cell>
          <cell r="C15">
            <v>136</v>
          </cell>
        </row>
        <row r="16">
          <cell r="B16">
            <v>1694</v>
          </cell>
          <cell r="C16">
            <v>170</v>
          </cell>
        </row>
        <row r="17">
          <cell r="B17">
            <v>1993</v>
          </cell>
          <cell r="C17">
            <v>212</v>
          </cell>
        </row>
        <row r="18">
          <cell r="B18">
            <v>2479</v>
          </cell>
          <cell r="C18">
            <v>269</v>
          </cell>
        </row>
        <row r="19">
          <cell r="B19">
            <v>3317</v>
          </cell>
          <cell r="C19">
            <v>383</v>
          </cell>
        </row>
        <row r="20">
          <cell r="B20">
            <v>3614</v>
          </cell>
          <cell r="C20">
            <v>447</v>
          </cell>
        </row>
        <row r="21">
          <cell r="B21">
            <v>4398</v>
          </cell>
          <cell r="C21">
            <v>568</v>
          </cell>
        </row>
        <row r="22">
          <cell r="B22">
            <v>5249</v>
          </cell>
          <cell r="C22">
            <v>718</v>
          </cell>
        </row>
        <row r="23">
          <cell r="B23">
            <v>6500</v>
          </cell>
          <cell r="C23">
            <v>892</v>
          </cell>
        </row>
        <row r="24">
          <cell r="B24">
            <v>8253</v>
          </cell>
          <cell r="C24">
            <v>1290</v>
          </cell>
        </row>
        <row r="25">
          <cell r="B25">
            <v>10130</v>
          </cell>
          <cell r="C25">
            <v>1722</v>
          </cell>
        </row>
        <row r="26">
          <cell r="B26">
            <v>11931</v>
          </cell>
          <cell r="C26">
            <v>2115</v>
          </cell>
        </row>
        <row r="27">
          <cell r="B27">
            <v>13736</v>
          </cell>
          <cell r="C27">
            <v>2676</v>
          </cell>
        </row>
        <row r="28">
          <cell r="B28">
            <v>15320</v>
          </cell>
          <cell r="C28">
            <v>3008</v>
          </cell>
        </row>
        <row r="29">
          <cell r="B29">
            <v>17546</v>
          </cell>
          <cell r="C29">
            <v>3552</v>
          </cell>
        </row>
        <row r="30">
          <cell r="B30">
            <v>19963</v>
          </cell>
          <cell r="C30">
            <v>4190</v>
          </cell>
        </row>
        <row r="31">
          <cell r="B31">
            <v>23657</v>
          </cell>
          <cell r="C31">
            <v>5191</v>
          </cell>
        </row>
        <row r="32">
          <cell r="B32">
            <v>28621</v>
          </cell>
          <cell r="C32">
            <v>6356</v>
          </cell>
        </row>
        <row r="33">
          <cell r="B33">
            <v>33455</v>
          </cell>
          <cell r="C33">
            <v>7555</v>
          </cell>
        </row>
        <row r="34">
          <cell r="B34">
            <v>33892</v>
          </cell>
          <cell r="C34">
            <v>7720</v>
          </cell>
        </row>
        <row r="35">
          <cell r="B35">
            <v>32082</v>
          </cell>
          <cell r="C35">
            <v>7557</v>
          </cell>
        </row>
        <row r="36">
          <cell r="B36">
            <v>35020</v>
          </cell>
          <cell r="C36">
            <v>8563</v>
          </cell>
        </row>
        <row r="37">
          <cell r="B37">
            <v>24865</v>
          </cell>
          <cell r="C37">
            <v>6346</v>
          </cell>
        </row>
        <row r="38">
          <cell r="B38">
            <v>343422</v>
          </cell>
          <cell r="C38">
            <v>71913</v>
          </cell>
        </row>
        <row r="39">
          <cell r="B39">
            <v>35020</v>
          </cell>
          <cell r="C39">
            <v>8563</v>
          </cell>
        </row>
        <row r="40">
          <cell r="B40">
            <v>2</v>
          </cell>
          <cell r="C40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6D562-EEDD-9D48-A28A-C288ED7AA4E9}">
  <dimension ref="A1:F40"/>
  <sheetViews>
    <sheetView workbookViewId="0">
      <selection activeCell="E1" sqref="E1:F37"/>
    </sheetView>
  </sheetViews>
  <sheetFormatPr defaultColWidth="11.44140625" defaultRowHeight="17.25" x14ac:dyDescent="0.3"/>
  <sheetData>
    <row r="1" spans="1:6" x14ac:dyDescent="0.3">
      <c r="A1" t="s">
        <v>0</v>
      </c>
      <c r="B1" t="str">
        <f>[1]RCT!B1</f>
        <v>Total article count</v>
      </c>
      <c r="C1" t="str">
        <f>[1]RCT!C1</f>
        <v>HasPvalue</v>
      </c>
      <c r="D1" t="s">
        <v>1</v>
      </c>
      <c r="E1" t="s">
        <v>24</v>
      </c>
      <c r="F1" t="s">
        <v>25</v>
      </c>
    </row>
    <row r="2" spans="1:6" x14ac:dyDescent="0.3">
      <c r="A2">
        <v>1990</v>
      </c>
      <c r="B2">
        <f>[1]RCT!B2</f>
        <v>6146</v>
      </c>
      <c r="C2">
        <f>[1]RCT!C2</f>
        <v>2091</v>
      </c>
      <c r="D2">
        <f>C2/B2*100</f>
        <v>34.022128213472172</v>
      </c>
      <c r="E2">
        <f>D2-1.96*SQRT(D2*(100-D2)/B2)</f>
        <v>32.837615617944806</v>
      </c>
      <c r="F2">
        <f>D2+1.96*SQRT(D2*(100-D2)/B2)</f>
        <v>35.206640808999538</v>
      </c>
    </row>
    <row r="3" spans="1:6" x14ac:dyDescent="0.3">
      <c r="A3">
        <v>1991</v>
      </c>
      <c r="B3">
        <f>[1]RCT!B3</f>
        <v>6643</v>
      </c>
      <c r="C3">
        <f>[1]RCT!C3</f>
        <v>2478</v>
      </c>
      <c r="D3">
        <f t="shared" ref="D3:D37" si="0">C3/B3*100</f>
        <v>37.302423603793464</v>
      </c>
      <c r="E3">
        <f t="shared" ref="E3:E37" si="1">D3-1.96*SQRT(D3*(100-D3)/B3)</f>
        <v>36.139455385135712</v>
      </c>
      <c r="F3">
        <f t="shared" ref="F3:F37" si="2">D3+1.96*SQRT(D3*(100-D3)/B3)</f>
        <v>38.465391822451217</v>
      </c>
    </row>
    <row r="4" spans="1:6" x14ac:dyDescent="0.3">
      <c r="A4">
        <f>A2+2</f>
        <v>1992</v>
      </c>
      <c r="B4">
        <f>[1]RCT!B4</f>
        <v>7131</v>
      </c>
      <c r="C4">
        <f>[1]RCT!C4</f>
        <v>2721</v>
      </c>
      <c r="D4">
        <f t="shared" si="0"/>
        <v>38.157341186369379</v>
      </c>
      <c r="E4">
        <f t="shared" si="1"/>
        <v>37.029847853927535</v>
      </c>
      <c r="F4">
        <f t="shared" si="2"/>
        <v>39.284834518811223</v>
      </c>
    </row>
    <row r="5" spans="1:6" x14ac:dyDescent="0.3">
      <c r="A5">
        <f t="shared" ref="A5:A36" si="3">A3+2</f>
        <v>1993</v>
      </c>
      <c r="B5">
        <f>[1]RCT!B5</f>
        <v>7747</v>
      </c>
      <c r="C5">
        <f>[1]RCT!C5</f>
        <v>3054</v>
      </c>
      <c r="D5">
        <f t="shared" si="0"/>
        <v>39.421711630308508</v>
      </c>
      <c r="E5">
        <f t="shared" si="1"/>
        <v>38.33349456828752</v>
      </c>
      <c r="F5">
        <f t="shared" si="2"/>
        <v>40.509928692329495</v>
      </c>
    </row>
    <row r="6" spans="1:6" x14ac:dyDescent="0.3">
      <c r="A6">
        <f t="shared" si="3"/>
        <v>1994</v>
      </c>
      <c r="B6">
        <f>[1]RCT!B6</f>
        <v>8930</v>
      </c>
      <c r="C6">
        <f>[1]RCT!C6</f>
        <v>3609</v>
      </c>
      <c r="D6">
        <f t="shared" si="0"/>
        <v>40.414333706606939</v>
      </c>
      <c r="E6">
        <f t="shared" si="1"/>
        <v>39.396518456925897</v>
      </c>
      <c r="F6">
        <f t="shared" si="2"/>
        <v>41.432148956287982</v>
      </c>
    </row>
    <row r="7" spans="1:6" x14ac:dyDescent="0.3">
      <c r="A7">
        <f t="shared" si="3"/>
        <v>1995</v>
      </c>
      <c r="B7">
        <f>[1]RCT!B7</f>
        <v>9770</v>
      </c>
      <c r="C7">
        <f>[1]RCT!C7</f>
        <v>4066</v>
      </c>
      <c r="D7">
        <f t="shared" si="0"/>
        <v>41.617195496417601</v>
      </c>
      <c r="E7">
        <f t="shared" si="1"/>
        <v>40.63976097994113</v>
      </c>
      <c r="F7">
        <f t="shared" si="2"/>
        <v>42.594630012894072</v>
      </c>
    </row>
    <row r="8" spans="1:6" x14ac:dyDescent="0.3">
      <c r="A8">
        <f t="shared" si="3"/>
        <v>1996</v>
      </c>
      <c r="B8">
        <f>[1]RCT!B8</f>
        <v>9611</v>
      </c>
      <c r="C8">
        <f>[1]RCT!C8</f>
        <v>4165</v>
      </c>
      <c r="D8">
        <f t="shared" si="0"/>
        <v>43.335761107064826</v>
      </c>
      <c r="E8">
        <f t="shared" si="1"/>
        <v>42.345044308696366</v>
      </c>
      <c r="F8">
        <f t="shared" si="2"/>
        <v>44.326477905433286</v>
      </c>
    </row>
    <row r="9" spans="1:6" x14ac:dyDescent="0.3">
      <c r="A9">
        <f t="shared" si="3"/>
        <v>1997</v>
      </c>
      <c r="B9">
        <f>[1]RCT!B9</f>
        <v>9844</v>
      </c>
      <c r="C9">
        <f>[1]RCT!C9</f>
        <v>4454</v>
      </c>
      <c r="D9">
        <f t="shared" si="0"/>
        <v>45.245835026412031</v>
      </c>
      <c r="E9">
        <f t="shared" si="1"/>
        <v>44.262575522768643</v>
      </c>
      <c r="F9">
        <f t="shared" si="2"/>
        <v>46.22909453005542</v>
      </c>
    </row>
    <row r="10" spans="1:6" x14ac:dyDescent="0.3">
      <c r="A10">
        <f t="shared" si="3"/>
        <v>1998</v>
      </c>
      <c r="B10">
        <f>[1]RCT!B10</f>
        <v>10236</v>
      </c>
      <c r="C10">
        <f>[1]RCT!C10</f>
        <v>4745</v>
      </c>
      <c r="D10">
        <f t="shared" si="0"/>
        <v>46.355998436889415</v>
      </c>
      <c r="E10">
        <f t="shared" si="1"/>
        <v>45.38993757963668</v>
      </c>
      <c r="F10">
        <f t="shared" si="2"/>
        <v>47.32205929414215</v>
      </c>
    </row>
    <row r="11" spans="1:6" x14ac:dyDescent="0.3">
      <c r="A11">
        <f t="shared" si="3"/>
        <v>1999</v>
      </c>
      <c r="B11">
        <f>[1]RCT!B11</f>
        <v>10976</v>
      </c>
      <c r="C11">
        <f>[1]RCT!C11</f>
        <v>5240</v>
      </c>
      <c r="D11">
        <f t="shared" si="0"/>
        <v>47.740524781341108</v>
      </c>
      <c r="E11">
        <f t="shared" si="1"/>
        <v>46.806066023499064</v>
      </c>
      <c r="F11">
        <f t="shared" si="2"/>
        <v>48.674983539183152</v>
      </c>
    </row>
    <row r="12" spans="1:6" x14ac:dyDescent="0.3">
      <c r="A12">
        <f t="shared" si="3"/>
        <v>2000</v>
      </c>
      <c r="B12">
        <f>[1]RCT!B12</f>
        <v>10684</v>
      </c>
      <c r="C12">
        <f>[1]RCT!C12</f>
        <v>5102</v>
      </c>
      <c r="D12">
        <f t="shared" si="0"/>
        <v>47.753650318232872</v>
      </c>
      <c r="E12">
        <f t="shared" si="1"/>
        <v>46.80649675912764</v>
      </c>
      <c r="F12">
        <f t="shared" si="2"/>
        <v>48.700803877338103</v>
      </c>
    </row>
    <row r="13" spans="1:6" x14ac:dyDescent="0.3">
      <c r="A13">
        <f t="shared" si="3"/>
        <v>2001</v>
      </c>
      <c r="B13">
        <f>[1]RCT!B13</f>
        <v>11580</v>
      </c>
      <c r="C13">
        <f>[1]RCT!C13</f>
        <v>5603</v>
      </c>
      <c r="D13">
        <f t="shared" si="0"/>
        <v>48.385146804835919</v>
      </c>
      <c r="E13">
        <f t="shared" si="1"/>
        <v>47.474929325064942</v>
      </c>
      <c r="F13">
        <f t="shared" si="2"/>
        <v>49.295364284606897</v>
      </c>
    </row>
    <row r="14" spans="1:6" x14ac:dyDescent="0.3">
      <c r="A14">
        <f t="shared" si="3"/>
        <v>2002</v>
      </c>
      <c r="B14">
        <f>[1]RCT!B14</f>
        <v>11717</v>
      </c>
      <c r="C14">
        <f>[1]RCT!C14</f>
        <v>5900</v>
      </c>
      <c r="D14">
        <f t="shared" si="0"/>
        <v>50.354186225142946</v>
      </c>
      <c r="E14">
        <f t="shared" si="1"/>
        <v>49.448856116055985</v>
      </c>
      <c r="F14">
        <f t="shared" si="2"/>
        <v>51.259516334229907</v>
      </c>
    </row>
    <row r="15" spans="1:6" x14ac:dyDescent="0.3">
      <c r="A15">
        <f t="shared" si="3"/>
        <v>2003</v>
      </c>
      <c r="B15">
        <f>[1]RCT!B15</f>
        <v>12990</v>
      </c>
      <c r="C15">
        <f>[1]RCT!C15</f>
        <v>6740</v>
      </c>
      <c r="D15">
        <f t="shared" si="0"/>
        <v>51.886066204772909</v>
      </c>
      <c r="E15">
        <f t="shared" si="1"/>
        <v>51.026830527230459</v>
      </c>
      <c r="F15">
        <f t="shared" si="2"/>
        <v>52.74530188231536</v>
      </c>
    </row>
    <row r="16" spans="1:6" x14ac:dyDescent="0.3">
      <c r="A16">
        <f t="shared" si="3"/>
        <v>2004</v>
      </c>
      <c r="B16">
        <f>[1]RCT!B16</f>
        <v>14793</v>
      </c>
      <c r="C16">
        <f>[1]RCT!C16</f>
        <v>7545</v>
      </c>
      <c r="D16">
        <f t="shared" si="0"/>
        <v>51.003853173798419</v>
      </c>
      <c r="E16">
        <f t="shared" si="1"/>
        <v>50.198269975271323</v>
      </c>
      <c r="F16">
        <f t="shared" si="2"/>
        <v>51.809436372325514</v>
      </c>
    </row>
    <row r="17" spans="1:6" x14ac:dyDescent="0.3">
      <c r="A17">
        <f t="shared" si="3"/>
        <v>2005</v>
      </c>
      <c r="B17">
        <f>[1]RCT!B17</f>
        <v>15867</v>
      </c>
      <c r="C17">
        <f>[1]RCT!C17</f>
        <v>8411</v>
      </c>
      <c r="D17">
        <f t="shared" si="0"/>
        <v>53.009390559021874</v>
      </c>
      <c r="E17">
        <f t="shared" si="1"/>
        <v>52.232802685165076</v>
      </c>
      <c r="F17">
        <f t="shared" si="2"/>
        <v>53.785978432878672</v>
      </c>
    </row>
    <row r="18" spans="1:6" x14ac:dyDescent="0.3">
      <c r="A18">
        <f t="shared" si="3"/>
        <v>2006</v>
      </c>
      <c r="B18">
        <f>[1]RCT!B18</f>
        <v>16986</v>
      </c>
      <c r="C18">
        <f>[1]RCT!C18</f>
        <v>8957</v>
      </c>
      <c r="D18">
        <f t="shared" si="0"/>
        <v>52.73166136818557</v>
      </c>
      <c r="E18">
        <f t="shared" si="1"/>
        <v>51.980849017934304</v>
      </c>
      <c r="F18">
        <f t="shared" si="2"/>
        <v>53.482473718436836</v>
      </c>
    </row>
    <row r="19" spans="1:6" x14ac:dyDescent="0.3">
      <c r="A19">
        <f t="shared" si="3"/>
        <v>2007</v>
      </c>
      <c r="B19">
        <f>[1]RCT!B19</f>
        <v>18676</v>
      </c>
      <c r="C19">
        <f>[1]RCT!C19</f>
        <v>9806</v>
      </c>
      <c r="D19">
        <f t="shared" si="0"/>
        <v>52.505889912186767</v>
      </c>
      <c r="E19">
        <f t="shared" si="1"/>
        <v>51.789683792038616</v>
      </c>
      <c r="F19">
        <f t="shared" si="2"/>
        <v>53.222096032334917</v>
      </c>
    </row>
    <row r="20" spans="1:6" x14ac:dyDescent="0.3">
      <c r="A20">
        <f t="shared" si="3"/>
        <v>2008</v>
      </c>
      <c r="B20">
        <f>[1]RCT!B20</f>
        <v>19216</v>
      </c>
      <c r="C20">
        <f>[1]RCT!C20</f>
        <v>10197</v>
      </c>
      <c r="D20">
        <f t="shared" si="0"/>
        <v>53.065154038301422</v>
      </c>
      <c r="E20">
        <f t="shared" si="1"/>
        <v>52.359524115072261</v>
      </c>
      <c r="F20">
        <f t="shared" si="2"/>
        <v>53.770783961530583</v>
      </c>
    </row>
    <row r="21" spans="1:6" x14ac:dyDescent="0.3">
      <c r="A21">
        <f t="shared" si="3"/>
        <v>2009</v>
      </c>
      <c r="B21">
        <f>[1]RCT!B21</f>
        <v>20310</v>
      </c>
      <c r="C21">
        <f>[1]RCT!C21</f>
        <v>10924</v>
      </c>
      <c r="D21">
        <f t="shared" si="0"/>
        <v>53.786312161496795</v>
      </c>
      <c r="E21">
        <f t="shared" si="1"/>
        <v>53.100630859228545</v>
      </c>
      <c r="F21">
        <f t="shared" si="2"/>
        <v>54.471993463765045</v>
      </c>
    </row>
    <row r="22" spans="1:6" x14ac:dyDescent="0.3">
      <c r="A22">
        <f t="shared" si="3"/>
        <v>2010</v>
      </c>
      <c r="B22">
        <f>[1]RCT!B22</f>
        <v>22206</v>
      </c>
      <c r="C22">
        <f>[1]RCT!C22</f>
        <v>11731</v>
      </c>
      <c r="D22">
        <f t="shared" si="0"/>
        <v>52.828064487075565</v>
      </c>
      <c r="E22">
        <f t="shared" si="1"/>
        <v>52.171473221194802</v>
      </c>
      <c r="F22">
        <f t="shared" si="2"/>
        <v>53.484655752956328</v>
      </c>
    </row>
    <row r="23" spans="1:6" x14ac:dyDescent="0.3">
      <c r="A23">
        <f t="shared" si="3"/>
        <v>2011</v>
      </c>
      <c r="B23">
        <f>[1]RCT!B23</f>
        <v>24998</v>
      </c>
      <c r="C23">
        <f>[1]RCT!C23</f>
        <v>12904</v>
      </c>
      <c r="D23">
        <f t="shared" si="0"/>
        <v>51.620129610368828</v>
      </c>
      <c r="E23">
        <f t="shared" si="1"/>
        <v>51.000623869753341</v>
      </c>
      <c r="F23">
        <f t="shared" si="2"/>
        <v>52.239635350984315</v>
      </c>
    </row>
    <row r="24" spans="1:6" x14ac:dyDescent="0.3">
      <c r="A24">
        <f>A22+2</f>
        <v>2012</v>
      </c>
      <c r="B24">
        <f>[1]RCT!B24</f>
        <v>27142</v>
      </c>
      <c r="C24">
        <f>[1]RCT!C24</f>
        <v>14212</v>
      </c>
      <c r="D24">
        <f t="shared" si="0"/>
        <v>52.36165352590082</v>
      </c>
      <c r="E24">
        <f t="shared" si="1"/>
        <v>51.767470605532914</v>
      </c>
      <c r="F24">
        <f t="shared" si="2"/>
        <v>52.955836446268727</v>
      </c>
    </row>
    <row r="25" spans="1:6" x14ac:dyDescent="0.3">
      <c r="A25">
        <f t="shared" si="3"/>
        <v>2013</v>
      </c>
      <c r="B25">
        <f>[1]RCT!B25</f>
        <v>29398</v>
      </c>
      <c r="C25">
        <f>[1]RCT!C25</f>
        <v>15050</v>
      </c>
      <c r="D25">
        <f t="shared" si="0"/>
        <v>51.193958772705628</v>
      </c>
      <c r="E25">
        <f t="shared" si="1"/>
        <v>50.622554705964397</v>
      </c>
      <c r="F25">
        <f t="shared" si="2"/>
        <v>51.765362839446858</v>
      </c>
    </row>
    <row r="26" spans="1:6" x14ac:dyDescent="0.3">
      <c r="A26">
        <f t="shared" si="3"/>
        <v>2014</v>
      </c>
      <c r="B26">
        <f>[1]RCT!B26</f>
        <v>29674</v>
      </c>
      <c r="C26">
        <f>[1]RCT!C26</f>
        <v>15445</v>
      </c>
      <c r="D26">
        <f t="shared" si="0"/>
        <v>52.048931724742197</v>
      </c>
      <c r="E26">
        <f t="shared" si="1"/>
        <v>51.480506844663076</v>
      </c>
      <c r="F26">
        <f t="shared" si="2"/>
        <v>52.617356604821317</v>
      </c>
    </row>
    <row r="27" spans="1:6" x14ac:dyDescent="0.3">
      <c r="A27">
        <f t="shared" si="3"/>
        <v>2015</v>
      </c>
      <c r="B27">
        <f>[1]RCT!B27</f>
        <v>29395</v>
      </c>
      <c r="C27">
        <f>[1]RCT!C27</f>
        <v>15469</v>
      </c>
      <c r="D27">
        <f t="shared" si="0"/>
        <v>52.62459601973125</v>
      </c>
      <c r="E27">
        <f t="shared" si="1"/>
        <v>52.053787837696966</v>
      </c>
      <c r="F27">
        <f t="shared" si="2"/>
        <v>53.195404201765534</v>
      </c>
    </row>
    <row r="28" spans="1:6" x14ac:dyDescent="0.3">
      <c r="A28">
        <f t="shared" si="3"/>
        <v>2016</v>
      </c>
      <c r="B28">
        <f>[1]RCT!B28</f>
        <v>28269</v>
      </c>
      <c r="C28">
        <f>[1]RCT!C28</f>
        <v>14963</v>
      </c>
      <c r="D28">
        <f t="shared" si="0"/>
        <v>52.930772223990942</v>
      </c>
      <c r="E28">
        <f t="shared" si="1"/>
        <v>52.348905528386716</v>
      </c>
      <c r="F28">
        <f t="shared" si="2"/>
        <v>53.512638919595169</v>
      </c>
    </row>
    <row r="29" spans="1:6" x14ac:dyDescent="0.3">
      <c r="A29">
        <f t="shared" si="3"/>
        <v>2017</v>
      </c>
      <c r="B29">
        <f>[1]RCT!B29</f>
        <v>28112</v>
      </c>
      <c r="C29">
        <f>[1]RCT!C29</f>
        <v>15028</v>
      </c>
      <c r="D29">
        <f t="shared" si="0"/>
        <v>53.457598178713717</v>
      </c>
      <c r="E29">
        <f t="shared" si="1"/>
        <v>52.874503180512228</v>
      </c>
      <c r="F29">
        <f t="shared" si="2"/>
        <v>54.040693176915205</v>
      </c>
    </row>
    <row r="30" spans="1:6" x14ac:dyDescent="0.3">
      <c r="A30">
        <f t="shared" si="3"/>
        <v>2018</v>
      </c>
      <c r="B30">
        <f>[1]RCT!B30</f>
        <v>26683</v>
      </c>
      <c r="C30">
        <f>[1]RCT!C30</f>
        <v>14714</v>
      </c>
      <c r="D30">
        <f t="shared" si="0"/>
        <v>55.143724468762876</v>
      </c>
      <c r="E30">
        <f t="shared" si="1"/>
        <v>54.546966267304526</v>
      </c>
      <c r="F30">
        <f t="shared" si="2"/>
        <v>55.740482670221226</v>
      </c>
    </row>
    <row r="31" spans="1:6" x14ac:dyDescent="0.3">
      <c r="A31">
        <f t="shared" si="3"/>
        <v>2019</v>
      </c>
      <c r="B31">
        <f>[1]RCT!B31</f>
        <v>26493</v>
      </c>
      <c r="C31">
        <f>[1]RCT!C31</f>
        <v>14642</v>
      </c>
      <c r="D31">
        <f t="shared" si="0"/>
        <v>55.267429132223612</v>
      </c>
      <c r="E31">
        <f t="shared" si="1"/>
        <v>54.668690801160821</v>
      </c>
      <c r="F31">
        <f t="shared" si="2"/>
        <v>55.866167463286402</v>
      </c>
    </row>
    <row r="32" spans="1:6" x14ac:dyDescent="0.3">
      <c r="A32">
        <f t="shared" si="3"/>
        <v>2020</v>
      </c>
      <c r="B32">
        <f>[1]RCT!B32</f>
        <v>28524</v>
      </c>
      <c r="C32">
        <f>[1]RCT!C32</f>
        <v>15990</v>
      </c>
      <c r="D32">
        <f t="shared" si="0"/>
        <v>56.058056373580143</v>
      </c>
      <c r="E32">
        <f t="shared" si="1"/>
        <v>55.482073584144963</v>
      </c>
      <c r="F32">
        <f t="shared" si="2"/>
        <v>56.634039163015323</v>
      </c>
    </row>
    <row r="33" spans="1:6" x14ac:dyDescent="0.3">
      <c r="A33">
        <f t="shared" si="3"/>
        <v>2021</v>
      </c>
      <c r="B33">
        <f>[1]RCT!B33</f>
        <v>29569</v>
      </c>
      <c r="C33">
        <f>[1]RCT!C33</f>
        <v>16539</v>
      </c>
      <c r="D33">
        <f t="shared" si="0"/>
        <v>55.933579086205143</v>
      </c>
      <c r="E33">
        <f t="shared" si="1"/>
        <v>55.367694392784593</v>
      </c>
      <c r="F33">
        <f t="shared" si="2"/>
        <v>56.499463779625692</v>
      </c>
    </row>
    <row r="34" spans="1:6" x14ac:dyDescent="0.3">
      <c r="A34">
        <f t="shared" si="3"/>
        <v>2022</v>
      </c>
      <c r="B34">
        <f>[1]RCT!B34</f>
        <v>28591</v>
      </c>
      <c r="C34">
        <f>[1]RCT!C34</f>
        <v>15884</v>
      </c>
      <c r="D34">
        <f t="shared" si="0"/>
        <v>55.555944178237901</v>
      </c>
      <c r="E34">
        <f t="shared" si="1"/>
        <v>54.979956083147584</v>
      </c>
      <c r="F34">
        <f t="shared" si="2"/>
        <v>56.131932273328218</v>
      </c>
    </row>
    <row r="35" spans="1:6" x14ac:dyDescent="0.3">
      <c r="A35">
        <f t="shared" si="3"/>
        <v>2023</v>
      </c>
      <c r="B35">
        <f>[1]RCT!B35</f>
        <v>25344</v>
      </c>
      <c r="C35">
        <f>[1]RCT!C35</f>
        <v>14066</v>
      </c>
      <c r="D35">
        <f t="shared" si="0"/>
        <v>55.500315656565661</v>
      </c>
      <c r="E35">
        <f t="shared" si="1"/>
        <v>54.8884660527523</v>
      </c>
      <c r="F35">
        <f t="shared" si="2"/>
        <v>56.112165260379022</v>
      </c>
    </row>
    <row r="36" spans="1:6" x14ac:dyDescent="0.3">
      <c r="A36">
        <f t="shared" si="3"/>
        <v>2024</v>
      </c>
      <c r="B36">
        <f>[1]RCT!B36</f>
        <v>27230</v>
      </c>
      <c r="C36">
        <f>[1]RCT!C36</f>
        <v>15733</v>
      </c>
      <c r="D36">
        <f t="shared" si="0"/>
        <v>57.778185824458319</v>
      </c>
      <c r="E36">
        <f t="shared" si="1"/>
        <v>57.191531000217012</v>
      </c>
      <c r="F36">
        <f t="shared" si="2"/>
        <v>58.364840648699627</v>
      </c>
    </row>
    <row r="37" spans="1:6" x14ac:dyDescent="0.3">
      <c r="A37">
        <v>2025</v>
      </c>
      <c r="B37">
        <f>[1]RCT!B37</f>
        <v>17160</v>
      </c>
      <c r="C37">
        <f>[1]RCT!C37</f>
        <v>10002</v>
      </c>
      <c r="D37">
        <f t="shared" si="0"/>
        <v>58.286713286713287</v>
      </c>
      <c r="E37">
        <f t="shared" si="1"/>
        <v>57.548945959359862</v>
      </c>
      <c r="F37">
        <f t="shared" si="2"/>
        <v>59.024480614066711</v>
      </c>
    </row>
    <row r="38" spans="1:6" x14ac:dyDescent="0.3">
      <c r="A38" t="s">
        <v>8</v>
      </c>
      <c r="B38">
        <f>[1]RCT!B38</f>
        <v>668641</v>
      </c>
      <c r="C38">
        <f>[1]RCT!C38</f>
        <v>348180</v>
      </c>
    </row>
    <row r="39" spans="1:6" x14ac:dyDescent="0.3">
      <c r="A39" t="s">
        <v>6</v>
      </c>
      <c r="B39">
        <f>[1]RCT!B39</f>
        <v>29674</v>
      </c>
      <c r="C39">
        <f>[1]RCT!C39</f>
        <v>16539</v>
      </c>
      <c r="D39">
        <f>MAX(D2:D37)</f>
        <v>58.286713286713287</v>
      </c>
    </row>
    <row r="40" spans="1:6" x14ac:dyDescent="0.3">
      <c r="A40" t="s">
        <v>7</v>
      </c>
      <c r="B40">
        <f>[1]RCT!B40</f>
        <v>6146</v>
      </c>
      <c r="C40">
        <f>[1]RCT!C40</f>
        <v>2091</v>
      </c>
      <c r="D40">
        <f>MIN(D2:D37)</f>
        <v>34.022128213472172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08FDB-F9C6-D64A-BF7D-42F8BBB6E5C4}">
  <dimension ref="A1:F40"/>
  <sheetViews>
    <sheetView topLeftCell="A7" workbookViewId="0">
      <selection activeCell="A37" sqref="A37:XFD37"/>
    </sheetView>
  </sheetViews>
  <sheetFormatPr defaultColWidth="11.44140625" defaultRowHeight="17.25" x14ac:dyDescent="0.3"/>
  <sheetData>
    <row r="1" spans="1:6" x14ac:dyDescent="0.3">
      <c r="A1" t="s">
        <v>0</v>
      </c>
      <c r="B1" t="str">
        <f>[1]CT!B1</f>
        <v>Total article count</v>
      </c>
      <c r="C1" t="str">
        <f>[1]CT!C1</f>
        <v>HasPvalue</v>
      </c>
      <c r="D1" t="s">
        <v>1</v>
      </c>
      <c r="E1" t="s">
        <v>24</v>
      </c>
      <c r="F1" t="s">
        <v>25</v>
      </c>
    </row>
    <row r="2" spans="1:6" x14ac:dyDescent="0.3">
      <c r="A2">
        <v>1990</v>
      </c>
      <c r="B2">
        <f>[1]CT!B2</f>
        <v>4068</v>
      </c>
      <c r="C2">
        <f>[1]CT!C2</f>
        <v>746</v>
      </c>
      <c r="D2">
        <f>C2/B2*100</f>
        <v>18.33824975417896</v>
      </c>
      <c r="E2">
        <f>D2-1.96*SQRT(D2*(100-D2)/B2)</f>
        <v>17.149052541036717</v>
      </c>
      <c r="F2">
        <f>D2+1.96*SQRT(D2*(100-D2)/B2)</f>
        <v>19.527446967321204</v>
      </c>
    </row>
    <row r="3" spans="1:6" x14ac:dyDescent="0.3">
      <c r="A3">
        <v>1991</v>
      </c>
      <c r="B3">
        <f>[1]CT!B3</f>
        <v>4160</v>
      </c>
      <c r="C3">
        <f>[1]CT!C3</f>
        <v>857</v>
      </c>
      <c r="D3">
        <f t="shared" ref="D3:D37" si="0">C3/B3*100</f>
        <v>20.600961538461537</v>
      </c>
      <c r="E3">
        <f t="shared" ref="E3:E37" si="1">D3-1.96*SQRT(D3*(100-D3)/B3)</f>
        <v>19.37193637964252</v>
      </c>
      <c r="F3">
        <f t="shared" ref="F3:F37" si="2">D3+1.96*SQRT(D3*(100-D3)/B3)</f>
        <v>21.829986697280553</v>
      </c>
    </row>
    <row r="4" spans="1:6" x14ac:dyDescent="0.3">
      <c r="A4">
        <f>A2+2</f>
        <v>1992</v>
      </c>
      <c r="B4">
        <f>[1]CT!B4</f>
        <v>3780</v>
      </c>
      <c r="C4">
        <f>[1]CT!C4</f>
        <v>783</v>
      </c>
      <c r="D4">
        <f t="shared" si="0"/>
        <v>20.714285714285715</v>
      </c>
      <c r="E4">
        <f t="shared" si="1"/>
        <v>19.422344883167234</v>
      </c>
      <c r="F4">
        <f t="shared" si="2"/>
        <v>22.006226545404196</v>
      </c>
    </row>
    <row r="5" spans="1:6" x14ac:dyDescent="0.3">
      <c r="A5">
        <f t="shared" ref="A5:A36" si="3">A3+2</f>
        <v>1993</v>
      </c>
      <c r="B5">
        <f>[1]CT!B5</f>
        <v>3701</v>
      </c>
      <c r="C5">
        <f>[1]CT!C5</f>
        <v>864</v>
      </c>
      <c r="D5">
        <f t="shared" si="0"/>
        <v>23.345041880572818</v>
      </c>
      <c r="E5">
        <f t="shared" si="1"/>
        <v>21.982141907822086</v>
      </c>
      <c r="F5">
        <f t="shared" si="2"/>
        <v>24.70794185332355</v>
      </c>
    </row>
    <row r="6" spans="1:6" x14ac:dyDescent="0.3">
      <c r="A6">
        <f t="shared" si="3"/>
        <v>1994</v>
      </c>
      <c r="B6">
        <f>[1]CT!B6</f>
        <v>8513</v>
      </c>
      <c r="C6">
        <f>[1]CT!C6</f>
        <v>2145</v>
      </c>
      <c r="D6">
        <f t="shared" si="0"/>
        <v>25.196757899682837</v>
      </c>
      <c r="E6">
        <f t="shared" si="1"/>
        <v>24.274510802595756</v>
      </c>
      <c r="F6">
        <f t="shared" si="2"/>
        <v>26.119004996769917</v>
      </c>
    </row>
    <row r="7" spans="1:6" x14ac:dyDescent="0.3">
      <c r="A7">
        <f t="shared" si="3"/>
        <v>1995</v>
      </c>
      <c r="B7">
        <f>[1]CT!B7</f>
        <v>9318</v>
      </c>
      <c r="C7">
        <f>[1]CT!C7</f>
        <v>2290</v>
      </c>
      <c r="D7">
        <f t="shared" si="0"/>
        <v>24.576089289547113</v>
      </c>
      <c r="E7">
        <f t="shared" si="1"/>
        <v>23.701899701079512</v>
      </c>
      <c r="F7">
        <f t="shared" si="2"/>
        <v>25.450278878014714</v>
      </c>
    </row>
    <row r="8" spans="1:6" x14ac:dyDescent="0.3">
      <c r="A8">
        <f t="shared" si="3"/>
        <v>1996</v>
      </c>
      <c r="B8">
        <f>[1]CT!B8</f>
        <v>8830</v>
      </c>
      <c r="C8">
        <f>[1]CT!C8</f>
        <v>2245</v>
      </c>
      <c r="D8">
        <f t="shared" si="0"/>
        <v>25.424688561721403</v>
      </c>
      <c r="E8">
        <f t="shared" si="1"/>
        <v>24.516447613394615</v>
      </c>
      <c r="F8">
        <f t="shared" si="2"/>
        <v>26.332929510048192</v>
      </c>
    </row>
    <row r="9" spans="1:6" x14ac:dyDescent="0.3">
      <c r="A9">
        <f t="shared" si="3"/>
        <v>1997</v>
      </c>
      <c r="B9">
        <f>[1]CT!B9</f>
        <v>10309</v>
      </c>
      <c r="C9">
        <f>[1]CT!C9</f>
        <v>2581</v>
      </c>
      <c r="D9">
        <f t="shared" si="0"/>
        <v>25.036375982151522</v>
      </c>
      <c r="E9">
        <f t="shared" si="1"/>
        <v>24.20008229035027</v>
      </c>
      <c r="F9">
        <f t="shared" si="2"/>
        <v>25.872669673952775</v>
      </c>
    </row>
    <row r="10" spans="1:6" x14ac:dyDescent="0.3">
      <c r="A10">
        <f t="shared" si="3"/>
        <v>1998</v>
      </c>
      <c r="B10">
        <f>[1]CT!B10</f>
        <v>10351</v>
      </c>
      <c r="C10">
        <f>[1]CT!C10</f>
        <v>2676</v>
      </c>
      <c r="D10">
        <f t="shared" si="0"/>
        <v>25.852574630470489</v>
      </c>
      <c r="E10">
        <f t="shared" si="1"/>
        <v>25.009113924422135</v>
      </c>
      <c r="F10">
        <f t="shared" si="2"/>
        <v>26.696035336518843</v>
      </c>
    </row>
    <row r="11" spans="1:6" x14ac:dyDescent="0.3">
      <c r="A11">
        <f t="shared" si="3"/>
        <v>1999</v>
      </c>
      <c r="B11">
        <f>[1]CT!B11</f>
        <v>11277</v>
      </c>
      <c r="C11">
        <f>[1]CT!C11</f>
        <v>3059</v>
      </c>
      <c r="D11">
        <f t="shared" si="0"/>
        <v>27.126008690254501</v>
      </c>
      <c r="E11">
        <f t="shared" si="1"/>
        <v>26.305395473028387</v>
      </c>
      <c r="F11">
        <f t="shared" si="2"/>
        <v>27.946621907480615</v>
      </c>
    </row>
    <row r="12" spans="1:6" x14ac:dyDescent="0.3">
      <c r="A12">
        <f t="shared" si="3"/>
        <v>2000</v>
      </c>
      <c r="B12">
        <f>[1]CT!B12</f>
        <v>10709</v>
      </c>
      <c r="C12">
        <f>[1]CT!C12</f>
        <v>3132</v>
      </c>
      <c r="D12">
        <f t="shared" si="0"/>
        <v>29.246428237930711</v>
      </c>
      <c r="E12">
        <f t="shared" si="1"/>
        <v>28.384854973575464</v>
      </c>
      <c r="F12">
        <f t="shared" si="2"/>
        <v>30.108001502285958</v>
      </c>
    </row>
    <row r="13" spans="1:6" x14ac:dyDescent="0.3">
      <c r="A13">
        <f t="shared" si="3"/>
        <v>2001</v>
      </c>
      <c r="B13">
        <f>[1]CT!B13</f>
        <v>8921</v>
      </c>
      <c r="C13">
        <f>[1]CT!C13</f>
        <v>2620</v>
      </c>
      <c r="D13">
        <f t="shared" si="0"/>
        <v>29.368904831296938</v>
      </c>
      <c r="E13">
        <f t="shared" si="1"/>
        <v>28.423775703632035</v>
      </c>
      <c r="F13">
        <f t="shared" si="2"/>
        <v>30.31403395896184</v>
      </c>
    </row>
    <row r="14" spans="1:6" x14ac:dyDescent="0.3">
      <c r="A14">
        <f t="shared" si="3"/>
        <v>2002</v>
      </c>
      <c r="B14">
        <f>[1]CT!B14</f>
        <v>9296</v>
      </c>
      <c r="C14">
        <f>[1]CT!C14</f>
        <v>2826</v>
      </c>
      <c r="D14">
        <f t="shared" si="0"/>
        <v>30.400172117039588</v>
      </c>
      <c r="E14">
        <f t="shared" si="1"/>
        <v>29.465089210975695</v>
      </c>
      <c r="F14">
        <f t="shared" si="2"/>
        <v>31.335255023103482</v>
      </c>
    </row>
    <row r="15" spans="1:6" x14ac:dyDescent="0.3">
      <c r="A15">
        <f t="shared" si="3"/>
        <v>2003</v>
      </c>
      <c r="B15">
        <f>[1]CT!B15</f>
        <v>11233</v>
      </c>
      <c r="C15">
        <f>[1]CT!C15</f>
        <v>3577</v>
      </c>
      <c r="D15">
        <f t="shared" si="0"/>
        <v>31.843674886495148</v>
      </c>
      <c r="E15">
        <f t="shared" si="1"/>
        <v>30.982140005395784</v>
      </c>
      <c r="F15">
        <f t="shared" si="2"/>
        <v>32.705209767594511</v>
      </c>
    </row>
    <row r="16" spans="1:6" x14ac:dyDescent="0.3">
      <c r="A16">
        <f t="shared" si="3"/>
        <v>2004</v>
      </c>
      <c r="B16">
        <f>[1]CT!B16</f>
        <v>12339</v>
      </c>
      <c r="C16">
        <f>[1]CT!C16</f>
        <v>3841</v>
      </c>
      <c r="D16">
        <f t="shared" si="0"/>
        <v>31.128940756949508</v>
      </c>
      <c r="E16">
        <f t="shared" si="1"/>
        <v>30.31195094282111</v>
      </c>
      <c r="F16">
        <f t="shared" si="2"/>
        <v>31.945930571077906</v>
      </c>
    </row>
    <row r="17" spans="1:6" x14ac:dyDescent="0.3">
      <c r="A17">
        <f t="shared" si="3"/>
        <v>2005</v>
      </c>
      <c r="B17">
        <f>[1]CT!B17</f>
        <v>13858</v>
      </c>
      <c r="C17">
        <f>[1]CT!C17</f>
        <v>4328</v>
      </c>
      <c r="D17">
        <f t="shared" si="0"/>
        <v>31.231057872708906</v>
      </c>
      <c r="E17">
        <f t="shared" si="1"/>
        <v>30.459452376978078</v>
      </c>
      <c r="F17">
        <f t="shared" si="2"/>
        <v>32.002663368439734</v>
      </c>
    </row>
    <row r="18" spans="1:6" x14ac:dyDescent="0.3">
      <c r="A18">
        <f t="shared" si="3"/>
        <v>2006</v>
      </c>
      <c r="B18">
        <f>[1]CT!B18</f>
        <v>12375</v>
      </c>
      <c r="C18">
        <f>[1]CT!C18</f>
        <v>4111</v>
      </c>
      <c r="D18">
        <f t="shared" si="0"/>
        <v>33.220202020202024</v>
      </c>
      <c r="E18">
        <f t="shared" si="1"/>
        <v>32.390337585384039</v>
      </c>
      <c r="F18">
        <f t="shared" si="2"/>
        <v>34.050066455020009</v>
      </c>
    </row>
    <row r="19" spans="1:6" x14ac:dyDescent="0.3">
      <c r="A19">
        <f t="shared" si="3"/>
        <v>2007</v>
      </c>
      <c r="B19">
        <f>[1]CT!B19</f>
        <v>11756</v>
      </c>
      <c r="C19">
        <f>[1]CT!C19</f>
        <v>4113</v>
      </c>
      <c r="D19">
        <f t="shared" si="0"/>
        <v>34.986389928547126</v>
      </c>
      <c r="E19">
        <f t="shared" si="1"/>
        <v>34.124249542160094</v>
      </c>
      <c r="F19">
        <f t="shared" si="2"/>
        <v>35.848530314934159</v>
      </c>
    </row>
    <row r="20" spans="1:6" x14ac:dyDescent="0.3">
      <c r="A20">
        <f t="shared" si="3"/>
        <v>2008</v>
      </c>
      <c r="B20">
        <f>[1]CT!B20</f>
        <v>10830</v>
      </c>
      <c r="C20">
        <f>[1]CT!C20</f>
        <v>3866</v>
      </c>
      <c r="D20">
        <f t="shared" si="0"/>
        <v>35.697137580794092</v>
      </c>
      <c r="E20">
        <f t="shared" si="1"/>
        <v>34.794790344560703</v>
      </c>
      <c r="F20">
        <f t="shared" si="2"/>
        <v>36.599484817027481</v>
      </c>
    </row>
    <row r="21" spans="1:6" x14ac:dyDescent="0.3">
      <c r="A21">
        <f t="shared" si="3"/>
        <v>2009</v>
      </c>
      <c r="B21">
        <f>[1]CT!B21</f>
        <v>10579</v>
      </c>
      <c r="C21">
        <f>[1]CT!C21</f>
        <v>3724</v>
      </c>
      <c r="D21">
        <f t="shared" si="0"/>
        <v>35.2018149163437</v>
      </c>
      <c r="E21">
        <f t="shared" si="1"/>
        <v>34.291696900421108</v>
      </c>
      <c r="F21">
        <f t="shared" si="2"/>
        <v>36.111932932266292</v>
      </c>
    </row>
    <row r="22" spans="1:6" x14ac:dyDescent="0.3">
      <c r="A22">
        <f t="shared" si="3"/>
        <v>2010</v>
      </c>
      <c r="B22">
        <f>[1]CT!B22</f>
        <v>10737</v>
      </c>
      <c r="C22">
        <f>[1]CT!C22</f>
        <v>3910</v>
      </c>
      <c r="D22">
        <f t="shared" si="0"/>
        <v>36.416131135326438</v>
      </c>
      <c r="E22">
        <f t="shared" si="1"/>
        <v>35.505935032177604</v>
      </c>
      <c r="F22">
        <f t="shared" si="2"/>
        <v>37.326327238475272</v>
      </c>
    </row>
    <row r="23" spans="1:6" x14ac:dyDescent="0.3">
      <c r="A23">
        <f t="shared" si="3"/>
        <v>2011</v>
      </c>
      <c r="B23">
        <f>[1]CT!B23</f>
        <v>12198</v>
      </c>
      <c r="C23">
        <f>[1]CT!C23</f>
        <v>4521</v>
      </c>
      <c r="D23">
        <f t="shared" si="0"/>
        <v>37.063453025086076</v>
      </c>
      <c r="E23">
        <f t="shared" si="1"/>
        <v>36.206343835138213</v>
      </c>
      <c r="F23">
        <f t="shared" si="2"/>
        <v>37.920562215033939</v>
      </c>
    </row>
    <row r="24" spans="1:6" x14ac:dyDescent="0.3">
      <c r="A24">
        <f>A22+2</f>
        <v>2012</v>
      </c>
      <c r="B24">
        <f>[1]CT!B24</f>
        <v>13483</v>
      </c>
      <c r="C24">
        <f>[1]CT!C24</f>
        <v>5008</v>
      </c>
      <c r="D24">
        <f t="shared" si="0"/>
        <v>37.143069049914708</v>
      </c>
      <c r="E24">
        <f t="shared" si="1"/>
        <v>36.327467047960447</v>
      </c>
      <c r="F24">
        <f t="shared" si="2"/>
        <v>37.958671051868969</v>
      </c>
    </row>
    <row r="25" spans="1:6" x14ac:dyDescent="0.3">
      <c r="A25">
        <f t="shared" si="3"/>
        <v>2013</v>
      </c>
      <c r="B25">
        <f>[1]CT!B25</f>
        <v>13984</v>
      </c>
      <c r="C25">
        <f>[1]CT!C25</f>
        <v>5380</v>
      </c>
      <c r="D25">
        <f t="shared" si="0"/>
        <v>38.472540045766593</v>
      </c>
      <c r="E25">
        <f t="shared" si="1"/>
        <v>37.666140476525761</v>
      </c>
      <c r="F25">
        <f t="shared" si="2"/>
        <v>39.278939615007424</v>
      </c>
    </row>
    <row r="26" spans="1:6" x14ac:dyDescent="0.3">
      <c r="A26">
        <f t="shared" si="3"/>
        <v>2014</v>
      </c>
      <c r="B26">
        <f>[1]CT!B26</f>
        <v>12927</v>
      </c>
      <c r="C26">
        <f>[1]CT!C26</f>
        <v>4993</v>
      </c>
      <c r="D26">
        <f t="shared" si="0"/>
        <v>38.624584203604854</v>
      </c>
      <c r="E26">
        <f t="shared" si="1"/>
        <v>37.78524727906035</v>
      </c>
      <c r="F26">
        <f t="shared" si="2"/>
        <v>39.463921128149359</v>
      </c>
    </row>
    <row r="27" spans="1:6" x14ac:dyDescent="0.3">
      <c r="A27">
        <f t="shared" si="3"/>
        <v>2015</v>
      </c>
      <c r="B27">
        <f>[1]CT!B27</f>
        <v>11502</v>
      </c>
      <c r="C27">
        <f>[1]CT!C27</f>
        <v>4590</v>
      </c>
      <c r="D27">
        <f t="shared" si="0"/>
        <v>39.906103286384976</v>
      </c>
      <c r="E27">
        <f t="shared" si="1"/>
        <v>39.011142031620935</v>
      </c>
      <c r="F27">
        <f t="shared" si="2"/>
        <v>40.801064541149017</v>
      </c>
    </row>
    <row r="28" spans="1:6" x14ac:dyDescent="0.3">
      <c r="A28">
        <f t="shared" si="3"/>
        <v>2016</v>
      </c>
      <c r="B28">
        <f>[1]CT!B28</f>
        <v>9988</v>
      </c>
      <c r="C28">
        <f>[1]CT!C28</f>
        <v>4000</v>
      </c>
      <c r="D28">
        <f t="shared" si="0"/>
        <v>40.04805766920304</v>
      </c>
      <c r="E28">
        <f t="shared" si="1"/>
        <v>39.087089146277464</v>
      </c>
      <c r="F28">
        <f t="shared" si="2"/>
        <v>41.009026192128616</v>
      </c>
    </row>
    <row r="29" spans="1:6" x14ac:dyDescent="0.3">
      <c r="A29">
        <f t="shared" si="3"/>
        <v>2017</v>
      </c>
      <c r="B29">
        <f>[1]CT!B29</f>
        <v>9482</v>
      </c>
      <c r="C29">
        <f>[1]CT!C29</f>
        <v>3747</v>
      </c>
      <c r="D29">
        <f t="shared" si="0"/>
        <v>39.516979540181396</v>
      </c>
      <c r="E29">
        <f t="shared" si="1"/>
        <v>38.532935121275315</v>
      </c>
      <c r="F29">
        <f t="shared" si="2"/>
        <v>40.501023959087476</v>
      </c>
    </row>
    <row r="30" spans="1:6" x14ac:dyDescent="0.3">
      <c r="A30">
        <f t="shared" si="3"/>
        <v>2018</v>
      </c>
      <c r="B30">
        <f>[1]CT!B30</f>
        <v>9557</v>
      </c>
      <c r="C30">
        <f>[1]CT!C30</f>
        <v>3708</v>
      </c>
      <c r="D30">
        <f t="shared" si="0"/>
        <v>38.798786229988494</v>
      </c>
      <c r="E30">
        <f t="shared" si="1"/>
        <v>37.821809171305858</v>
      </c>
      <c r="F30">
        <f t="shared" si="2"/>
        <v>39.775763288671129</v>
      </c>
    </row>
    <row r="31" spans="1:6" x14ac:dyDescent="0.3">
      <c r="A31">
        <f t="shared" si="3"/>
        <v>2019</v>
      </c>
      <c r="B31">
        <f>[1]CT!B31</f>
        <v>9701</v>
      </c>
      <c r="C31">
        <f>[1]CT!C31</f>
        <v>3660</v>
      </c>
      <c r="D31">
        <f t="shared" si="0"/>
        <v>37.728069271209151</v>
      </c>
      <c r="E31">
        <f t="shared" si="1"/>
        <v>36.763515873861387</v>
      </c>
      <c r="F31">
        <f t="shared" si="2"/>
        <v>38.692622668556915</v>
      </c>
    </row>
    <row r="32" spans="1:6" x14ac:dyDescent="0.3">
      <c r="A32">
        <f t="shared" si="3"/>
        <v>2020</v>
      </c>
      <c r="B32">
        <f>[1]CT!B32</f>
        <v>8039</v>
      </c>
      <c r="C32">
        <f>[1]CT!C32</f>
        <v>2855</v>
      </c>
      <c r="D32">
        <f t="shared" si="0"/>
        <v>35.514367458639136</v>
      </c>
      <c r="E32">
        <f t="shared" si="1"/>
        <v>34.468230414084111</v>
      </c>
      <c r="F32">
        <f t="shared" si="2"/>
        <v>36.56050450319416</v>
      </c>
    </row>
    <row r="33" spans="1:6" x14ac:dyDescent="0.3">
      <c r="A33">
        <f t="shared" si="3"/>
        <v>2021</v>
      </c>
      <c r="B33">
        <f>[1]CT!B33</f>
        <v>7713</v>
      </c>
      <c r="C33">
        <f>[1]CT!C33</f>
        <v>2678</v>
      </c>
      <c r="D33">
        <f t="shared" si="0"/>
        <v>34.7206015817451</v>
      </c>
      <c r="E33">
        <f t="shared" si="1"/>
        <v>33.658108531306461</v>
      </c>
      <c r="F33">
        <f t="shared" si="2"/>
        <v>35.78309463218374</v>
      </c>
    </row>
    <row r="34" spans="1:6" x14ac:dyDescent="0.3">
      <c r="A34">
        <f t="shared" si="3"/>
        <v>2022</v>
      </c>
      <c r="B34">
        <f>[1]CT!B34</f>
        <v>5699</v>
      </c>
      <c r="C34">
        <f>[1]CT!C34</f>
        <v>2016</v>
      </c>
      <c r="D34">
        <f t="shared" si="0"/>
        <v>35.374627127566235</v>
      </c>
      <c r="E34">
        <f t="shared" si="1"/>
        <v>34.133248656608863</v>
      </c>
      <c r="F34">
        <f t="shared" si="2"/>
        <v>36.616005598523607</v>
      </c>
    </row>
    <row r="35" spans="1:6" x14ac:dyDescent="0.3">
      <c r="A35">
        <f t="shared" si="3"/>
        <v>2023</v>
      </c>
      <c r="B35">
        <f>[1]CT!B35</f>
        <v>4691</v>
      </c>
      <c r="C35">
        <f>[1]CT!C35</f>
        <v>1640</v>
      </c>
      <c r="D35">
        <f t="shared" si="0"/>
        <v>34.96056277979109</v>
      </c>
      <c r="E35">
        <f t="shared" si="1"/>
        <v>33.595976658922325</v>
      </c>
      <c r="F35">
        <f t="shared" si="2"/>
        <v>36.325148900659855</v>
      </c>
    </row>
    <row r="36" spans="1:6" x14ac:dyDescent="0.3">
      <c r="A36">
        <f t="shared" si="3"/>
        <v>2024</v>
      </c>
      <c r="B36">
        <f>[1]CT!B36</f>
        <v>4351</v>
      </c>
      <c r="C36">
        <f>[1]CT!C36</f>
        <v>1351</v>
      </c>
      <c r="D36">
        <f t="shared" si="0"/>
        <v>31.050333256722588</v>
      </c>
      <c r="E36">
        <f t="shared" si="1"/>
        <v>29.675466065908502</v>
      </c>
      <c r="F36">
        <f t="shared" si="2"/>
        <v>32.425200447536675</v>
      </c>
    </row>
    <row r="37" spans="1:6" x14ac:dyDescent="0.3">
      <c r="A37">
        <v>2025</v>
      </c>
      <c r="B37">
        <f>[1]CT!B37</f>
        <v>2848</v>
      </c>
      <c r="C37">
        <f>[1]CT!C37</f>
        <v>869</v>
      </c>
      <c r="D37">
        <f t="shared" si="0"/>
        <v>30.512640449438202</v>
      </c>
      <c r="E37">
        <f t="shared" si="1"/>
        <v>28.821503107689228</v>
      </c>
      <c r="F37">
        <f t="shared" si="2"/>
        <v>32.203777791187171</v>
      </c>
    </row>
    <row r="38" spans="1:6" x14ac:dyDescent="0.3">
      <c r="A38" t="s">
        <v>8</v>
      </c>
      <c r="B38">
        <f>[1]CT!B38</f>
        <v>333103</v>
      </c>
      <c r="C38">
        <f>[1]CT!C38</f>
        <v>109310</v>
      </c>
    </row>
    <row r="39" spans="1:6" x14ac:dyDescent="0.3">
      <c r="A39" t="s">
        <v>6</v>
      </c>
      <c r="B39">
        <f>[1]CT!B39</f>
        <v>13984</v>
      </c>
      <c r="C39">
        <f>[1]CT!C39</f>
        <v>5380</v>
      </c>
      <c r="D39">
        <f>MAX(D2:D37)</f>
        <v>40.04805766920304</v>
      </c>
    </row>
    <row r="40" spans="1:6" x14ac:dyDescent="0.3">
      <c r="A40" t="s">
        <v>7</v>
      </c>
      <c r="B40">
        <f>[1]CT!B40</f>
        <v>2848</v>
      </c>
      <c r="C40">
        <f>[1]CT!C40</f>
        <v>746</v>
      </c>
      <c r="D40">
        <f>MIN(D2:D37)</f>
        <v>18.33824975417896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2C2CD-24FE-6D4C-A3BD-D43803597F49}">
  <dimension ref="A1:F40"/>
  <sheetViews>
    <sheetView workbookViewId="0">
      <selection activeCell="A37" sqref="A37:XFD37"/>
    </sheetView>
  </sheetViews>
  <sheetFormatPr defaultColWidth="11.44140625" defaultRowHeight="17.25" x14ac:dyDescent="0.3"/>
  <sheetData>
    <row r="1" spans="1:6" x14ac:dyDescent="0.3">
      <c r="A1" t="s">
        <v>0</v>
      </c>
      <c r="B1" t="str">
        <f>[1]META!B1</f>
        <v>Total article count</v>
      </c>
      <c r="C1" t="str">
        <f>[1]META!C1</f>
        <v>HasPvalue</v>
      </c>
      <c r="D1" t="s">
        <v>1</v>
      </c>
      <c r="E1" t="s">
        <v>24</v>
      </c>
      <c r="F1" t="s">
        <v>25</v>
      </c>
    </row>
    <row r="2" spans="1:6" x14ac:dyDescent="0.3">
      <c r="A2">
        <v>1990</v>
      </c>
      <c r="B2">
        <f>[1]META!B2</f>
        <v>214</v>
      </c>
      <c r="C2">
        <f>[1]META!C2</f>
        <v>30</v>
      </c>
      <c r="D2">
        <f>C2/B2*100</f>
        <v>14.018691588785046</v>
      </c>
      <c r="E2">
        <f>D2-1.96*SQRT(D2*(100-D2)/B2)</f>
        <v>9.3670638656475962</v>
      </c>
      <c r="F2">
        <f>D2+1.96*SQRT(D2*(100-D2)/B2)</f>
        <v>18.670319311922498</v>
      </c>
    </row>
    <row r="3" spans="1:6" x14ac:dyDescent="0.3">
      <c r="A3">
        <v>1991</v>
      </c>
      <c r="B3">
        <f>[1]META!B3</f>
        <v>268</v>
      </c>
      <c r="C3">
        <f>[1]META!C3</f>
        <v>35</v>
      </c>
      <c r="D3">
        <f t="shared" ref="D3:D37" si="0">C3/B3*100</f>
        <v>13.059701492537313</v>
      </c>
      <c r="E3">
        <f t="shared" ref="E3:E37" si="1">D3-1.96*SQRT(D3*(100-D3)/B3)</f>
        <v>9.0254231108736462</v>
      </c>
      <c r="F3">
        <f t="shared" ref="F3:F37" si="2">D3+1.96*SQRT(D3*(100-D3)/B3)</f>
        <v>17.093979874200979</v>
      </c>
    </row>
    <row r="4" spans="1:6" x14ac:dyDescent="0.3">
      <c r="A4">
        <f>A2+2</f>
        <v>1992</v>
      </c>
      <c r="B4">
        <f>[1]META!B4</f>
        <v>304</v>
      </c>
      <c r="C4">
        <f>[1]META!C4</f>
        <v>41</v>
      </c>
      <c r="D4">
        <f t="shared" si="0"/>
        <v>13.486842105263158</v>
      </c>
      <c r="E4">
        <f t="shared" si="1"/>
        <v>9.6469811492894202</v>
      </c>
      <c r="F4">
        <f t="shared" si="2"/>
        <v>17.326703061236895</v>
      </c>
    </row>
    <row r="5" spans="1:6" x14ac:dyDescent="0.3">
      <c r="A5">
        <f t="shared" ref="A5:A20" si="3">A3+2</f>
        <v>1993</v>
      </c>
      <c r="B5">
        <f>[1]META!B5</f>
        <v>274</v>
      </c>
      <c r="C5">
        <f>[1]META!C5</f>
        <v>59</v>
      </c>
      <c r="D5">
        <f t="shared" si="0"/>
        <v>21.532846715328464</v>
      </c>
      <c r="E5">
        <f t="shared" si="1"/>
        <v>16.665688511828595</v>
      </c>
      <c r="F5">
        <f t="shared" si="2"/>
        <v>26.400004918828333</v>
      </c>
    </row>
    <row r="6" spans="1:6" x14ac:dyDescent="0.3">
      <c r="A6">
        <f t="shared" si="3"/>
        <v>1994</v>
      </c>
      <c r="B6">
        <f>[1]META!B6</f>
        <v>348</v>
      </c>
      <c r="C6">
        <f>[1]META!C6</f>
        <v>62</v>
      </c>
      <c r="D6">
        <f t="shared" si="0"/>
        <v>17.816091954022991</v>
      </c>
      <c r="E6">
        <f t="shared" si="1"/>
        <v>13.79572155478111</v>
      </c>
      <c r="F6">
        <f t="shared" si="2"/>
        <v>21.836462353264871</v>
      </c>
    </row>
    <row r="7" spans="1:6" x14ac:dyDescent="0.3">
      <c r="A7">
        <f t="shared" si="3"/>
        <v>1995</v>
      </c>
      <c r="B7">
        <f>[1]META!B7</f>
        <v>395</v>
      </c>
      <c r="C7">
        <f>[1]META!C7</f>
        <v>87</v>
      </c>
      <c r="D7">
        <f t="shared" si="0"/>
        <v>22.025316455696203</v>
      </c>
      <c r="E7">
        <f t="shared" si="1"/>
        <v>17.938403270375417</v>
      </c>
      <c r="F7">
        <f t="shared" si="2"/>
        <v>26.112229641016988</v>
      </c>
    </row>
    <row r="8" spans="1:6" x14ac:dyDescent="0.3">
      <c r="A8">
        <f t="shared" si="3"/>
        <v>1996</v>
      </c>
      <c r="B8">
        <f>[1]META!B8</f>
        <v>445</v>
      </c>
      <c r="C8">
        <f>[1]META!C8</f>
        <v>93</v>
      </c>
      <c r="D8">
        <f t="shared" si="0"/>
        <v>20.898876404494381</v>
      </c>
      <c r="E8">
        <f t="shared" si="1"/>
        <v>17.121164272300209</v>
      </c>
      <c r="F8">
        <f t="shared" si="2"/>
        <v>24.676588536688552</v>
      </c>
    </row>
    <row r="9" spans="1:6" x14ac:dyDescent="0.3">
      <c r="A9">
        <f t="shared" si="3"/>
        <v>1997</v>
      </c>
      <c r="B9">
        <f>[1]META!B9</f>
        <v>548</v>
      </c>
      <c r="C9">
        <f>[1]META!C9</f>
        <v>116</v>
      </c>
      <c r="D9">
        <f t="shared" si="0"/>
        <v>21.167883211678831</v>
      </c>
      <c r="E9">
        <f t="shared" si="1"/>
        <v>17.747646992981892</v>
      </c>
      <c r="F9">
        <f t="shared" si="2"/>
        <v>24.58811943037577</v>
      </c>
    </row>
    <row r="10" spans="1:6" x14ac:dyDescent="0.3">
      <c r="A10">
        <f t="shared" si="3"/>
        <v>1998</v>
      </c>
      <c r="B10">
        <f>[1]META!B10</f>
        <v>588</v>
      </c>
      <c r="C10">
        <f>[1]META!C10</f>
        <v>108</v>
      </c>
      <c r="D10">
        <f t="shared" si="0"/>
        <v>18.367346938775512</v>
      </c>
      <c r="E10">
        <f t="shared" si="1"/>
        <v>15.237503753031707</v>
      </c>
      <c r="F10">
        <f t="shared" si="2"/>
        <v>21.497190124519317</v>
      </c>
    </row>
    <row r="11" spans="1:6" x14ac:dyDescent="0.3">
      <c r="A11">
        <f t="shared" si="3"/>
        <v>1999</v>
      </c>
      <c r="B11">
        <f>[1]META!B11</f>
        <v>681</v>
      </c>
      <c r="C11">
        <f>[1]META!C11</f>
        <v>124</v>
      </c>
      <c r="D11">
        <f t="shared" si="0"/>
        <v>18.208516886930983</v>
      </c>
      <c r="E11">
        <f t="shared" si="1"/>
        <v>15.310013289963413</v>
      </c>
      <c r="F11">
        <f t="shared" si="2"/>
        <v>21.107020483898552</v>
      </c>
    </row>
    <row r="12" spans="1:6" x14ac:dyDescent="0.3">
      <c r="A12">
        <f t="shared" si="3"/>
        <v>2000</v>
      </c>
      <c r="B12">
        <f>[1]META!B12</f>
        <v>793</v>
      </c>
      <c r="C12">
        <f>[1]META!C12</f>
        <v>173</v>
      </c>
      <c r="D12">
        <f t="shared" si="0"/>
        <v>21.815889029003781</v>
      </c>
      <c r="E12">
        <f t="shared" si="1"/>
        <v>18.941370008473537</v>
      </c>
      <c r="F12">
        <f t="shared" si="2"/>
        <v>24.690408049534025</v>
      </c>
    </row>
    <row r="13" spans="1:6" x14ac:dyDescent="0.3">
      <c r="A13">
        <f t="shared" si="3"/>
        <v>2001</v>
      </c>
      <c r="B13">
        <f>[1]META!B13</f>
        <v>861</v>
      </c>
      <c r="C13">
        <f>[1]META!C13</f>
        <v>163</v>
      </c>
      <c r="D13">
        <f t="shared" si="0"/>
        <v>18.931475029036005</v>
      </c>
      <c r="E13">
        <f t="shared" si="1"/>
        <v>16.314661010456874</v>
      </c>
      <c r="F13">
        <f t="shared" si="2"/>
        <v>21.548289047615135</v>
      </c>
    </row>
    <row r="14" spans="1:6" x14ac:dyDescent="0.3">
      <c r="A14">
        <f t="shared" si="3"/>
        <v>2002</v>
      </c>
      <c r="B14">
        <f>[1]META!B14</f>
        <v>1011</v>
      </c>
      <c r="C14">
        <f>[1]META!C14</f>
        <v>209</v>
      </c>
      <c r="D14">
        <f t="shared" si="0"/>
        <v>20.672601384767557</v>
      </c>
      <c r="E14">
        <f t="shared" si="1"/>
        <v>18.176342261287676</v>
      </c>
      <c r="F14">
        <f t="shared" si="2"/>
        <v>23.168860508247437</v>
      </c>
    </row>
    <row r="15" spans="1:6" x14ac:dyDescent="0.3">
      <c r="A15">
        <f t="shared" si="3"/>
        <v>2003</v>
      </c>
      <c r="B15">
        <f>[1]META!B15</f>
        <v>1234</v>
      </c>
      <c r="C15">
        <f>[1]META!C15</f>
        <v>310</v>
      </c>
      <c r="D15">
        <f t="shared" si="0"/>
        <v>25.121555915721235</v>
      </c>
      <c r="E15">
        <f t="shared" si="1"/>
        <v>22.70164062168179</v>
      </c>
      <c r="F15">
        <f t="shared" si="2"/>
        <v>27.54147120976068</v>
      </c>
    </row>
    <row r="16" spans="1:6" x14ac:dyDescent="0.3">
      <c r="A16">
        <f t="shared" si="3"/>
        <v>2004</v>
      </c>
      <c r="B16">
        <f>[1]META!B16</f>
        <v>1533</v>
      </c>
      <c r="C16">
        <f>[1]META!C16</f>
        <v>340</v>
      </c>
      <c r="D16">
        <f t="shared" si="0"/>
        <v>22.17873450750163</v>
      </c>
      <c r="E16">
        <f t="shared" si="1"/>
        <v>20.099025755616637</v>
      </c>
      <c r="F16">
        <f t="shared" si="2"/>
        <v>24.258443259386624</v>
      </c>
    </row>
    <row r="17" spans="1:6" x14ac:dyDescent="0.3">
      <c r="A17">
        <f t="shared" si="3"/>
        <v>2005</v>
      </c>
      <c r="B17">
        <f>[1]META!B17</f>
        <v>2041</v>
      </c>
      <c r="C17">
        <f>[1]META!C17</f>
        <v>485</v>
      </c>
      <c r="D17">
        <f t="shared" si="0"/>
        <v>23.762861342479177</v>
      </c>
      <c r="E17">
        <f t="shared" si="1"/>
        <v>21.916285158854134</v>
      </c>
      <c r="F17">
        <f t="shared" si="2"/>
        <v>25.60943752610422</v>
      </c>
    </row>
    <row r="18" spans="1:6" x14ac:dyDescent="0.3">
      <c r="A18">
        <f t="shared" si="3"/>
        <v>2006</v>
      </c>
      <c r="B18">
        <f>[1]META!B18</f>
        <v>2432</v>
      </c>
      <c r="C18">
        <f>[1]META!C18</f>
        <v>573</v>
      </c>
      <c r="D18">
        <f t="shared" si="0"/>
        <v>23.560855263157894</v>
      </c>
      <c r="E18">
        <f t="shared" si="1"/>
        <v>21.874194580456418</v>
      </c>
      <c r="F18">
        <f t="shared" si="2"/>
        <v>25.247515945859369</v>
      </c>
    </row>
    <row r="19" spans="1:6" x14ac:dyDescent="0.3">
      <c r="A19">
        <f t="shared" si="3"/>
        <v>2007</v>
      </c>
      <c r="B19">
        <f>[1]META!B19</f>
        <v>2742</v>
      </c>
      <c r="C19">
        <f>[1]META!C19</f>
        <v>736</v>
      </c>
      <c r="D19">
        <f t="shared" si="0"/>
        <v>26.841721371261851</v>
      </c>
      <c r="E19">
        <f t="shared" si="1"/>
        <v>25.183054130856085</v>
      </c>
      <c r="F19">
        <f t="shared" si="2"/>
        <v>28.500388611667617</v>
      </c>
    </row>
    <row r="20" spans="1:6" x14ac:dyDescent="0.3">
      <c r="A20">
        <f t="shared" si="3"/>
        <v>2008</v>
      </c>
      <c r="B20">
        <f>[1]META!B20</f>
        <v>3057</v>
      </c>
      <c r="C20">
        <f>[1]META!C20</f>
        <v>855</v>
      </c>
      <c r="D20">
        <f t="shared" si="0"/>
        <v>27.968596663395484</v>
      </c>
      <c r="E20">
        <f t="shared" si="1"/>
        <v>26.377470460034356</v>
      </c>
      <c r="F20">
        <f t="shared" si="2"/>
        <v>29.559722866756612</v>
      </c>
    </row>
    <row r="21" spans="1:6" x14ac:dyDescent="0.3">
      <c r="A21">
        <f t="shared" ref="A21:A36" si="4">A19+2</f>
        <v>2009</v>
      </c>
      <c r="B21">
        <f>[1]META!B21</f>
        <v>3648</v>
      </c>
      <c r="C21">
        <f>[1]META!C21</f>
        <v>1091</v>
      </c>
      <c r="D21">
        <f t="shared" si="0"/>
        <v>29.906798245614034</v>
      </c>
      <c r="E21">
        <f t="shared" si="1"/>
        <v>28.421028310078018</v>
      </c>
      <c r="F21">
        <f t="shared" si="2"/>
        <v>31.39256818115005</v>
      </c>
    </row>
    <row r="22" spans="1:6" x14ac:dyDescent="0.3">
      <c r="A22">
        <f t="shared" si="4"/>
        <v>2010</v>
      </c>
      <c r="B22">
        <f>[1]META!B22</f>
        <v>4510</v>
      </c>
      <c r="C22">
        <f>[1]META!C22</f>
        <v>1430</v>
      </c>
      <c r="D22">
        <f t="shared" si="0"/>
        <v>31.707317073170731</v>
      </c>
      <c r="E22">
        <f t="shared" si="1"/>
        <v>30.349208047251146</v>
      </c>
      <c r="F22">
        <f t="shared" si="2"/>
        <v>33.065426099090317</v>
      </c>
    </row>
    <row r="23" spans="1:6" x14ac:dyDescent="0.3">
      <c r="A23">
        <f t="shared" si="4"/>
        <v>2011</v>
      </c>
      <c r="B23">
        <f>[1]META!B23</f>
        <v>5800</v>
      </c>
      <c r="C23">
        <f>[1]META!C23</f>
        <v>1902</v>
      </c>
      <c r="D23">
        <f t="shared" si="0"/>
        <v>32.793103448275865</v>
      </c>
      <c r="E23">
        <f t="shared" si="1"/>
        <v>31.584899488644375</v>
      </c>
      <c r="F23">
        <f t="shared" si="2"/>
        <v>34.001307407907355</v>
      </c>
    </row>
    <row r="24" spans="1:6" x14ac:dyDescent="0.3">
      <c r="A24">
        <f>A22+2</f>
        <v>2012</v>
      </c>
      <c r="B24">
        <f>[1]META!B24</f>
        <v>7729</v>
      </c>
      <c r="C24">
        <f>[1]META!C24</f>
        <v>2628</v>
      </c>
      <c r="D24">
        <f t="shared" si="0"/>
        <v>34.001811359813686</v>
      </c>
      <c r="E24">
        <f t="shared" si="1"/>
        <v>32.9456957721235</v>
      </c>
      <c r="F24">
        <f t="shared" si="2"/>
        <v>35.057926947503873</v>
      </c>
    </row>
    <row r="25" spans="1:6" x14ac:dyDescent="0.3">
      <c r="A25">
        <f t="shared" si="4"/>
        <v>2013</v>
      </c>
      <c r="B25">
        <f>[1]META!B25</f>
        <v>9546</v>
      </c>
      <c r="C25">
        <f>[1]META!C25</f>
        <v>3439</v>
      </c>
      <c r="D25">
        <f t="shared" si="0"/>
        <v>36.025560444165095</v>
      </c>
      <c r="E25">
        <f t="shared" si="1"/>
        <v>35.062499049134679</v>
      </c>
      <c r="F25">
        <f t="shared" si="2"/>
        <v>36.98862183919551</v>
      </c>
    </row>
    <row r="26" spans="1:6" x14ac:dyDescent="0.3">
      <c r="A26">
        <f t="shared" si="4"/>
        <v>2014</v>
      </c>
      <c r="B26">
        <f>[1]META!B26</f>
        <v>11132</v>
      </c>
      <c r="C26">
        <f>[1]META!C26</f>
        <v>4122</v>
      </c>
      <c r="D26">
        <f t="shared" si="0"/>
        <v>37.02838663312972</v>
      </c>
      <c r="E26">
        <f t="shared" si="1"/>
        <v>36.131351862112354</v>
      </c>
      <c r="F26">
        <f t="shared" si="2"/>
        <v>37.925421404147087</v>
      </c>
    </row>
    <row r="27" spans="1:6" x14ac:dyDescent="0.3">
      <c r="A27">
        <f t="shared" si="4"/>
        <v>2015</v>
      </c>
      <c r="B27">
        <f>[1]META!B27</f>
        <v>12379</v>
      </c>
      <c r="C27">
        <f>[1]META!C27</f>
        <v>4709</v>
      </c>
      <c r="D27">
        <f t="shared" si="0"/>
        <v>38.040229420793281</v>
      </c>
      <c r="E27">
        <f t="shared" si="1"/>
        <v>37.184985975951818</v>
      </c>
      <c r="F27">
        <f t="shared" si="2"/>
        <v>38.895472865634744</v>
      </c>
    </row>
    <row r="28" spans="1:6" x14ac:dyDescent="0.3">
      <c r="A28">
        <f t="shared" si="4"/>
        <v>2016</v>
      </c>
      <c r="B28">
        <f>[1]META!B28</f>
        <v>12998</v>
      </c>
      <c r="C28">
        <f>[1]META!C28</f>
        <v>4834</v>
      </c>
      <c r="D28">
        <f t="shared" si="0"/>
        <v>37.190336974919219</v>
      </c>
      <c r="E28">
        <f t="shared" si="1"/>
        <v>36.359442074588166</v>
      </c>
      <c r="F28">
        <f t="shared" si="2"/>
        <v>38.021231875250272</v>
      </c>
    </row>
    <row r="29" spans="1:6" x14ac:dyDescent="0.3">
      <c r="A29">
        <f t="shared" si="4"/>
        <v>2017</v>
      </c>
      <c r="B29">
        <f>[1]META!B29</f>
        <v>13709</v>
      </c>
      <c r="C29">
        <f>[1]META!C29</f>
        <v>5184</v>
      </c>
      <c r="D29">
        <f t="shared" si="0"/>
        <v>37.814574367204031</v>
      </c>
      <c r="E29">
        <f t="shared" si="1"/>
        <v>37.002815395963154</v>
      </c>
      <c r="F29">
        <f t="shared" si="2"/>
        <v>38.626333338444908</v>
      </c>
    </row>
    <row r="30" spans="1:6" x14ac:dyDescent="0.3">
      <c r="A30">
        <f t="shared" si="4"/>
        <v>2018</v>
      </c>
      <c r="B30">
        <f>[1]META!B30</f>
        <v>14548</v>
      </c>
      <c r="C30">
        <f>[1]META!C30</f>
        <v>5559</v>
      </c>
      <c r="D30">
        <f t="shared" si="0"/>
        <v>38.211437998350291</v>
      </c>
      <c r="E30">
        <f t="shared" si="1"/>
        <v>37.421841597578535</v>
      </c>
      <c r="F30">
        <f t="shared" si="2"/>
        <v>39.001034399122048</v>
      </c>
    </row>
    <row r="31" spans="1:6" x14ac:dyDescent="0.3">
      <c r="A31">
        <f t="shared" si="4"/>
        <v>2019</v>
      </c>
      <c r="B31">
        <f>[1]META!B31</f>
        <v>16283</v>
      </c>
      <c r="C31">
        <f>[1]META!C31</f>
        <v>6204</v>
      </c>
      <c r="D31">
        <f t="shared" si="0"/>
        <v>38.101087023275809</v>
      </c>
      <c r="E31">
        <f t="shared" si="1"/>
        <v>37.355155339806096</v>
      </c>
      <c r="F31">
        <f t="shared" si="2"/>
        <v>38.847018706745523</v>
      </c>
    </row>
    <row r="32" spans="1:6" x14ac:dyDescent="0.3">
      <c r="A32">
        <f t="shared" si="4"/>
        <v>2020</v>
      </c>
      <c r="B32">
        <f>[1]META!B32</f>
        <v>19660</v>
      </c>
      <c r="C32">
        <f>[1]META!C32</f>
        <v>7517</v>
      </c>
      <c r="D32">
        <f t="shared" si="0"/>
        <v>38.234994913530009</v>
      </c>
      <c r="E32">
        <f t="shared" si="1"/>
        <v>37.55568793872758</v>
      </c>
      <c r="F32">
        <f t="shared" si="2"/>
        <v>38.914301888332439</v>
      </c>
    </row>
    <row r="33" spans="1:6" x14ac:dyDescent="0.3">
      <c r="A33">
        <f t="shared" si="4"/>
        <v>2021</v>
      </c>
      <c r="B33">
        <f>[1]META!B33</f>
        <v>22723</v>
      </c>
      <c r="C33">
        <f>[1]META!C33</f>
        <v>8675</v>
      </c>
      <c r="D33">
        <f t="shared" si="0"/>
        <v>38.177177309334155</v>
      </c>
      <c r="E33">
        <f t="shared" si="1"/>
        <v>37.545493770529781</v>
      </c>
      <c r="F33">
        <f t="shared" si="2"/>
        <v>38.808860848138529</v>
      </c>
    </row>
    <row r="34" spans="1:6" x14ac:dyDescent="0.3">
      <c r="A34">
        <f t="shared" si="4"/>
        <v>2022</v>
      </c>
      <c r="B34">
        <f>[1]META!B34</f>
        <v>23300</v>
      </c>
      <c r="C34">
        <f>[1]META!C34</f>
        <v>9009</v>
      </c>
      <c r="D34">
        <f t="shared" si="0"/>
        <v>38.665236051502141</v>
      </c>
      <c r="E34">
        <f t="shared" si="1"/>
        <v>38.039931207674883</v>
      </c>
      <c r="F34">
        <f t="shared" si="2"/>
        <v>39.2905408953294</v>
      </c>
    </row>
    <row r="35" spans="1:6" x14ac:dyDescent="0.3">
      <c r="A35">
        <f t="shared" si="4"/>
        <v>2023</v>
      </c>
      <c r="B35">
        <f>[1]META!B35</f>
        <v>22483</v>
      </c>
      <c r="C35">
        <f>[1]META!C35</f>
        <v>8737</v>
      </c>
      <c r="D35">
        <f t="shared" si="0"/>
        <v>38.860472356891876</v>
      </c>
      <c r="E35">
        <f t="shared" si="1"/>
        <v>38.223318937328798</v>
      </c>
      <c r="F35">
        <f t="shared" si="2"/>
        <v>39.497625776454953</v>
      </c>
    </row>
    <row r="36" spans="1:6" x14ac:dyDescent="0.3">
      <c r="A36">
        <f t="shared" si="4"/>
        <v>2024</v>
      </c>
      <c r="B36">
        <f>[1]META!B36</f>
        <v>23544</v>
      </c>
      <c r="C36">
        <f>[1]META!C36</f>
        <v>9418</v>
      </c>
      <c r="D36">
        <f t="shared" si="0"/>
        <v>40.001698946653072</v>
      </c>
      <c r="E36">
        <f t="shared" si="1"/>
        <v>39.37591467750655</v>
      </c>
      <c r="F36">
        <f t="shared" si="2"/>
        <v>40.627483215799593</v>
      </c>
    </row>
    <row r="37" spans="1:6" x14ac:dyDescent="0.3">
      <c r="A37">
        <v>2025</v>
      </c>
      <c r="B37">
        <f>[1]META!B37</f>
        <v>14518</v>
      </c>
      <c r="C37">
        <f>[1]META!C37</f>
        <v>5955</v>
      </c>
      <c r="D37">
        <f t="shared" si="0"/>
        <v>41.018046562887449</v>
      </c>
      <c r="E37">
        <f t="shared" si="1"/>
        <v>40.217936489567286</v>
      </c>
      <c r="F37">
        <f t="shared" si="2"/>
        <v>41.818156636207611</v>
      </c>
    </row>
    <row r="38" spans="1:6" x14ac:dyDescent="0.3">
      <c r="A38" t="s">
        <v>8</v>
      </c>
      <c r="B38">
        <f>[1]META!B38</f>
        <v>258279</v>
      </c>
      <c r="C38">
        <f>[1]META!C38</f>
        <v>95012</v>
      </c>
    </row>
    <row r="39" spans="1:6" x14ac:dyDescent="0.3">
      <c r="A39" t="s">
        <v>6</v>
      </c>
      <c r="B39">
        <f>[1]META!B39</f>
        <v>23544</v>
      </c>
      <c r="C39">
        <f>[1]META!C39</f>
        <v>9418</v>
      </c>
      <c r="D39">
        <f>MAX(D2:D37)</f>
        <v>41.018046562887449</v>
      </c>
    </row>
    <row r="40" spans="1:6" x14ac:dyDescent="0.3">
      <c r="A40" t="s">
        <v>7</v>
      </c>
      <c r="B40">
        <f>[1]META!B40</f>
        <v>214</v>
      </c>
      <c r="C40">
        <f>[1]META!C40</f>
        <v>30</v>
      </c>
      <c r="D40">
        <f>MIN(D2:D37)</f>
        <v>13.059701492537313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7FCB9-9D3A-054F-B8B7-A2E00083DE64}">
  <dimension ref="A1:F40"/>
  <sheetViews>
    <sheetView workbookViewId="0">
      <selection activeCell="E2" sqref="E2"/>
    </sheetView>
  </sheetViews>
  <sheetFormatPr defaultColWidth="11.44140625" defaultRowHeight="17.25" x14ac:dyDescent="0.3"/>
  <sheetData>
    <row r="1" spans="1:6" x14ac:dyDescent="0.3">
      <c r="A1" t="s">
        <v>0</v>
      </c>
      <c r="B1" t="str">
        <f>[1]REVIEW!B1</f>
        <v>Total article count</v>
      </c>
      <c r="C1" t="str">
        <f>[1]REVIEW!C1</f>
        <v>HasPvalue</v>
      </c>
      <c r="D1" t="s">
        <v>1</v>
      </c>
      <c r="E1" t="s">
        <v>24</v>
      </c>
      <c r="F1" t="s">
        <v>25</v>
      </c>
    </row>
    <row r="2" spans="1:6" x14ac:dyDescent="0.3">
      <c r="A2">
        <v>1990</v>
      </c>
      <c r="B2">
        <f>[1]REVIEW!B2</f>
        <v>24277</v>
      </c>
      <c r="C2">
        <f>[1]REVIEW!C2</f>
        <v>181</v>
      </c>
      <c r="D2">
        <f>C2/B2*100</f>
        <v>0.74556164270708902</v>
      </c>
      <c r="E2">
        <f>D2-1.96*SQRT(D2*(100-D2)/B2)</f>
        <v>0.63734967142981891</v>
      </c>
      <c r="F2">
        <f>D2+1.96*SQRT(D2*(100-D2)/B2)</f>
        <v>0.85377361398435914</v>
      </c>
    </row>
    <row r="3" spans="1:6" x14ac:dyDescent="0.3">
      <c r="A3">
        <v>1991</v>
      </c>
      <c r="B3">
        <f>[1]REVIEW!B3</f>
        <v>26350</v>
      </c>
      <c r="C3">
        <f>[1]REVIEW!C3</f>
        <v>197</v>
      </c>
      <c r="D3">
        <f t="shared" ref="D3:D37" si="0">C3/B3*100</f>
        <v>0.74762808349146104</v>
      </c>
      <c r="E3">
        <f t="shared" ref="E3:E37" si="1">D3-1.96*SQRT(D3*(100-D3)/B3)</f>
        <v>0.6436171457231431</v>
      </c>
      <c r="F3">
        <f t="shared" ref="F3:F37" si="2">D3+1.96*SQRT(D3*(100-D3)/B3)</f>
        <v>0.85163902125977897</v>
      </c>
    </row>
    <row r="4" spans="1:6" x14ac:dyDescent="0.3">
      <c r="A4">
        <f>A2+2</f>
        <v>1992</v>
      </c>
      <c r="B4">
        <f>[1]REVIEW!B4</f>
        <v>27779</v>
      </c>
      <c r="C4">
        <f>[1]REVIEW!C4</f>
        <v>220</v>
      </c>
      <c r="D4">
        <f t="shared" si="0"/>
        <v>0.79196515353324448</v>
      </c>
      <c r="E4">
        <f t="shared" si="1"/>
        <v>0.68772759576845766</v>
      </c>
      <c r="F4">
        <f t="shared" si="2"/>
        <v>0.89620271129803131</v>
      </c>
    </row>
    <row r="5" spans="1:6" x14ac:dyDescent="0.3">
      <c r="A5">
        <f t="shared" ref="A5:A20" si="3">A3+2</f>
        <v>1993</v>
      </c>
      <c r="B5">
        <f>[1]REVIEW!B5</f>
        <v>29002</v>
      </c>
      <c r="C5">
        <f>[1]REVIEW!C5</f>
        <v>207</v>
      </c>
      <c r="D5">
        <f t="shared" si="0"/>
        <v>0.71374387973243225</v>
      </c>
      <c r="E5">
        <f t="shared" si="1"/>
        <v>0.61685858534677507</v>
      </c>
      <c r="F5">
        <f t="shared" si="2"/>
        <v>0.81062917411808944</v>
      </c>
    </row>
    <row r="6" spans="1:6" x14ac:dyDescent="0.3">
      <c r="A6">
        <f t="shared" si="3"/>
        <v>1994</v>
      </c>
      <c r="B6">
        <f>[1]REVIEW!B6</f>
        <v>30760</v>
      </c>
      <c r="C6">
        <f>[1]REVIEW!C6</f>
        <v>208</v>
      </c>
      <c r="D6">
        <f t="shared" si="0"/>
        <v>0.67620286085825743</v>
      </c>
      <c r="E6">
        <f t="shared" si="1"/>
        <v>0.58461707741168212</v>
      </c>
      <c r="F6">
        <f t="shared" si="2"/>
        <v>0.76778864430483273</v>
      </c>
    </row>
    <row r="7" spans="1:6" x14ac:dyDescent="0.3">
      <c r="A7">
        <f t="shared" si="3"/>
        <v>1995</v>
      </c>
      <c r="B7">
        <f>[1]REVIEW!B7</f>
        <v>33077</v>
      </c>
      <c r="C7">
        <f>[1]REVIEW!C7</f>
        <v>258</v>
      </c>
      <c r="D7">
        <f t="shared" si="0"/>
        <v>0.77999818605073012</v>
      </c>
      <c r="E7">
        <f t="shared" si="1"/>
        <v>0.68519139953000885</v>
      </c>
      <c r="F7">
        <f t="shared" si="2"/>
        <v>0.8748049725714514</v>
      </c>
    </row>
    <row r="8" spans="1:6" x14ac:dyDescent="0.3">
      <c r="A8">
        <f t="shared" si="3"/>
        <v>1996</v>
      </c>
      <c r="B8">
        <f>[1]REVIEW!B8</f>
        <v>35582</v>
      </c>
      <c r="C8">
        <f>[1]REVIEW!C8</f>
        <v>309</v>
      </c>
      <c r="D8">
        <f t="shared" si="0"/>
        <v>0.8684166151424878</v>
      </c>
      <c r="E8">
        <f t="shared" si="1"/>
        <v>0.77200908047267158</v>
      </c>
      <c r="F8">
        <f t="shared" si="2"/>
        <v>0.96482414981230402</v>
      </c>
    </row>
    <row r="9" spans="1:6" x14ac:dyDescent="0.3">
      <c r="A9">
        <f t="shared" si="3"/>
        <v>1997</v>
      </c>
      <c r="B9">
        <f>[1]REVIEW!B9</f>
        <v>37858</v>
      </c>
      <c r="C9">
        <f>[1]REVIEW!C9</f>
        <v>306</v>
      </c>
      <c r="D9">
        <f t="shared" si="0"/>
        <v>0.80828358603201433</v>
      </c>
      <c r="E9">
        <f t="shared" si="1"/>
        <v>0.71808560419687517</v>
      </c>
      <c r="F9">
        <f t="shared" si="2"/>
        <v>0.8984815678671535</v>
      </c>
    </row>
    <row r="10" spans="1:6" x14ac:dyDescent="0.3">
      <c r="A10">
        <f t="shared" si="3"/>
        <v>1998</v>
      </c>
      <c r="B10">
        <f>[1]REVIEW!B10</f>
        <v>41132</v>
      </c>
      <c r="C10">
        <f>[1]REVIEW!C10</f>
        <v>299</v>
      </c>
      <c r="D10">
        <f t="shared" si="0"/>
        <v>0.72692793931731992</v>
      </c>
      <c r="E10">
        <f t="shared" si="1"/>
        <v>0.64483088604475525</v>
      </c>
      <c r="F10">
        <f t="shared" si="2"/>
        <v>0.80902499258988458</v>
      </c>
    </row>
    <row r="11" spans="1:6" x14ac:dyDescent="0.3">
      <c r="A11">
        <f t="shared" si="3"/>
        <v>1999</v>
      </c>
      <c r="B11">
        <f>[1]REVIEW!B11</f>
        <v>42494</v>
      </c>
      <c r="C11">
        <f>[1]REVIEW!C11</f>
        <v>246</v>
      </c>
      <c r="D11">
        <f t="shared" si="0"/>
        <v>0.57890525721278296</v>
      </c>
      <c r="E11">
        <f t="shared" si="1"/>
        <v>0.50677204345083671</v>
      </c>
      <c r="F11">
        <f t="shared" si="2"/>
        <v>0.65103847097472922</v>
      </c>
    </row>
    <row r="12" spans="1:6" x14ac:dyDescent="0.3">
      <c r="A12">
        <f t="shared" si="3"/>
        <v>2000</v>
      </c>
      <c r="B12">
        <f>[1]REVIEW!B12</f>
        <v>48551</v>
      </c>
      <c r="C12">
        <f>[1]REVIEW!C12</f>
        <v>286</v>
      </c>
      <c r="D12">
        <f t="shared" si="0"/>
        <v>0.58907128586434876</v>
      </c>
      <c r="E12">
        <f t="shared" si="1"/>
        <v>0.52100093737503927</v>
      </c>
      <c r="F12">
        <f t="shared" si="2"/>
        <v>0.65714163435365824</v>
      </c>
    </row>
    <row r="13" spans="1:6" x14ac:dyDescent="0.3">
      <c r="A13">
        <f t="shared" si="3"/>
        <v>2001</v>
      </c>
      <c r="B13">
        <f>[1]REVIEW!B13</f>
        <v>50445</v>
      </c>
      <c r="C13">
        <f>[1]REVIEW!C13</f>
        <v>309</v>
      </c>
      <c r="D13">
        <f t="shared" si="0"/>
        <v>0.61254831995242343</v>
      </c>
      <c r="E13">
        <f t="shared" si="1"/>
        <v>0.5444583782472987</v>
      </c>
      <c r="F13">
        <f t="shared" si="2"/>
        <v>0.68063826165754815</v>
      </c>
    </row>
    <row r="14" spans="1:6" x14ac:dyDescent="0.3">
      <c r="A14">
        <f t="shared" si="3"/>
        <v>2002</v>
      </c>
      <c r="B14">
        <f>[1]REVIEW!B14</f>
        <v>55064</v>
      </c>
      <c r="C14">
        <f>[1]REVIEW!C14</f>
        <v>335</v>
      </c>
      <c r="D14">
        <f t="shared" si="0"/>
        <v>0.60838297254104312</v>
      </c>
      <c r="E14">
        <f t="shared" si="1"/>
        <v>0.54343200925269197</v>
      </c>
      <c r="F14">
        <f t="shared" si="2"/>
        <v>0.67333393582939427</v>
      </c>
    </row>
    <row r="15" spans="1:6" x14ac:dyDescent="0.3">
      <c r="A15">
        <f t="shared" si="3"/>
        <v>2003</v>
      </c>
      <c r="B15">
        <f>[1]REVIEW!B15</f>
        <v>59729</v>
      </c>
      <c r="C15">
        <f>[1]REVIEW!C15</f>
        <v>495</v>
      </c>
      <c r="D15">
        <f t="shared" si="0"/>
        <v>0.82874315659060094</v>
      </c>
      <c r="E15">
        <f t="shared" si="1"/>
        <v>0.75603781223502564</v>
      </c>
      <c r="F15">
        <f t="shared" si="2"/>
        <v>0.90144850094617623</v>
      </c>
    </row>
    <row r="16" spans="1:6" x14ac:dyDescent="0.3">
      <c r="A16">
        <f t="shared" si="3"/>
        <v>2004</v>
      </c>
      <c r="B16">
        <f>[1]REVIEW!B16</f>
        <v>64980</v>
      </c>
      <c r="C16">
        <f>[1]REVIEW!C16</f>
        <v>553</v>
      </c>
      <c r="D16">
        <f t="shared" si="0"/>
        <v>0.85103108648815018</v>
      </c>
      <c r="E16">
        <f t="shared" si="1"/>
        <v>0.78040209075750799</v>
      </c>
      <c r="F16">
        <f t="shared" si="2"/>
        <v>0.92166008221879236</v>
      </c>
    </row>
    <row r="17" spans="1:6" x14ac:dyDescent="0.3">
      <c r="A17">
        <f t="shared" si="3"/>
        <v>2005</v>
      </c>
      <c r="B17">
        <f>[1]REVIEW!B17</f>
        <v>68723</v>
      </c>
      <c r="C17">
        <f>[1]REVIEW!C17</f>
        <v>454</v>
      </c>
      <c r="D17">
        <f t="shared" si="0"/>
        <v>0.66062308106456347</v>
      </c>
      <c r="E17">
        <f t="shared" si="1"/>
        <v>0.60005516882475185</v>
      </c>
      <c r="F17">
        <f t="shared" si="2"/>
        <v>0.72119099330437508</v>
      </c>
    </row>
    <row r="18" spans="1:6" x14ac:dyDescent="0.3">
      <c r="A18">
        <f t="shared" si="3"/>
        <v>2006</v>
      </c>
      <c r="B18">
        <f>[1]REVIEW!B18</f>
        <v>73521</v>
      </c>
      <c r="C18">
        <f>[1]REVIEW!C18</f>
        <v>424</v>
      </c>
      <c r="D18">
        <f t="shared" si="0"/>
        <v>0.5767059751635587</v>
      </c>
      <c r="E18">
        <f t="shared" si="1"/>
        <v>0.52197015019870174</v>
      </c>
      <c r="F18">
        <f t="shared" si="2"/>
        <v>0.63144180012841566</v>
      </c>
    </row>
    <row r="19" spans="1:6" x14ac:dyDescent="0.3">
      <c r="A19">
        <f t="shared" si="3"/>
        <v>2007</v>
      </c>
      <c r="B19">
        <f>[1]REVIEW!B19</f>
        <v>76879</v>
      </c>
      <c r="C19">
        <f>[1]REVIEW!C19</f>
        <v>487</v>
      </c>
      <c r="D19">
        <f t="shared" si="0"/>
        <v>0.6334629742842649</v>
      </c>
      <c r="E19">
        <f t="shared" si="1"/>
        <v>0.57737975904553873</v>
      </c>
      <c r="F19">
        <f t="shared" si="2"/>
        <v>0.68954618952299107</v>
      </c>
    </row>
    <row r="20" spans="1:6" x14ac:dyDescent="0.3">
      <c r="A20">
        <f t="shared" si="3"/>
        <v>2008</v>
      </c>
      <c r="B20">
        <f>[1]REVIEW!B20</f>
        <v>78184</v>
      </c>
      <c r="C20">
        <f>[1]REVIEW!C20</f>
        <v>472</v>
      </c>
      <c r="D20">
        <f t="shared" si="0"/>
        <v>0.60370408267676257</v>
      </c>
      <c r="E20">
        <f t="shared" si="1"/>
        <v>0.54940477590250225</v>
      </c>
      <c r="F20">
        <f t="shared" si="2"/>
        <v>0.65800338945102288</v>
      </c>
    </row>
    <row r="21" spans="1:6" x14ac:dyDescent="0.3">
      <c r="A21">
        <f t="shared" ref="A21:A36" si="4">A19+2</f>
        <v>2009</v>
      </c>
      <c r="B21">
        <f>[1]REVIEW!B21</f>
        <v>79782</v>
      </c>
      <c r="C21">
        <f>[1]REVIEW!C21</f>
        <v>528</v>
      </c>
      <c r="D21">
        <f t="shared" si="0"/>
        <v>0.66180341430397838</v>
      </c>
      <c r="E21">
        <f t="shared" si="1"/>
        <v>0.60553997853010733</v>
      </c>
      <c r="F21">
        <f t="shared" si="2"/>
        <v>0.71806685007784943</v>
      </c>
    </row>
    <row r="22" spans="1:6" x14ac:dyDescent="0.3">
      <c r="A22">
        <f t="shared" si="4"/>
        <v>2010</v>
      </c>
      <c r="B22">
        <f>[1]REVIEW!B22</f>
        <v>84163</v>
      </c>
      <c r="C22">
        <f>[1]REVIEW!C22</f>
        <v>616</v>
      </c>
      <c r="D22">
        <f t="shared" si="0"/>
        <v>0.73191307344082313</v>
      </c>
      <c r="E22">
        <f t="shared" si="1"/>
        <v>0.67432533200475919</v>
      </c>
      <c r="F22">
        <f t="shared" si="2"/>
        <v>0.78950081487688706</v>
      </c>
    </row>
    <row r="23" spans="1:6" x14ac:dyDescent="0.3">
      <c r="A23">
        <f t="shared" si="4"/>
        <v>2011</v>
      </c>
      <c r="B23">
        <f>[1]REVIEW!B23</f>
        <v>89325</v>
      </c>
      <c r="C23">
        <f>[1]REVIEW!C23</f>
        <v>698</v>
      </c>
      <c r="D23">
        <f t="shared" si="0"/>
        <v>0.7814161768821718</v>
      </c>
      <c r="E23">
        <f t="shared" si="1"/>
        <v>0.72367212302756456</v>
      </c>
      <c r="F23">
        <f t="shared" si="2"/>
        <v>0.83916023073677903</v>
      </c>
    </row>
    <row r="24" spans="1:6" x14ac:dyDescent="0.3">
      <c r="A24">
        <f>A22+2</f>
        <v>2012</v>
      </c>
      <c r="B24">
        <f>[1]REVIEW!B24</f>
        <v>94776</v>
      </c>
      <c r="C24">
        <f>[1]REVIEW!C24</f>
        <v>809</v>
      </c>
      <c r="D24">
        <f t="shared" si="0"/>
        <v>0.85359162657212795</v>
      </c>
      <c r="E24">
        <f t="shared" si="1"/>
        <v>0.79502227042386497</v>
      </c>
      <c r="F24">
        <f t="shared" si="2"/>
        <v>0.91216098272039092</v>
      </c>
    </row>
    <row r="25" spans="1:6" x14ac:dyDescent="0.3">
      <c r="A25">
        <f t="shared" si="4"/>
        <v>2013</v>
      </c>
      <c r="B25">
        <f>[1]REVIEW!B25</f>
        <v>99025</v>
      </c>
      <c r="C25">
        <f>[1]REVIEW!C25</f>
        <v>939</v>
      </c>
      <c r="D25">
        <f t="shared" si="0"/>
        <v>0.94824539257763185</v>
      </c>
      <c r="E25">
        <f t="shared" si="1"/>
        <v>0.88788179669813949</v>
      </c>
      <c r="F25">
        <f t="shared" si="2"/>
        <v>1.0086089884571243</v>
      </c>
    </row>
    <row r="26" spans="1:6" x14ac:dyDescent="0.3">
      <c r="A26">
        <f t="shared" si="4"/>
        <v>2014</v>
      </c>
      <c r="B26">
        <f>[1]REVIEW!B26</f>
        <v>103221</v>
      </c>
      <c r="C26">
        <f>[1]REVIEW!C26</f>
        <v>1001</v>
      </c>
      <c r="D26">
        <f t="shared" si="0"/>
        <v>0.96976390463180939</v>
      </c>
      <c r="E26">
        <f t="shared" si="1"/>
        <v>0.90997935594056967</v>
      </c>
      <c r="F26">
        <f t="shared" si="2"/>
        <v>1.029548453323049</v>
      </c>
    </row>
    <row r="27" spans="1:6" x14ac:dyDescent="0.3">
      <c r="A27">
        <f t="shared" si="4"/>
        <v>2015</v>
      </c>
      <c r="B27">
        <f>[1]REVIEW!B27</f>
        <v>105352</v>
      </c>
      <c r="C27">
        <f>[1]REVIEW!C27</f>
        <v>1092</v>
      </c>
      <c r="D27">
        <f t="shared" si="0"/>
        <v>1.0365251727541955</v>
      </c>
      <c r="E27">
        <f t="shared" si="1"/>
        <v>0.9753659336177708</v>
      </c>
      <c r="F27">
        <f t="shared" si="2"/>
        <v>1.0976844118906204</v>
      </c>
    </row>
    <row r="28" spans="1:6" x14ac:dyDescent="0.3">
      <c r="A28">
        <f t="shared" si="4"/>
        <v>2016</v>
      </c>
      <c r="B28">
        <f>[1]REVIEW!B28</f>
        <v>108365</v>
      </c>
      <c r="C28">
        <f>[1]REVIEW!C28</f>
        <v>1198</v>
      </c>
      <c r="D28">
        <f t="shared" si="0"/>
        <v>1.1055230009689476</v>
      </c>
      <c r="E28">
        <f t="shared" si="1"/>
        <v>1.0432669650423827</v>
      </c>
      <c r="F28">
        <f t="shared" si="2"/>
        <v>1.1677790368955125</v>
      </c>
    </row>
    <row r="29" spans="1:6" x14ac:dyDescent="0.3">
      <c r="A29">
        <f t="shared" si="4"/>
        <v>2017</v>
      </c>
      <c r="B29">
        <f>[1]REVIEW!B29</f>
        <v>109867</v>
      </c>
      <c r="C29">
        <f>[1]REVIEW!C29</f>
        <v>1204</v>
      </c>
      <c r="D29">
        <f t="shared" si="0"/>
        <v>1.0958704615580657</v>
      </c>
      <c r="E29">
        <f t="shared" si="1"/>
        <v>1.0343089518988453</v>
      </c>
      <c r="F29">
        <f t="shared" si="2"/>
        <v>1.157431971217286</v>
      </c>
    </row>
    <row r="30" spans="1:6" x14ac:dyDescent="0.3">
      <c r="A30">
        <f t="shared" si="4"/>
        <v>2018</v>
      </c>
      <c r="B30">
        <f>[1]REVIEW!B30</f>
        <v>111873</v>
      </c>
      <c r="C30">
        <f>[1]REVIEW!C30</f>
        <v>1212</v>
      </c>
      <c r="D30">
        <f t="shared" si="0"/>
        <v>1.0833713228392909</v>
      </c>
      <c r="E30">
        <f t="shared" si="1"/>
        <v>1.0227093193075014</v>
      </c>
      <c r="F30">
        <f t="shared" si="2"/>
        <v>1.1440333263710805</v>
      </c>
    </row>
    <row r="31" spans="1:6" x14ac:dyDescent="0.3">
      <c r="A31">
        <f t="shared" si="4"/>
        <v>2019</v>
      </c>
      <c r="B31">
        <f>[1]REVIEW!B31</f>
        <v>114998</v>
      </c>
      <c r="C31">
        <f>[1]REVIEW!C31</f>
        <v>1275</v>
      </c>
      <c r="D31">
        <f t="shared" si="0"/>
        <v>1.1087149341727682</v>
      </c>
      <c r="E31">
        <f t="shared" si="1"/>
        <v>1.0481947993791769</v>
      </c>
      <c r="F31">
        <f t="shared" si="2"/>
        <v>1.1692350689663595</v>
      </c>
    </row>
    <row r="32" spans="1:6" x14ac:dyDescent="0.3">
      <c r="A32">
        <f t="shared" si="4"/>
        <v>2020</v>
      </c>
      <c r="B32">
        <f>[1]REVIEW!B32</f>
        <v>131987</v>
      </c>
      <c r="C32">
        <f>[1]REVIEW!C32</f>
        <v>1552</v>
      </c>
      <c r="D32">
        <f t="shared" si="0"/>
        <v>1.1758733814693871</v>
      </c>
      <c r="E32">
        <f t="shared" si="1"/>
        <v>1.1177163454462498</v>
      </c>
      <c r="F32">
        <f t="shared" si="2"/>
        <v>1.2340304174925245</v>
      </c>
    </row>
    <row r="33" spans="1:6" x14ac:dyDescent="0.3">
      <c r="A33">
        <f t="shared" si="4"/>
        <v>2021</v>
      </c>
      <c r="B33">
        <f>[1]REVIEW!B33</f>
        <v>142452</v>
      </c>
      <c r="C33">
        <f>[1]REVIEW!C33</f>
        <v>1971</v>
      </c>
      <c r="D33">
        <f t="shared" si="0"/>
        <v>1.3836239575435938</v>
      </c>
      <c r="E33">
        <f t="shared" si="1"/>
        <v>1.3229635460603295</v>
      </c>
      <c r="F33">
        <f t="shared" si="2"/>
        <v>1.4442843690268581</v>
      </c>
    </row>
    <row r="34" spans="1:6" x14ac:dyDescent="0.3">
      <c r="A34">
        <f t="shared" si="4"/>
        <v>2022</v>
      </c>
      <c r="B34">
        <f>[1]REVIEW!B34</f>
        <v>136747</v>
      </c>
      <c r="C34">
        <f>[1]REVIEW!C34</f>
        <v>2504</v>
      </c>
      <c r="D34">
        <f t="shared" si="0"/>
        <v>1.8311187813992262</v>
      </c>
      <c r="E34">
        <f t="shared" si="1"/>
        <v>1.7600559762382155</v>
      </c>
      <c r="F34">
        <f t="shared" si="2"/>
        <v>1.9021815865602369</v>
      </c>
    </row>
    <row r="35" spans="1:6" x14ac:dyDescent="0.3">
      <c r="A35">
        <f t="shared" si="4"/>
        <v>2023</v>
      </c>
      <c r="B35">
        <f>[1]REVIEW!B35</f>
        <v>128108</v>
      </c>
      <c r="C35">
        <f>[1]REVIEW!C35</f>
        <v>2402</v>
      </c>
      <c r="D35">
        <f t="shared" si="0"/>
        <v>1.8749804852155993</v>
      </c>
      <c r="E35">
        <f t="shared" si="1"/>
        <v>1.8007031696166611</v>
      </c>
      <c r="F35">
        <f t="shared" si="2"/>
        <v>1.9492578008145376</v>
      </c>
    </row>
    <row r="36" spans="1:6" x14ac:dyDescent="0.3">
      <c r="A36">
        <f t="shared" si="4"/>
        <v>2024</v>
      </c>
      <c r="B36">
        <f>[1]REVIEW!B36</f>
        <v>137297</v>
      </c>
      <c r="C36">
        <f>[1]REVIEW!C36</f>
        <v>1713</v>
      </c>
      <c r="D36">
        <f t="shared" si="0"/>
        <v>1.2476601819413389</v>
      </c>
      <c r="E36">
        <f t="shared" si="1"/>
        <v>1.1889454067641567</v>
      </c>
      <c r="F36">
        <f t="shared" si="2"/>
        <v>1.306374957118521</v>
      </c>
    </row>
    <row r="37" spans="1:6" x14ac:dyDescent="0.3">
      <c r="A37">
        <v>2025</v>
      </c>
      <c r="B37">
        <f>[1]REVIEW!B37</f>
        <v>84526</v>
      </c>
      <c r="C37">
        <f>[1]REVIEW!C37</f>
        <v>835</v>
      </c>
      <c r="D37">
        <f t="shared" si="0"/>
        <v>0.98786172302013586</v>
      </c>
      <c r="E37">
        <f t="shared" si="1"/>
        <v>0.92118822952546575</v>
      </c>
      <c r="F37">
        <f t="shared" si="2"/>
        <v>1.0545352165148061</v>
      </c>
    </row>
    <row r="38" spans="1:6" x14ac:dyDescent="0.3">
      <c r="A38" t="s">
        <v>8</v>
      </c>
      <c r="B38">
        <f>[1]REVIEW!B38</f>
        <v>2766251</v>
      </c>
      <c r="C38">
        <f>[1]REVIEW!C38</f>
        <v>27795</v>
      </c>
    </row>
    <row r="39" spans="1:6" x14ac:dyDescent="0.3">
      <c r="A39" t="s">
        <v>6</v>
      </c>
      <c r="B39">
        <f>[1]REVIEW!B39</f>
        <v>142452</v>
      </c>
      <c r="C39">
        <f>[1]REVIEW!C39</f>
        <v>2504</v>
      </c>
      <c r="D39">
        <f>MAX(D2:D37)</f>
        <v>1.8749804852155993</v>
      </c>
    </row>
    <row r="40" spans="1:6" x14ac:dyDescent="0.3">
      <c r="A40" t="s">
        <v>7</v>
      </c>
      <c r="B40">
        <f>[1]REVIEW!B40</f>
        <v>24277</v>
      </c>
      <c r="C40">
        <f>[1]REVIEW!C40</f>
        <v>181</v>
      </c>
      <c r="D40">
        <f>MIN(D2:D37)</f>
        <v>0.5767059751635587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E9A8B-9C37-C34D-B28C-D53C7FBFD304}">
  <dimension ref="A1:F40"/>
  <sheetViews>
    <sheetView topLeftCell="A13" workbookViewId="0">
      <selection activeCell="D29" sqref="D29"/>
    </sheetView>
  </sheetViews>
  <sheetFormatPr defaultColWidth="11.44140625" defaultRowHeight="17.25" x14ac:dyDescent="0.3"/>
  <sheetData>
    <row r="1" spans="1:6" x14ac:dyDescent="0.3">
      <c r="A1" t="s">
        <v>0</v>
      </c>
      <c r="B1" t="str">
        <f>[1]CCJ!B1</f>
        <v>Total article count</v>
      </c>
      <c r="C1" t="str">
        <f>[1]CCJ!C1</f>
        <v>HasPvalue</v>
      </c>
      <c r="D1" t="s">
        <v>1</v>
      </c>
      <c r="E1" t="s">
        <v>24</v>
      </c>
      <c r="F1" t="s">
        <v>25</v>
      </c>
    </row>
    <row r="2" spans="1:6" x14ac:dyDescent="0.3">
      <c r="A2">
        <v>1990</v>
      </c>
      <c r="B2">
        <f>[1]CCJ!B2</f>
        <v>31431</v>
      </c>
      <c r="C2">
        <f>[1]CCJ!C2</f>
        <v>5369</v>
      </c>
      <c r="D2">
        <f>C2/B2*100</f>
        <v>17.081861856129301</v>
      </c>
      <c r="E2">
        <f>D2-1.96*SQRT(D2*(100-D2)/B2)</f>
        <v>16.66578903686754</v>
      </c>
      <c r="F2">
        <f>D2+1.96*SQRT(D2*(100-D2)/B2)</f>
        <v>17.497934675391061</v>
      </c>
    </row>
    <row r="3" spans="1:6" x14ac:dyDescent="0.3">
      <c r="A3">
        <v>1991</v>
      </c>
      <c r="B3">
        <f>[1]CCJ!B3</f>
        <v>32930</v>
      </c>
      <c r="C3">
        <f>[1]CCJ!C3</f>
        <v>6086</v>
      </c>
      <c r="D3">
        <f t="shared" ref="D3:D37" si="0">C3/B3*100</f>
        <v>18.481627695110841</v>
      </c>
      <c r="E3">
        <f t="shared" ref="E3:E37" si="1">D3-1.96*SQRT(D3*(100-D3)/B3)</f>
        <v>18.062392181909615</v>
      </c>
      <c r="F3">
        <f t="shared" ref="F3:F37" si="2">D3+1.96*SQRT(D3*(100-D3)/B3)</f>
        <v>18.900863208312067</v>
      </c>
    </row>
    <row r="4" spans="1:6" x14ac:dyDescent="0.3">
      <c r="A4">
        <f>A2+2</f>
        <v>1992</v>
      </c>
      <c r="B4">
        <f>[1]CCJ!B4</f>
        <v>34868</v>
      </c>
      <c r="C4">
        <f>[1]CCJ!C4</f>
        <v>6945</v>
      </c>
      <c r="D4">
        <f t="shared" si="0"/>
        <v>19.917976368016518</v>
      </c>
      <c r="E4">
        <f t="shared" si="1"/>
        <v>19.498765359645098</v>
      </c>
      <c r="F4">
        <f t="shared" si="2"/>
        <v>20.337187376387938</v>
      </c>
    </row>
    <row r="5" spans="1:6" x14ac:dyDescent="0.3">
      <c r="A5">
        <f t="shared" ref="A5:A20" si="3">A3+2</f>
        <v>1993</v>
      </c>
      <c r="B5">
        <f>[1]CCJ!B5</f>
        <v>36976</v>
      </c>
      <c r="C5">
        <f>[1]CCJ!C5</f>
        <v>7542</v>
      </c>
      <c r="D5">
        <f t="shared" si="0"/>
        <v>20.397014279532669</v>
      </c>
      <c r="E5">
        <f t="shared" si="1"/>
        <v>19.986295949069209</v>
      </c>
      <c r="F5">
        <f t="shared" si="2"/>
        <v>20.80773260999613</v>
      </c>
    </row>
    <row r="6" spans="1:6" x14ac:dyDescent="0.3">
      <c r="A6">
        <f t="shared" si="3"/>
        <v>1994</v>
      </c>
      <c r="B6">
        <f>[1]CCJ!B6</f>
        <v>38717</v>
      </c>
      <c r="C6">
        <f>[1]CCJ!C6</f>
        <v>8529</v>
      </c>
      <c r="D6">
        <f t="shared" si="0"/>
        <v>22.02908283183098</v>
      </c>
      <c r="E6">
        <f t="shared" si="1"/>
        <v>21.61625425586319</v>
      </c>
      <c r="F6">
        <f t="shared" si="2"/>
        <v>22.44191140779877</v>
      </c>
    </row>
    <row r="7" spans="1:6" x14ac:dyDescent="0.3">
      <c r="A7">
        <f t="shared" si="3"/>
        <v>1995</v>
      </c>
      <c r="B7">
        <f>[1]CCJ!B7</f>
        <v>40660</v>
      </c>
      <c r="C7">
        <f>[1]CCJ!C7</f>
        <v>9266</v>
      </c>
      <c r="D7">
        <f t="shared" si="0"/>
        <v>22.788981800295129</v>
      </c>
      <c r="E7">
        <f t="shared" si="1"/>
        <v>22.381250093856025</v>
      </c>
      <c r="F7">
        <f t="shared" si="2"/>
        <v>23.196713506734234</v>
      </c>
    </row>
    <row r="8" spans="1:6" x14ac:dyDescent="0.3">
      <c r="A8">
        <f t="shared" si="3"/>
        <v>1996</v>
      </c>
      <c r="B8">
        <f>[1]CCJ!B8</f>
        <v>41001</v>
      </c>
      <c r="C8">
        <f>[1]CCJ!C8</f>
        <v>9631</v>
      </c>
      <c r="D8">
        <f t="shared" si="0"/>
        <v>23.489670983634543</v>
      </c>
      <c r="E8">
        <f t="shared" si="1"/>
        <v>23.079318233434858</v>
      </c>
      <c r="F8">
        <f t="shared" si="2"/>
        <v>23.900023733834228</v>
      </c>
    </row>
    <row r="9" spans="1:6" x14ac:dyDescent="0.3">
      <c r="A9">
        <f t="shared" si="3"/>
        <v>1997</v>
      </c>
      <c r="B9">
        <f>[1]CCJ!B9</f>
        <v>42522</v>
      </c>
      <c r="C9">
        <f>[1]CCJ!C9</f>
        <v>10353</v>
      </c>
      <c r="D9">
        <f t="shared" si="0"/>
        <v>24.347396641738396</v>
      </c>
      <c r="E9">
        <f t="shared" si="1"/>
        <v>23.939464961705728</v>
      </c>
      <c r="F9">
        <f t="shared" si="2"/>
        <v>24.755328321771064</v>
      </c>
    </row>
    <row r="10" spans="1:6" x14ac:dyDescent="0.3">
      <c r="A10">
        <f t="shared" si="3"/>
        <v>1998</v>
      </c>
      <c r="B10">
        <f>[1]CCJ!B10</f>
        <v>43762</v>
      </c>
      <c r="C10">
        <f>[1]CCJ!C10</f>
        <v>10832</v>
      </c>
      <c r="D10">
        <f t="shared" si="0"/>
        <v>24.75206800420456</v>
      </c>
      <c r="E10">
        <f t="shared" si="1"/>
        <v>24.34771514378366</v>
      </c>
      <c r="F10">
        <f t="shared" si="2"/>
        <v>25.15642086462546</v>
      </c>
    </row>
    <row r="11" spans="1:6" x14ac:dyDescent="0.3">
      <c r="A11">
        <f t="shared" si="3"/>
        <v>1999</v>
      </c>
      <c r="B11">
        <f>[1]CCJ!B11</f>
        <v>45760</v>
      </c>
      <c r="C11">
        <f>[1]CCJ!C11</f>
        <v>11497</v>
      </c>
      <c r="D11">
        <f t="shared" si="0"/>
        <v>25.12456293706294</v>
      </c>
      <c r="E11">
        <f t="shared" si="1"/>
        <v>24.727159145351845</v>
      </c>
      <c r="F11">
        <f t="shared" si="2"/>
        <v>25.521966728774036</v>
      </c>
    </row>
    <row r="12" spans="1:6" x14ac:dyDescent="0.3">
      <c r="A12">
        <f t="shared" si="3"/>
        <v>2000</v>
      </c>
      <c r="B12">
        <f>[1]CCJ!B12</f>
        <v>47381</v>
      </c>
      <c r="C12">
        <f>[1]CCJ!C12</f>
        <v>11678</v>
      </c>
      <c r="D12">
        <f t="shared" si="0"/>
        <v>24.647010405014669</v>
      </c>
      <c r="E12">
        <f t="shared" si="1"/>
        <v>24.25896161995982</v>
      </c>
      <c r="F12">
        <f t="shared" si="2"/>
        <v>25.035059190069518</v>
      </c>
    </row>
    <row r="13" spans="1:6" x14ac:dyDescent="0.3">
      <c r="A13">
        <f t="shared" si="3"/>
        <v>2001</v>
      </c>
      <c r="B13">
        <f>[1]CCJ!B13</f>
        <v>47703</v>
      </c>
      <c r="C13">
        <f>[1]CCJ!C13</f>
        <v>12573</v>
      </c>
      <c r="D13">
        <f t="shared" si="0"/>
        <v>26.35683290359097</v>
      </c>
      <c r="E13">
        <f t="shared" si="1"/>
        <v>25.961469865266114</v>
      </c>
      <c r="F13">
        <f t="shared" si="2"/>
        <v>26.752195941915826</v>
      </c>
    </row>
    <row r="14" spans="1:6" x14ac:dyDescent="0.3">
      <c r="A14">
        <f t="shared" si="3"/>
        <v>2002</v>
      </c>
      <c r="B14">
        <f>[1]CCJ!B14</f>
        <v>48987</v>
      </c>
      <c r="C14">
        <f>[1]CCJ!C14</f>
        <v>12945</v>
      </c>
      <c r="D14">
        <f t="shared" si="0"/>
        <v>26.425378161553066</v>
      </c>
      <c r="E14">
        <f t="shared" si="1"/>
        <v>26.034905822262061</v>
      </c>
      <c r="F14">
        <f t="shared" si="2"/>
        <v>26.815850500844071</v>
      </c>
    </row>
    <row r="15" spans="1:6" x14ac:dyDescent="0.3">
      <c r="A15">
        <f t="shared" si="3"/>
        <v>2003</v>
      </c>
      <c r="B15">
        <f>[1]CCJ!B15</f>
        <v>52486</v>
      </c>
      <c r="C15">
        <f>[1]CCJ!C15</f>
        <v>14028</v>
      </c>
      <c r="D15">
        <f t="shared" si="0"/>
        <v>26.72712723392905</v>
      </c>
      <c r="E15">
        <f t="shared" si="1"/>
        <v>26.348525949187152</v>
      </c>
      <c r="F15">
        <f t="shared" si="2"/>
        <v>27.105728518670947</v>
      </c>
    </row>
    <row r="16" spans="1:6" x14ac:dyDescent="0.3">
      <c r="A16">
        <f t="shared" si="3"/>
        <v>2004</v>
      </c>
      <c r="B16">
        <f>[1]CCJ!B16</f>
        <v>55694</v>
      </c>
      <c r="C16">
        <f>[1]CCJ!C16</f>
        <v>15339</v>
      </c>
      <c r="D16">
        <f t="shared" si="0"/>
        <v>27.541566416490106</v>
      </c>
      <c r="E16">
        <f t="shared" si="1"/>
        <v>27.170552111166248</v>
      </c>
      <c r="F16">
        <f t="shared" si="2"/>
        <v>27.912580721813963</v>
      </c>
    </row>
    <row r="17" spans="1:6" x14ac:dyDescent="0.3">
      <c r="A17">
        <f t="shared" si="3"/>
        <v>2005</v>
      </c>
      <c r="B17">
        <f>[1]CCJ!B17</f>
        <v>61604</v>
      </c>
      <c r="C17">
        <f>[1]CCJ!C17</f>
        <v>17287</v>
      </c>
      <c r="D17">
        <f t="shared" si="0"/>
        <v>28.061489513667944</v>
      </c>
      <c r="E17">
        <f t="shared" si="1"/>
        <v>27.706686176644428</v>
      </c>
      <c r="F17">
        <f t="shared" si="2"/>
        <v>28.416292850691459</v>
      </c>
    </row>
    <row r="18" spans="1:6" x14ac:dyDescent="0.3">
      <c r="A18">
        <f t="shared" si="3"/>
        <v>2006</v>
      </c>
      <c r="B18">
        <f>[1]CCJ!B18</f>
        <v>64262</v>
      </c>
      <c r="C18">
        <f>[1]CCJ!C18</f>
        <v>17802</v>
      </c>
      <c r="D18">
        <f t="shared" si="0"/>
        <v>27.702219040801719</v>
      </c>
      <c r="E18">
        <f t="shared" si="1"/>
        <v>27.356201021532236</v>
      </c>
      <c r="F18">
        <f t="shared" si="2"/>
        <v>28.048237060071202</v>
      </c>
    </row>
    <row r="19" spans="1:6" x14ac:dyDescent="0.3">
      <c r="A19">
        <f t="shared" si="3"/>
        <v>2007</v>
      </c>
      <c r="B19">
        <f>[1]CCJ!B19</f>
        <v>66637</v>
      </c>
      <c r="C19">
        <f>[1]CCJ!C19</f>
        <v>18661</v>
      </c>
      <c r="D19">
        <f t="shared" si="0"/>
        <v>28.003961762984531</v>
      </c>
      <c r="E19">
        <f t="shared" si="1"/>
        <v>27.66303398309482</v>
      </c>
      <c r="F19">
        <f t="shared" si="2"/>
        <v>28.344889542874242</v>
      </c>
    </row>
    <row r="20" spans="1:6" x14ac:dyDescent="0.3">
      <c r="A20">
        <f t="shared" si="3"/>
        <v>2008</v>
      </c>
      <c r="B20">
        <f>[1]CCJ!B20</f>
        <v>68330</v>
      </c>
      <c r="C20">
        <f>[1]CCJ!C20</f>
        <v>19384</v>
      </c>
      <c r="D20">
        <f t="shared" si="0"/>
        <v>28.368213083565053</v>
      </c>
      <c r="E20">
        <f t="shared" si="1"/>
        <v>28.030211104026073</v>
      </c>
      <c r="F20">
        <f t="shared" si="2"/>
        <v>28.706215063104032</v>
      </c>
    </row>
    <row r="21" spans="1:6" x14ac:dyDescent="0.3">
      <c r="A21">
        <f t="shared" ref="A21:A36" si="4">A19+2</f>
        <v>2009</v>
      </c>
      <c r="B21">
        <f>[1]CCJ!B21</f>
        <v>68450</v>
      </c>
      <c r="C21">
        <f>[1]CCJ!C21</f>
        <v>20022</v>
      </c>
      <c r="D21">
        <f t="shared" si="0"/>
        <v>29.250547845142439</v>
      </c>
      <c r="E21">
        <f t="shared" si="1"/>
        <v>28.909749177638481</v>
      </c>
      <c r="F21">
        <f t="shared" si="2"/>
        <v>29.591346512646396</v>
      </c>
    </row>
    <row r="22" spans="1:6" x14ac:dyDescent="0.3">
      <c r="A22">
        <f t="shared" si="4"/>
        <v>2010</v>
      </c>
      <c r="B22">
        <f>[1]CCJ!B22</f>
        <v>70953</v>
      </c>
      <c r="C22">
        <f>[1]CCJ!C22</f>
        <v>21194</v>
      </c>
      <c r="D22">
        <f t="shared" si="0"/>
        <v>29.870477640127973</v>
      </c>
      <c r="E22">
        <f t="shared" si="1"/>
        <v>29.533700802887058</v>
      </c>
      <c r="F22">
        <f t="shared" si="2"/>
        <v>30.207254477368888</v>
      </c>
    </row>
    <row r="23" spans="1:6" x14ac:dyDescent="0.3">
      <c r="A23">
        <f t="shared" si="4"/>
        <v>2011</v>
      </c>
      <c r="B23">
        <f>[1]CCJ!B23</f>
        <v>74380</v>
      </c>
      <c r="C23">
        <f>[1]CCJ!C23</f>
        <v>22946</v>
      </c>
      <c r="D23">
        <f t="shared" si="0"/>
        <v>30.849690777090615</v>
      </c>
      <c r="E23">
        <f t="shared" si="1"/>
        <v>30.517757758657439</v>
      </c>
      <c r="F23">
        <f t="shared" si="2"/>
        <v>31.181623795523791</v>
      </c>
    </row>
    <row r="24" spans="1:6" x14ac:dyDescent="0.3">
      <c r="A24">
        <f>A22+2</f>
        <v>2012</v>
      </c>
      <c r="B24">
        <f>[1]CCJ!B24</f>
        <v>74534</v>
      </c>
      <c r="C24">
        <f>[1]CCJ!C24</f>
        <v>23327</v>
      </c>
      <c r="D24">
        <f t="shared" si="0"/>
        <v>31.297126143773312</v>
      </c>
      <c r="E24">
        <f t="shared" si="1"/>
        <v>30.964222507428836</v>
      </c>
      <c r="F24">
        <f t="shared" si="2"/>
        <v>31.630029780117788</v>
      </c>
    </row>
    <row r="25" spans="1:6" x14ac:dyDescent="0.3">
      <c r="A25">
        <f t="shared" si="4"/>
        <v>2013</v>
      </c>
      <c r="B25">
        <f>[1]CCJ!B25</f>
        <v>75326</v>
      </c>
      <c r="C25">
        <f>[1]CCJ!C25</f>
        <v>24328</v>
      </c>
      <c r="D25">
        <f t="shared" si="0"/>
        <v>32.296949260547485</v>
      </c>
      <c r="E25">
        <f t="shared" si="1"/>
        <v>31.963009225542816</v>
      </c>
      <c r="F25">
        <f t="shared" si="2"/>
        <v>32.630889295552151</v>
      </c>
    </row>
    <row r="26" spans="1:6" x14ac:dyDescent="0.3">
      <c r="A26">
        <f t="shared" si="4"/>
        <v>2014</v>
      </c>
      <c r="B26">
        <f>[1]CCJ!B26</f>
        <v>72771</v>
      </c>
      <c r="C26">
        <f>[1]CCJ!C26</f>
        <v>23606</v>
      </c>
      <c r="D26">
        <f t="shared" si="0"/>
        <v>32.438746203844936</v>
      </c>
      <c r="E26">
        <f t="shared" si="1"/>
        <v>32.098606146874872</v>
      </c>
      <c r="F26">
        <f t="shared" si="2"/>
        <v>32.778886260815</v>
      </c>
    </row>
    <row r="27" spans="1:6" x14ac:dyDescent="0.3">
      <c r="A27">
        <f t="shared" si="4"/>
        <v>2015</v>
      </c>
      <c r="B27">
        <f>[1]CCJ!B27</f>
        <v>73088</v>
      </c>
      <c r="C27">
        <f>[1]CCJ!C27</f>
        <v>24205</v>
      </c>
      <c r="D27">
        <f t="shared" si="0"/>
        <v>33.117611646234671</v>
      </c>
      <c r="E27">
        <f t="shared" si="1"/>
        <v>32.776404260267469</v>
      </c>
      <c r="F27">
        <f t="shared" si="2"/>
        <v>33.458819032201873</v>
      </c>
    </row>
    <row r="28" spans="1:6" x14ac:dyDescent="0.3">
      <c r="A28">
        <f t="shared" si="4"/>
        <v>2016</v>
      </c>
      <c r="B28">
        <f>[1]CCJ!B28</f>
        <v>73888</v>
      </c>
      <c r="C28">
        <f>[1]CCJ!C28</f>
        <v>24735</v>
      </c>
      <c r="D28">
        <f t="shared" si="0"/>
        <v>33.476342572542229</v>
      </c>
      <c r="E28">
        <f t="shared" si="1"/>
        <v>33.136070601564811</v>
      </c>
      <c r="F28">
        <f t="shared" si="2"/>
        <v>33.816614543519648</v>
      </c>
    </row>
    <row r="29" spans="1:6" x14ac:dyDescent="0.3">
      <c r="A29">
        <f t="shared" si="4"/>
        <v>2017</v>
      </c>
      <c r="B29">
        <f>[1]CCJ!B29</f>
        <v>73771</v>
      </c>
      <c r="C29">
        <f>[1]CCJ!C29</f>
        <v>23964</v>
      </c>
      <c r="D29">
        <f t="shared" si="0"/>
        <v>32.484309552534199</v>
      </c>
      <c r="E29">
        <f t="shared" si="1"/>
        <v>32.146359581999555</v>
      </c>
      <c r="F29">
        <f t="shared" si="2"/>
        <v>32.822259523068844</v>
      </c>
    </row>
    <row r="30" spans="1:6" x14ac:dyDescent="0.3">
      <c r="A30">
        <f t="shared" si="4"/>
        <v>2018</v>
      </c>
      <c r="B30">
        <f>[1]CCJ!B30</f>
        <v>74580</v>
      </c>
      <c r="C30">
        <f>[1]CCJ!C30</f>
        <v>24167</v>
      </c>
      <c r="D30">
        <f t="shared" si="0"/>
        <v>32.404129793510322</v>
      </c>
      <c r="E30">
        <f t="shared" si="1"/>
        <v>32.068233551457737</v>
      </c>
      <c r="F30">
        <f t="shared" si="2"/>
        <v>32.740026035562906</v>
      </c>
    </row>
    <row r="31" spans="1:6" x14ac:dyDescent="0.3">
      <c r="A31">
        <f t="shared" si="4"/>
        <v>2019</v>
      </c>
      <c r="B31">
        <f>[1]CCJ!B31</f>
        <v>74905</v>
      </c>
      <c r="C31">
        <f>[1]CCJ!C31</f>
        <v>24210</v>
      </c>
      <c r="D31">
        <f t="shared" si="0"/>
        <v>32.320939857152389</v>
      </c>
      <c r="E31">
        <f t="shared" si="1"/>
        <v>31.985997696736035</v>
      </c>
      <c r="F31">
        <f t="shared" si="2"/>
        <v>32.655882017568743</v>
      </c>
    </row>
    <row r="32" spans="1:6" x14ac:dyDescent="0.3">
      <c r="A32">
        <f t="shared" si="4"/>
        <v>2020</v>
      </c>
      <c r="B32">
        <f>[1]CCJ!B32</f>
        <v>82212</v>
      </c>
      <c r="C32">
        <f>[1]CCJ!C32</f>
        <v>26155</v>
      </c>
      <c r="D32">
        <f t="shared" si="0"/>
        <v>31.814090400428164</v>
      </c>
      <c r="E32">
        <f t="shared" si="1"/>
        <v>31.495710575823953</v>
      </c>
      <c r="F32">
        <f t="shared" si="2"/>
        <v>32.132470225032378</v>
      </c>
    </row>
    <row r="33" spans="1:6" x14ac:dyDescent="0.3">
      <c r="A33">
        <f t="shared" si="4"/>
        <v>2021</v>
      </c>
      <c r="B33">
        <f>[1]CCJ!B33</f>
        <v>82375</v>
      </c>
      <c r="C33">
        <f>[1]CCJ!C33</f>
        <v>26185</v>
      </c>
      <c r="D33">
        <f t="shared" si="0"/>
        <v>31.787556904400603</v>
      </c>
      <c r="E33">
        <f t="shared" si="1"/>
        <v>31.469563043924346</v>
      </c>
      <c r="F33">
        <f t="shared" si="2"/>
        <v>32.10555076487686</v>
      </c>
    </row>
    <row r="34" spans="1:6" x14ac:dyDescent="0.3">
      <c r="A34">
        <f t="shared" si="4"/>
        <v>2022</v>
      </c>
      <c r="B34">
        <f>[1]CCJ!B34</f>
        <v>72683</v>
      </c>
      <c r="C34">
        <f>[1]CCJ!C34</f>
        <v>23109</v>
      </c>
      <c r="D34">
        <f t="shared" si="0"/>
        <v>31.794229737352612</v>
      </c>
      <c r="E34">
        <f t="shared" si="1"/>
        <v>31.455678533831342</v>
      </c>
      <c r="F34">
        <f t="shared" si="2"/>
        <v>32.132780940873879</v>
      </c>
    </row>
    <row r="35" spans="1:6" x14ac:dyDescent="0.3">
      <c r="A35">
        <f t="shared" si="4"/>
        <v>2023</v>
      </c>
      <c r="B35">
        <f>[1]CCJ!B35</f>
        <v>67683</v>
      </c>
      <c r="C35">
        <f>[1]CCJ!C35</f>
        <v>21184</v>
      </c>
      <c r="D35">
        <f t="shared" si="0"/>
        <v>31.298849046289316</v>
      </c>
      <c r="E35">
        <f t="shared" si="1"/>
        <v>30.949497667661294</v>
      </c>
      <c r="F35">
        <f t="shared" si="2"/>
        <v>31.648200424917338</v>
      </c>
    </row>
    <row r="36" spans="1:6" x14ac:dyDescent="0.3">
      <c r="A36">
        <f t="shared" si="4"/>
        <v>2024</v>
      </c>
      <c r="B36">
        <f>[1]CCJ!B36</f>
        <v>69046</v>
      </c>
      <c r="C36">
        <f>[1]CCJ!C36</f>
        <v>21495</v>
      </c>
      <c r="D36">
        <f t="shared" si="0"/>
        <v>31.131419633287955</v>
      </c>
      <c r="E36">
        <f t="shared" si="1"/>
        <v>30.786039909778076</v>
      </c>
      <c r="F36">
        <f t="shared" si="2"/>
        <v>31.476799356797834</v>
      </c>
    </row>
    <row r="37" spans="1:6" x14ac:dyDescent="0.3">
      <c r="A37">
        <v>2025</v>
      </c>
      <c r="B37">
        <f>[1]CCJ!B37</f>
        <v>43477</v>
      </c>
      <c r="C37">
        <f>[1]CCJ!C37</f>
        <v>13782</v>
      </c>
      <c r="D37">
        <f t="shared" si="0"/>
        <v>31.699519286059296</v>
      </c>
      <c r="E37">
        <f t="shared" si="1"/>
        <v>31.26213366152885</v>
      </c>
      <c r="F37">
        <f t="shared" si="2"/>
        <v>32.136904910589742</v>
      </c>
    </row>
    <row r="38" spans="1:6" x14ac:dyDescent="0.3">
      <c r="A38" t="s">
        <v>8</v>
      </c>
      <c r="B38">
        <f>[1]CCJ!B38</f>
        <v>2125833</v>
      </c>
      <c r="C38">
        <f>[1]CCJ!C38</f>
        <v>614361</v>
      </c>
    </row>
    <row r="39" spans="1:6" x14ac:dyDescent="0.3">
      <c r="A39" t="s">
        <v>6</v>
      </c>
      <c r="B39">
        <f>[1]CCJ!B39</f>
        <v>82375</v>
      </c>
      <c r="C39">
        <f>[1]CCJ!C39</f>
        <v>26185</v>
      </c>
      <c r="D39">
        <f>MAX(D2:D37)</f>
        <v>33.476342572542229</v>
      </c>
    </row>
    <row r="40" spans="1:6" x14ac:dyDescent="0.3">
      <c r="A40" t="s">
        <v>7</v>
      </c>
      <c r="B40">
        <f>[1]CCJ!B40</f>
        <v>31431</v>
      </c>
      <c r="C40">
        <f>[1]CCJ!C40</f>
        <v>5369</v>
      </c>
      <c r="D40">
        <f>MIN(D2:D37)</f>
        <v>17.081861856129301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D5F0-A2D0-E14C-AA47-A11E45B6A63C}">
  <dimension ref="A1:F40"/>
  <sheetViews>
    <sheetView topLeftCell="A11" workbookViewId="0">
      <selection activeCell="E1" sqref="E1:F37"/>
    </sheetView>
  </sheetViews>
  <sheetFormatPr defaultColWidth="11.44140625" defaultRowHeight="17.25" x14ac:dyDescent="0.3"/>
  <sheetData>
    <row r="1" spans="1:6" x14ac:dyDescent="0.3">
      <c r="A1" t="s">
        <v>0</v>
      </c>
      <c r="B1" t="str">
        <f>[1]ALL!B1</f>
        <v>Total article count</v>
      </c>
      <c r="C1" t="str">
        <f>[1]ALL!C1</f>
        <v>HasPvalue</v>
      </c>
      <c r="D1" t="s">
        <v>1</v>
      </c>
      <c r="E1" t="s">
        <v>24</v>
      </c>
      <c r="F1" t="s">
        <v>25</v>
      </c>
    </row>
    <row r="2" spans="1:6" x14ac:dyDescent="0.3">
      <c r="A2">
        <v>1990</v>
      </c>
      <c r="B2">
        <f>[1]ALL!B2</f>
        <v>278716</v>
      </c>
      <c r="C2">
        <f>[1]ALL!C2</f>
        <v>20882</v>
      </c>
      <c r="D2">
        <f>C2/B2*100</f>
        <v>7.4922142969904844</v>
      </c>
      <c r="E2">
        <f>D2-1.96*SQRT(D2*(100-D2)/B2)</f>
        <v>7.3944749666100194</v>
      </c>
      <c r="F2">
        <f>D2+1.96*SQRT(D2*(100-D2)/B2)</f>
        <v>7.5899536273709494</v>
      </c>
    </row>
    <row r="3" spans="1:6" x14ac:dyDescent="0.3">
      <c r="A3">
        <v>1991</v>
      </c>
      <c r="B3">
        <f>[1]ALL!B3</f>
        <v>281501</v>
      </c>
      <c r="C3">
        <f>[1]ALL!C3</f>
        <v>22765</v>
      </c>
      <c r="D3">
        <f t="shared" ref="D3:D37" si="0">C3/B3*100</f>
        <v>8.0870050195203582</v>
      </c>
      <c r="E3">
        <f t="shared" ref="E3:E37" si="1">D3-1.96*SQRT(D3*(100-D3)/B3)</f>
        <v>7.9862890319399389</v>
      </c>
      <c r="F3">
        <f t="shared" ref="F3:F37" si="2">D3+1.96*SQRT(D3*(100-D3)/B3)</f>
        <v>8.1877210071007767</v>
      </c>
    </row>
    <row r="4" spans="1:6" x14ac:dyDescent="0.3">
      <c r="A4">
        <f>A2+2</f>
        <v>1992</v>
      </c>
      <c r="B4">
        <f>[1]ALL!B4</f>
        <v>287106</v>
      </c>
      <c r="C4">
        <f>[1]ALL!C4</f>
        <v>25095</v>
      </c>
      <c r="D4">
        <f t="shared" si="0"/>
        <v>8.7406741760882749</v>
      </c>
      <c r="E4">
        <f t="shared" si="1"/>
        <v>8.637363303229284</v>
      </c>
      <c r="F4">
        <f t="shared" si="2"/>
        <v>8.8439850489472658</v>
      </c>
    </row>
    <row r="5" spans="1:6" x14ac:dyDescent="0.3">
      <c r="A5">
        <f t="shared" ref="A5:A20" si="3">A3+2</f>
        <v>1993</v>
      </c>
      <c r="B5">
        <f>[1]ALL!B5</f>
        <v>292438</v>
      </c>
      <c r="C5">
        <f>[1]ALL!C5</f>
        <v>27237</v>
      </c>
      <c r="D5">
        <f t="shared" si="0"/>
        <v>9.3137690724187685</v>
      </c>
      <c r="E5">
        <f t="shared" si="1"/>
        <v>9.2084341019540847</v>
      </c>
      <c r="F5">
        <f t="shared" si="2"/>
        <v>9.4191040428834523</v>
      </c>
    </row>
    <row r="6" spans="1:6" x14ac:dyDescent="0.3">
      <c r="A6">
        <f t="shared" si="3"/>
        <v>1994</v>
      </c>
      <c r="B6">
        <f>[1]ALL!B6</f>
        <v>300383</v>
      </c>
      <c r="C6">
        <f>[1]ALL!C6</f>
        <v>29583</v>
      </c>
      <c r="D6">
        <f t="shared" si="0"/>
        <v>9.8484268417320546</v>
      </c>
      <c r="E6">
        <f t="shared" si="1"/>
        <v>9.7418682474791023</v>
      </c>
      <c r="F6">
        <f t="shared" si="2"/>
        <v>9.954985435985007</v>
      </c>
    </row>
    <row r="7" spans="1:6" x14ac:dyDescent="0.3">
      <c r="A7">
        <f t="shared" si="3"/>
        <v>1995</v>
      </c>
      <c r="B7">
        <f>[1]ALL!B7</f>
        <v>309682</v>
      </c>
      <c r="C7">
        <f>[1]ALL!C7</f>
        <v>31986</v>
      </c>
      <c r="D7">
        <f t="shared" si="0"/>
        <v>10.328659721908281</v>
      </c>
      <c r="E7">
        <f t="shared" si="1"/>
        <v>10.221471539851519</v>
      </c>
      <c r="F7">
        <f t="shared" si="2"/>
        <v>10.435847903965042</v>
      </c>
    </row>
    <row r="8" spans="1:6" x14ac:dyDescent="0.3">
      <c r="A8">
        <f t="shared" si="3"/>
        <v>1996</v>
      </c>
      <c r="B8">
        <f>[1]ALL!B8</f>
        <v>315735</v>
      </c>
      <c r="C8">
        <f>[1]ALL!C8</f>
        <v>34368</v>
      </c>
      <c r="D8">
        <f t="shared" si="0"/>
        <v>10.885077675899092</v>
      </c>
      <c r="E8">
        <f t="shared" si="1"/>
        <v>10.776438693132386</v>
      </c>
      <c r="F8">
        <f t="shared" si="2"/>
        <v>10.993716658665798</v>
      </c>
    </row>
    <row r="9" spans="1:6" x14ac:dyDescent="0.3">
      <c r="A9">
        <f t="shared" si="3"/>
        <v>1997</v>
      </c>
      <c r="B9">
        <f>[1]ALL!B9</f>
        <v>324663</v>
      </c>
      <c r="C9">
        <f>[1]ALL!C9</f>
        <v>36618</v>
      </c>
      <c r="D9">
        <f t="shared" si="0"/>
        <v>11.278772142190517</v>
      </c>
      <c r="E9">
        <f t="shared" si="1"/>
        <v>11.16995824724458</v>
      </c>
      <c r="F9">
        <f t="shared" si="2"/>
        <v>11.387586037136455</v>
      </c>
    </row>
    <row r="10" spans="1:6" x14ac:dyDescent="0.3">
      <c r="A10">
        <f t="shared" si="3"/>
        <v>1998</v>
      </c>
      <c r="B10">
        <f>[1]ALL!B10</f>
        <v>340071</v>
      </c>
      <c r="C10">
        <f>[1]ALL!C10</f>
        <v>38557</v>
      </c>
      <c r="D10">
        <f t="shared" si="0"/>
        <v>11.337926491820825</v>
      </c>
      <c r="E10">
        <f t="shared" si="1"/>
        <v>11.231363346053334</v>
      </c>
      <c r="F10">
        <f t="shared" si="2"/>
        <v>11.444489637588317</v>
      </c>
    </row>
    <row r="11" spans="1:6" x14ac:dyDescent="0.3">
      <c r="A11">
        <f t="shared" si="3"/>
        <v>1999</v>
      </c>
      <c r="B11">
        <f>[1]ALL!B11</f>
        <v>349352</v>
      </c>
      <c r="C11">
        <f>[1]ALL!C11</f>
        <v>40973</v>
      </c>
      <c r="D11">
        <f t="shared" si="0"/>
        <v>11.72828551146122</v>
      </c>
      <c r="E11">
        <f t="shared" si="1"/>
        <v>11.621588439786402</v>
      </c>
      <c r="F11">
        <f t="shared" si="2"/>
        <v>11.834982583136037</v>
      </c>
    </row>
    <row r="12" spans="1:6" x14ac:dyDescent="0.3">
      <c r="A12">
        <f t="shared" si="3"/>
        <v>2000</v>
      </c>
      <c r="B12">
        <f>[1]ALL!B12</f>
        <v>376786</v>
      </c>
      <c r="C12">
        <f>[1]ALL!C12</f>
        <v>42661</v>
      </c>
      <c r="D12">
        <f t="shared" si="0"/>
        <v>11.322342125238199</v>
      </c>
      <c r="E12">
        <f t="shared" si="1"/>
        <v>11.221164627032609</v>
      </c>
      <c r="F12">
        <f t="shared" si="2"/>
        <v>11.42351962344379</v>
      </c>
    </row>
    <row r="13" spans="1:6" x14ac:dyDescent="0.3">
      <c r="A13">
        <f t="shared" si="3"/>
        <v>2001</v>
      </c>
      <c r="B13">
        <f>[1]ALL!B13</f>
        <v>396538</v>
      </c>
      <c r="C13">
        <f>[1]ALL!C13</f>
        <v>45978</v>
      </c>
      <c r="D13">
        <f t="shared" si="0"/>
        <v>11.594853456667458</v>
      </c>
      <c r="E13">
        <f t="shared" si="1"/>
        <v>11.495201674113407</v>
      </c>
      <c r="F13">
        <f t="shared" si="2"/>
        <v>11.69450523922151</v>
      </c>
    </row>
    <row r="14" spans="1:6" x14ac:dyDescent="0.3">
      <c r="A14">
        <f t="shared" si="3"/>
        <v>2002</v>
      </c>
      <c r="B14">
        <f>[1]ALL!B14</f>
        <v>416028</v>
      </c>
      <c r="C14">
        <f>[1]ALL!C14</f>
        <v>49350</v>
      </c>
      <c r="D14">
        <f t="shared" si="0"/>
        <v>11.862182353110848</v>
      </c>
      <c r="E14">
        <f t="shared" si="1"/>
        <v>11.763926544227688</v>
      </c>
      <c r="F14">
        <f t="shared" si="2"/>
        <v>11.960438161994007</v>
      </c>
    </row>
    <row r="15" spans="1:6" x14ac:dyDescent="0.3">
      <c r="A15">
        <f t="shared" si="3"/>
        <v>2003</v>
      </c>
      <c r="B15">
        <f>[1]ALL!B15</f>
        <v>445521</v>
      </c>
      <c r="C15">
        <f>[1]ALL!C15</f>
        <v>55143</v>
      </c>
      <c r="D15">
        <f t="shared" si="0"/>
        <v>12.377194341007494</v>
      </c>
      <c r="E15">
        <f t="shared" si="1"/>
        <v>12.280490958742293</v>
      </c>
      <c r="F15">
        <f t="shared" si="2"/>
        <v>12.473897723272694</v>
      </c>
    </row>
    <row r="16" spans="1:6" x14ac:dyDescent="0.3">
      <c r="A16">
        <f t="shared" si="3"/>
        <v>2004</v>
      </c>
      <c r="B16">
        <f>[1]ALL!B16</f>
        <v>481295</v>
      </c>
      <c r="C16">
        <f>[1]ALL!C16</f>
        <v>61013</v>
      </c>
      <c r="D16">
        <f t="shared" si="0"/>
        <v>12.676840607112061</v>
      </c>
      <c r="E16">
        <f t="shared" si="1"/>
        <v>12.582842170295834</v>
      </c>
      <c r="F16">
        <f t="shared" si="2"/>
        <v>12.770839043928287</v>
      </c>
    </row>
    <row r="17" spans="1:6" x14ac:dyDescent="0.3">
      <c r="A17">
        <f t="shared" si="3"/>
        <v>2005</v>
      </c>
      <c r="B17">
        <f>[1]ALL!B17</f>
        <v>536057</v>
      </c>
      <c r="C17">
        <f>[1]ALL!C17</f>
        <v>70238</v>
      </c>
      <c r="D17">
        <f t="shared" si="0"/>
        <v>13.102711092290559</v>
      </c>
      <c r="E17">
        <f t="shared" si="1"/>
        <v>13.012380619827606</v>
      </c>
      <c r="F17">
        <f t="shared" si="2"/>
        <v>13.193041564753511</v>
      </c>
    </row>
    <row r="18" spans="1:6" x14ac:dyDescent="0.3">
      <c r="A18">
        <f t="shared" si="3"/>
        <v>2006</v>
      </c>
      <c r="B18">
        <f>[1]ALL!B18</f>
        <v>579809</v>
      </c>
      <c r="C18">
        <f>[1]ALL!C18</f>
        <v>76101</v>
      </c>
      <c r="D18">
        <f t="shared" si="0"/>
        <v>13.125184327942478</v>
      </c>
      <c r="E18">
        <f t="shared" si="1"/>
        <v>13.038265622594743</v>
      </c>
      <c r="F18">
        <f t="shared" si="2"/>
        <v>13.212103033290212</v>
      </c>
    </row>
    <row r="19" spans="1:6" x14ac:dyDescent="0.3">
      <c r="A19">
        <f t="shared" si="3"/>
        <v>2007</v>
      </c>
      <c r="B19">
        <f>[1]ALL!B19</f>
        <v>616538</v>
      </c>
      <c r="C19">
        <f>[1]ALL!C19</f>
        <v>83458</v>
      </c>
      <c r="D19">
        <f t="shared" si="0"/>
        <v>13.536554113452862</v>
      </c>
      <c r="E19">
        <f t="shared" si="1"/>
        <v>13.451156353597415</v>
      </c>
      <c r="F19">
        <f t="shared" si="2"/>
        <v>13.621951873308308</v>
      </c>
    </row>
    <row r="20" spans="1:6" x14ac:dyDescent="0.3">
      <c r="A20">
        <f t="shared" si="3"/>
        <v>2008</v>
      </c>
      <c r="B20">
        <f>[1]ALL!B20</f>
        <v>648270</v>
      </c>
      <c r="C20">
        <f>[1]ALL!C20</f>
        <v>90623</v>
      </c>
      <c r="D20">
        <f t="shared" si="0"/>
        <v>13.979206194949636</v>
      </c>
      <c r="E20">
        <f t="shared" si="1"/>
        <v>13.8947909106164</v>
      </c>
      <c r="F20">
        <f t="shared" si="2"/>
        <v>14.063621479282872</v>
      </c>
    </row>
    <row r="21" spans="1:6" x14ac:dyDescent="0.3">
      <c r="A21">
        <f t="shared" ref="A21:A36" si="4">A19+2</f>
        <v>2009</v>
      </c>
      <c r="B21">
        <f>[1]ALL!B21</f>
        <v>676468</v>
      </c>
      <c r="C21">
        <f>[1]ALL!C21</f>
        <v>96924</v>
      </c>
      <c r="D21">
        <f t="shared" si="0"/>
        <v>14.32795047215833</v>
      </c>
      <c r="E21">
        <f t="shared" si="1"/>
        <v>14.244458627422302</v>
      </c>
      <c r="F21">
        <f t="shared" si="2"/>
        <v>14.411442316894357</v>
      </c>
    </row>
    <row r="22" spans="1:6" x14ac:dyDescent="0.3">
      <c r="A22">
        <f t="shared" si="4"/>
        <v>2010</v>
      </c>
      <c r="B22">
        <f>[1]ALL!B22</f>
        <v>725028</v>
      </c>
      <c r="C22">
        <f>[1]ALL!C22</f>
        <v>106185</v>
      </c>
      <c r="D22">
        <f t="shared" si="0"/>
        <v>14.645641271785365</v>
      </c>
      <c r="E22">
        <f t="shared" si="1"/>
        <v>14.564256016526054</v>
      </c>
      <c r="F22">
        <f t="shared" si="2"/>
        <v>14.727026527044677</v>
      </c>
    </row>
    <row r="23" spans="1:6" x14ac:dyDescent="0.3">
      <c r="A23">
        <f t="shared" si="4"/>
        <v>2011</v>
      </c>
      <c r="B23">
        <f>[1]ALL!B23</f>
        <v>776404</v>
      </c>
      <c r="C23">
        <f>[1]ALL!C23</f>
        <v>118039</v>
      </c>
      <c r="D23">
        <f t="shared" si="0"/>
        <v>15.203296222069953</v>
      </c>
      <c r="E23">
        <f t="shared" si="1"/>
        <v>15.123428636946835</v>
      </c>
      <c r="F23">
        <f t="shared" si="2"/>
        <v>15.283163807193072</v>
      </c>
    </row>
    <row r="24" spans="1:6" x14ac:dyDescent="0.3">
      <c r="A24">
        <f>A22+2</f>
        <v>2012</v>
      </c>
      <c r="B24">
        <f>[1]ALL!B24</f>
        <v>820315</v>
      </c>
      <c r="C24">
        <f>[1]ALL!C24</f>
        <v>128508</v>
      </c>
      <c r="D24">
        <f t="shared" si="0"/>
        <v>15.665689399803734</v>
      </c>
      <c r="E24">
        <f t="shared" si="1"/>
        <v>15.587031444971659</v>
      </c>
      <c r="F24">
        <f t="shared" si="2"/>
        <v>15.744347354635808</v>
      </c>
    </row>
    <row r="25" spans="1:6" x14ac:dyDescent="0.3">
      <c r="A25">
        <f t="shared" si="4"/>
        <v>2013</v>
      </c>
      <c r="B25">
        <f>[1]ALL!B25</f>
        <v>855653</v>
      </c>
      <c r="C25">
        <f>[1]ALL!C25</f>
        <v>138951</v>
      </c>
      <c r="D25">
        <f t="shared" si="0"/>
        <v>16.239176395104092</v>
      </c>
      <c r="E25">
        <f t="shared" si="1"/>
        <v>16.161029864500364</v>
      </c>
      <c r="F25">
        <f t="shared" si="2"/>
        <v>16.317322925707821</v>
      </c>
    </row>
    <row r="26" spans="1:6" x14ac:dyDescent="0.3">
      <c r="A26">
        <f t="shared" si="4"/>
        <v>2014</v>
      </c>
      <c r="B26">
        <f>[1]ALL!B26</f>
        <v>876761</v>
      </c>
      <c r="C26">
        <f>[1]ALL!C26</f>
        <v>146519</v>
      </c>
      <c r="D26">
        <f t="shared" si="0"/>
        <v>16.711395693923428</v>
      </c>
      <c r="E26">
        <f t="shared" si="1"/>
        <v>16.633302243237601</v>
      </c>
      <c r="F26">
        <f t="shared" si="2"/>
        <v>16.789489144609256</v>
      </c>
    </row>
    <row r="27" spans="1:6" x14ac:dyDescent="0.3">
      <c r="A27">
        <f t="shared" si="4"/>
        <v>2015</v>
      </c>
      <c r="B27">
        <f>[1]ALL!B27</f>
        <v>884808</v>
      </c>
      <c r="C27">
        <f>[1]ALL!C27</f>
        <v>153235</v>
      </c>
      <c r="D27">
        <f t="shared" si="0"/>
        <v>17.318446487825607</v>
      </c>
      <c r="E27">
        <f t="shared" si="1"/>
        <v>17.239598551506692</v>
      </c>
      <c r="F27">
        <f t="shared" si="2"/>
        <v>17.397294424144523</v>
      </c>
    </row>
    <row r="28" spans="1:6" x14ac:dyDescent="0.3">
      <c r="A28">
        <f t="shared" si="4"/>
        <v>2016</v>
      </c>
      <c r="B28">
        <f>[1]ALL!B28</f>
        <v>881192</v>
      </c>
      <c r="C28">
        <f>[1]ALL!C28</f>
        <v>155077</v>
      </c>
      <c r="D28">
        <f t="shared" si="0"/>
        <v>17.598548329989377</v>
      </c>
      <c r="E28">
        <f t="shared" si="1"/>
        <v>17.519037433080154</v>
      </c>
      <c r="F28">
        <f t="shared" si="2"/>
        <v>17.678059226898601</v>
      </c>
    </row>
    <row r="29" spans="1:6" x14ac:dyDescent="0.3">
      <c r="A29">
        <f t="shared" si="4"/>
        <v>2017</v>
      </c>
      <c r="B29">
        <f>[1]ALL!B29</f>
        <v>882495</v>
      </c>
      <c r="C29">
        <f>[1]ALL!C29</f>
        <v>157484</v>
      </c>
      <c r="D29">
        <f t="shared" si="0"/>
        <v>17.845313571181705</v>
      </c>
      <c r="E29">
        <f t="shared" si="1"/>
        <v>17.765426185770639</v>
      </c>
      <c r="F29">
        <f t="shared" si="2"/>
        <v>17.925200956592771</v>
      </c>
    </row>
    <row r="30" spans="1:6" x14ac:dyDescent="0.3">
      <c r="A30">
        <f t="shared" si="4"/>
        <v>2018</v>
      </c>
      <c r="B30">
        <f>[1]ALL!B30</f>
        <v>900568</v>
      </c>
      <c r="C30">
        <f>[1]ALL!C30</f>
        <v>162452</v>
      </c>
      <c r="D30">
        <f t="shared" si="0"/>
        <v>18.038837711311086</v>
      </c>
      <c r="E30">
        <f t="shared" si="1"/>
        <v>17.959422052000903</v>
      </c>
      <c r="F30">
        <f t="shared" si="2"/>
        <v>18.118253370621268</v>
      </c>
    </row>
    <row r="31" spans="1:6" x14ac:dyDescent="0.3">
      <c r="A31">
        <f t="shared" si="4"/>
        <v>2019</v>
      </c>
      <c r="B31">
        <f>[1]ALL!B31</f>
        <v>941231</v>
      </c>
      <c r="C31">
        <f>[1]ALL!C31</f>
        <v>169776</v>
      </c>
      <c r="D31">
        <f t="shared" si="0"/>
        <v>18.037654943366718</v>
      </c>
      <c r="E31">
        <f t="shared" si="1"/>
        <v>17.959975664473973</v>
      </c>
      <c r="F31">
        <f t="shared" si="2"/>
        <v>18.115334222259463</v>
      </c>
    </row>
    <row r="32" spans="1:6" x14ac:dyDescent="0.3">
      <c r="A32">
        <f t="shared" si="4"/>
        <v>2020</v>
      </c>
      <c r="B32">
        <f>[1]ALL!B32</f>
        <v>1043379</v>
      </c>
      <c r="C32">
        <f>[1]ALL!C32</f>
        <v>191959</v>
      </c>
      <c r="D32">
        <f t="shared" si="0"/>
        <v>18.397820926048926</v>
      </c>
      <c r="E32">
        <f t="shared" si="1"/>
        <v>18.323472959069864</v>
      </c>
      <c r="F32">
        <f t="shared" si="2"/>
        <v>18.472168893027987</v>
      </c>
    </row>
    <row r="33" spans="1:6" x14ac:dyDescent="0.3">
      <c r="A33">
        <f t="shared" si="4"/>
        <v>2021</v>
      </c>
      <c r="B33">
        <f>[1]ALL!B33</f>
        <v>1112394</v>
      </c>
      <c r="C33">
        <f>[1]ALL!C33</f>
        <v>206278</v>
      </c>
      <c r="D33">
        <f t="shared" si="0"/>
        <v>18.5436095484154</v>
      </c>
      <c r="E33">
        <f t="shared" si="1"/>
        <v>18.471384728050449</v>
      </c>
      <c r="F33">
        <f t="shared" si="2"/>
        <v>18.615834368780352</v>
      </c>
    </row>
    <row r="34" spans="1:6" x14ac:dyDescent="0.3">
      <c r="A34">
        <f t="shared" si="4"/>
        <v>2022</v>
      </c>
      <c r="B34">
        <f>[1]ALL!B34</f>
        <v>1092792</v>
      </c>
      <c r="C34">
        <f>[1]ALL!C34</f>
        <v>197052</v>
      </c>
      <c r="D34">
        <f t="shared" si="0"/>
        <v>18.031976808029341</v>
      </c>
      <c r="E34">
        <f t="shared" si="1"/>
        <v>17.959894079317294</v>
      </c>
      <c r="F34">
        <f t="shared" si="2"/>
        <v>18.104059536741389</v>
      </c>
    </row>
    <row r="35" spans="1:6" x14ac:dyDescent="0.3">
      <c r="A35">
        <f t="shared" si="4"/>
        <v>2023</v>
      </c>
      <c r="B35">
        <f>[1]ALL!B35</f>
        <v>978968</v>
      </c>
      <c r="C35">
        <f>[1]ALL!C35</f>
        <v>178431</v>
      </c>
      <c r="D35">
        <f t="shared" si="0"/>
        <v>18.226438453555172</v>
      </c>
      <c r="E35">
        <f t="shared" si="1"/>
        <v>18.14996174527688</v>
      </c>
      <c r="F35">
        <f t="shared" si="2"/>
        <v>18.302915161833464</v>
      </c>
    </row>
    <row r="36" spans="1:6" x14ac:dyDescent="0.3">
      <c r="A36">
        <f t="shared" si="4"/>
        <v>2024</v>
      </c>
      <c r="B36">
        <f>[1]ALL!B36</f>
        <v>1018395</v>
      </c>
      <c r="C36">
        <f>[1]ALL!C36</f>
        <v>184181</v>
      </c>
      <c r="D36">
        <f t="shared" si="0"/>
        <v>18.085418722597812</v>
      </c>
      <c r="E36">
        <f t="shared" si="1"/>
        <v>18.01066327708201</v>
      </c>
      <c r="F36">
        <f t="shared" si="2"/>
        <v>18.160174168113613</v>
      </c>
    </row>
    <row r="37" spans="1:6" x14ac:dyDescent="0.3">
      <c r="A37">
        <v>2025</v>
      </c>
      <c r="B37">
        <f>[1]ALL!B37</f>
        <v>691456</v>
      </c>
      <c r="C37">
        <f>[1]ALL!C37</f>
        <v>126805</v>
      </c>
      <c r="D37">
        <f t="shared" si="0"/>
        <v>18.338838624583488</v>
      </c>
      <c r="E37">
        <f t="shared" si="1"/>
        <v>18.247623367371798</v>
      </c>
      <c r="F37">
        <f t="shared" si="2"/>
        <v>18.430053881795178</v>
      </c>
    </row>
    <row r="38" spans="1:6" x14ac:dyDescent="0.3">
      <c r="A38" t="s">
        <v>8</v>
      </c>
      <c r="B38">
        <f>[1]ALL!B38</f>
        <v>22734796</v>
      </c>
      <c r="C38">
        <f>[1]ALL!C38</f>
        <v>3500485</v>
      </c>
    </row>
    <row r="39" spans="1:6" x14ac:dyDescent="0.3">
      <c r="A39" t="s">
        <v>6</v>
      </c>
      <c r="B39">
        <f>[1]ALL!B39</f>
        <v>1112394</v>
      </c>
      <c r="C39">
        <f>[1]ALL!C39</f>
        <v>206278</v>
      </c>
      <c r="D39">
        <f>MAX(D2:D37)</f>
        <v>18.5436095484154</v>
      </c>
    </row>
    <row r="40" spans="1:6" x14ac:dyDescent="0.3">
      <c r="A40" t="s">
        <v>7</v>
      </c>
      <c r="B40">
        <f>[1]ALL!B40</f>
        <v>278716</v>
      </c>
      <c r="C40">
        <f>[1]ALL!C40</f>
        <v>20882</v>
      </c>
      <c r="D40">
        <f>MIN(D2:D37)</f>
        <v>7.4922142969904844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FBD1B-ACB1-4044-B4CE-82E1D526CE3A}">
  <dimension ref="A1:D40"/>
  <sheetViews>
    <sheetView workbookViewId="0">
      <selection activeCell="C20" sqref="C20"/>
    </sheetView>
  </sheetViews>
  <sheetFormatPr defaultRowHeight="17.25" x14ac:dyDescent="0.3"/>
  <sheetData>
    <row r="1" spans="1:4" x14ac:dyDescent="0.3">
      <c r="A1" t="s">
        <v>0</v>
      </c>
      <c r="B1" t="str">
        <f>[1]OBS!B1</f>
        <v>Total article count</v>
      </c>
      <c r="C1" t="str">
        <f>[1]OBS!C1</f>
        <v>HasPvalue</v>
      </c>
      <c r="D1" t="s">
        <v>1</v>
      </c>
    </row>
    <row r="2" spans="1:4" x14ac:dyDescent="0.3">
      <c r="A2">
        <v>1990</v>
      </c>
      <c r="B2">
        <f>[1]OBS!B2</f>
        <v>0</v>
      </c>
      <c r="C2">
        <f>[1]OBS!C2</f>
        <v>0</v>
      </c>
      <c r="D2" t="e">
        <f>C2/B2*100</f>
        <v>#DIV/0!</v>
      </c>
    </row>
    <row r="3" spans="1:4" x14ac:dyDescent="0.3">
      <c r="A3">
        <f>A2+1</f>
        <v>1991</v>
      </c>
      <c r="B3">
        <f>[1]OBS!B3</f>
        <v>0</v>
      </c>
      <c r="C3">
        <f>[1]OBS!C3</f>
        <v>0</v>
      </c>
      <c r="D3" t="e">
        <f t="shared" ref="D3:D40" si="0">C3/B3*100</f>
        <v>#DIV/0!</v>
      </c>
    </row>
    <row r="4" spans="1:4" x14ac:dyDescent="0.3">
      <c r="A4">
        <f t="shared" ref="A4:A37" si="1">A3+1</f>
        <v>1992</v>
      </c>
      <c r="B4">
        <f>[1]OBS!B4</f>
        <v>0</v>
      </c>
      <c r="C4">
        <f>[1]OBS!C4</f>
        <v>0</v>
      </c>
      <c r="D4" t="e">
        <f t="shared" si="0"/>
        <v>#DIV/0!</v>
      </c>
    </row>
    <row r="5" spans="1:4" x14ac:dyDescent="0.3">
      <c r="A5">
        <f t="shared" si="1"/>
        <v>1993</v>
      </c>
      <c r="B5">
        <f>[1]OBS!B5</f>
        <v>0</v>
      </c>
      <c r="C5">
        <f>[1]OBS!C5</f>
        <v>0</v>
      </c>
      <c r="D5" t="e">
        <f t="shared" si="0"/>
        <v>#DIV/0!</v>
      </c>
    </row>
    <row r="6" spans="1:4" x14ac:dyDescent="0.3">
      <c r="A6">
        <f t="shared" si="1"/>
        <v>1994</v>
      </c>
      <c r="B6">
        <f>[1]OBS!B6</f>
        <v>0</v>
      </c>
      <c r="C6">
        <f>[1]OBS!C6</f>
        <v>0</v>
      </c>
      <c r="D6" t="e">
        <f t="shared" si="0"/>
        <v>#DIV/0!</v>
      </c>
    </row>
    <row r="7" spans="1:4" x14ac:dyDescent="0.3">
      <c r="A7">
        <f t="shared" si="1"/>
        <v>1995</v>
      </c>
      <c r="B7">
        <f>[1]OBS!B7</f>
        <v>0</v>
      </c>
      <c r="C7">
        <f>[1]OBS!C7</f>
        <v>0</v>
      </c>
      <c r="D7" t="e">
        <f t="shared" si="0"/>
        <v>#DIV/0!</v>
      </c>
    </row>
    <row r="8" spans="1:4" x14ac:dyDescent="0.3">
      <c r="A8">
        <f t="shared" si="1"/>
        <v>1996</v>
      </c>
      <c r="B8">
        <f>[1]OBS!B8</f>
        <v>0</v>
      </c>
      <c r="C8">
        <f>[1]OBS!C8</f>
        <v>0</v>
      </c>
      <c r="D8" t="e">
        <f t="shared" si="0"/>
        <v>#DIV/0!</v>
      </c>
    </row>
    <row r="9" spans="1:4" x14ac:dyDescent="0.3">
      <c r="A9">
        <f t="shared" si="1"/>
        <v>1997</v>
      </c>
      <c r="B9">
        <f>[1]OBS!B9</f>
        <v>0</v>
      </c>
      <c r="C9">
        <f>[1]OBS!C9</f>
        <v>0</v>
      </c>
      <c r="D9" t="e">
        <f t="shared" si="0"/>
        <v>#DIV/0!</v>
      </c>
    </row>
    <row r="10" spans="1:4" x14ac:dyDescent="0.3">
      <c r="A10">
        <f t="shared" si="1"/>
        <v>1998</v>
      </c>
      <c r="B10">
        <f>[1]OBS!B10</f>
        <v>0</v>
      </c>
      <c r="C10">
        <f>[1]OBS!C10</f>
        <v>0</v>
      </c>
      <c r="D10" t="e">
        <f t="shared" si="0"/>
        <v>#DIV/0!</v>
      </c>
    </row>
    <row r="11" spans="1:4" x14ac:dyDescent="0.3">
      <c r="A11">
        <f t="shared" si="1"/>
        <v>1999</v>
      </c>
      <c r="B11">
        <f>[1]OBS!B11</f>
        <v>0</v>
      </c>
      <c r="C11">
        <f>[1]OBS!C11</f>
        <v>0</v>
      </c>
      <c r="D11" t="e">
        <f t="shared" si="0"/>
        <v>#DIV/0!</v>
      </c>
    </row>
    <row r="12" spans="1:4" x14ac:dyDescent="0.3">
      <c r="A12">
        <f t="shared" si="1"/>
        <v>2000</v>
      </c>
      <c r="B12">
        <f>[1]OBS!B12</f>
        <v>0</v>
      </c>
      <c r="C12">
        <f>[1]OBS!C12</f>
        <v>0</v>
      </c>
      <c r="D12" t="e">
        <f t="shared" si="0"/>
        <v>#DIV/0!</v>
      </c>
    </row>
    <row r="13" spans="1:4" x14ac:dyDescent="0.3">
      <c r="A13">
        <f t="shared" si="1"/>
        <v>2001</v>
      </c>
      <c r="B13">
        <f>[1]OBS!B13</f>
        <v>0</v>
      </c>
      <c r="C13">
        <f>[1]OBS!C13</f>
        <v>0</v>
      </c>
      <c r="D13" t="e">
        <f t="shared" si="0"/>
        <v>#DIV/0!</v>
      </c>
    </row>
    <row r="14" spans="1:4" x14ac:dyDescent="0.3">
      <c r="A14">
        <f t="shared" si="1"/>
        <v>2002</v>
      </c>
      <c r="B14">
        <f>[1]OBS!B14</f>
        <v>1</v>
      </c>
      <c r="C14">
        <f>[1]OBS!C14</f>
        <v>1</v>
      </c>
      <c r="D14">
        <f t="shared" si="0"/>
        <v>100</v>
      </c>
    </row>
    <row r="15" spans="1:4" x14ac:dyDescent="0.3">
      <c r="A15">
        <f t="shared" si="1"/>
        <v>2003</v>
      </c>
      <c r="B15">
        <f>[1]OBS!B15</f>
        <v>0</v>
      </c>
      <c r="C15">
        <f>[1]OBS!C15</f>
        <v>0</v>
      </c>
      <c r="D15" t="e">
        <f t="shared" si="0"/>
        <v>#DIV/0!</v>
      </c>
    </row>
    <row r="16" spans="1:4" x14ac:dyDescent="0.3">
      <c r="A16">
        <f t="shared" si="1"/>
        <v>2004</v>
      </c>
      <c r="B16">
        <f>[1]OBS!B16</f>
        <v>0</v>
      </c>
      <c r="C16">
        <f>[1]OBS!C16</f>
        <v>0</v>
      </c>
      <c r="D16" t="e">
        <f t="shared" si="0"/>
        <v>#DIV/0!</v>
      </c>
    </row>
    <row r="17" spans="1:4" x14ac:dyDescent="0.3">
      <c r="A17">
        <f t="shared" si="1"/>
        <v>2005</v>
      </c>
      <c r="B17">
        <f>[1]OBS!B17</f>
        <v>1</v>
      </c>
      <c r="C17">
        <f>[1]OBS!C17</f>
        <v>0</v>
      </c>
      <c r="D17">
        <f t="shared" si="0"/>
        <v>0</v>
      </c>
    </row>
    <row r="18" spans="1:4" x14ac:dyDescent="0.3">
      <c r="A18">
        <f t="shared" si="1"/>
        <v>2006</v>
      </c>
      <c r="B18">
        <f>[1]OBS!B18</f>
        <v>1</v>
      </c>
      <c r="C18">
        <f>[1]OBS!C18</f>
        <v>0</v>
      </c>
      <c r="D18">
        <f t="shared" si="0"/>
        <v>0</v>
      </c>
    </row>
    <row r="19" spans="1:4" x14ac:dyDescent="0.3">
      <c r="A19">
        <f t="shared" si="1"/>
        <v>2007</v>
      </c>
      <c r="B19">
        <f>[1]OBS!B19</f>
        <v>1</v>
      </c>
      <c r="C19">
        <f>[1]OBS!C19</f>
        <v>0</v>
      </c>
      <c r="D19">
        <f t="shared" si="0"/>
        <v>0</v>
      </c>
    </row>
    <row r="20" spans="1:4" x14ac:dyDescent="0.3">
      <c r="A20">
        <f t="shared" si="1"/>
        <v>2008</v>
      </c>
      <c r="B20">
        <f>[1]OBS!B20</f>
        <v>1</v>
      </c>
      <c r="C20">
        <f>[1]OBS!C20</f>
        <v>0</v>
      </c>
      <c r="D20">
        <f t="shared" si="0"/>
        <v>0</v>
      </c>
    </row>
    <row r="21" spans="1:4" x14ac:dyDescent="0.3">
      <c r="A21">
        <f t="shared" si="1"/>
        <v>2009</v>
      </c>
      <c r="B21">
        <f>[1]OBS!B21</f>
        <v>6</v>
      </c>
      <c r="C21">
        <f>[1]OBS!C21</f>
        <v>2</v>
      </c>
      <c r="D21">
        <f t="shared" si="0"/>
        <v>33.333333333333329</v>
      </c>
    </row>
    <row r="22" spans="1:4" x14ac:dyDescent="0.3">
      <c r="A22">
        <f t="shared" si="1"/>
        <v>2010</v>
      </c>
      <c r="B22">
        <f>[1]OBS!B22</f>
        <v>33</v>
      </c>
      <c r="C22">
        <f>[1]OBS!C22</f>
        <v>19</v>
      </c>
      <c r="D22">
        <f t="shared" si="0"/>
        <v>57.575757575757578</v>
      </c>
    </row>
    <row r="23" spans="1:4" x14ac:dyDescent="0.3">
      <c r="A23">
        <f t="shared" si="1"/>
        <v>2011</v>
      </c>
      <c r="B23">
        <f>[1]OBS!B23</f>
        <v>69</v>
      </c>
      <c r="C23">
        <f>[1]OBS!C23</f>
        <v>42</v>
      </c>
      <c r="D23">
        <f t="shared" si="0"/>
        <v>60.869565217391312</v>
      </c>
    </row>
    <row r="24" spans="1:4" x14ac:dyDescent="0.3">
      <c r="A24">
        <f t="shared" si="1"/>
        <v>2012</v>
      </c>
      <c r="B24">
        <f>[1]OBS!B24</f>
        <v>639</v>
      </c>
      <c r="C24">
        <f>[1]OBS!C24</f>
        <v>297</v>
      </c>
      <c r="D24">
        <f t="shared" si="0"/>
        <v>46.478873239436616</v>
      </c>
    </row>
    <row r="25" spans="1:4" x14ac:dyDescent="0.3">
      <c r="A25">
        <f t="shared" si="1"/>
        <v>2013</v>
      </c>
      <c r="B25">
        <f>[1]OBS!B25</f>
        <v>5492</v>
      </c>
      <c r="C25">
        <f>[1]OBS!C25</f>
        <v>2751</v>
      </c>
      <c r="D25">
        <f t="shared" si="0"/>
        <v>50.091041514930815</v>
      </c>
    </row>
    <row r="26" spans="1:4" x14ac:dyDescent="0.3">
      <c r="A26">
        <f t="shared" si="1"/>
        <v>2014</v>
      </c>
      <c r="B26">
        <f>[1]OBS!B26</f>
        <v>11337</v>
      </c>
      <c r="C26">
        <f>[1]OBS!C26</f>
        <v>5657</v>
      </c>
      <c r="D26">
        <f t="shared" si="0"/>
        <v>49.898562229866805</v>
      </c>
    </row>
    <row r="27" spans="1:4" x14ac:dyDescent="0.3">
      <c r="A27">
        <f t="shared" si="1"/>
        <v>2015</v>
      </c>
      <c r="B27">
        <f>[1]OBS!B27</f>
        <v>13825</v>
      </c>
      <c r="C27">
        <f>[1]OBS!C27</f>
        <v>6973</v>
      </c>
      <c r="D27">
        <f t="shared" si="0"/>
        <v>50.437613019891501</v>
      </c>
    </row>
    <row r="28" spans="1:4" x14ac:dyDescent="0.3">
      <c r="A28">
        <f t="shared" si="1"/>
        <v>2016</v>
      </c>
      <c r="B28">
        <f>[1]OBS!B28</f>
        <v>15304</v>
      </c>
      <c r="C28">
        <f>[1]OBS!C28</f>
        <v>7820</v>
      </c>
      <c r="D28">
        <f t="shared" si="0"/>
        <v>51.0977522216414</v>
      </c>
    </row>
    <row r="29" spans="1:4" x14ac:dyDescent="0.3">
      <c r="A29">
        <f t="shared" si="1"/>
        <v>2017</v>
      </c>
      <c r="B29">
        <f>[1]OBS!B29</f>
        <v>16659</v>
      </c>
      <c r="C29">
        <f>[1]OBS!C29</f>
        <v>8557</v>
      </c>
      <c r="D29">
        <f t="shared" si="0"/>
        <v>51.36562818896693</v>
      </c>
    </row>
    <row r="30" spans="1:4" x14ac:dyDescent="0.3">
      <c r="A30">
        <f t="shared" si="1"/>
        <v>2018</v>
      </c>
      <c r="B30">
        <f>[1]OBS!B30</f>
        <v>18349</v>
      </c>
      <c r="C30">
        <f>[1]OBS!C30</f>
        <v>9309</v>
      </c>
      <c r="D30">
        <f t="shared" si="0"/>
        <v>50.733009973295552</v>
      </c>
    </row>
    <row r="31" spans="1:4" x14ac:dyDescent="0.3">
      <c r="A31">
        <f t="shared" si="1"/>
        <v>2019</v>
      </c>
      <c r="B31">
        <f>[1]OBS!B31</f>
        <v>20068</v>
      </c>
      <c r="C31">
        <f>[1]OBS!C31</f>
        <v>10099</v>
      </c>
      <c r="D31">
        <f t="shared" si="0"/>
        <v>50.323898744269478</v>
      </c>
    </row>
    <row r="32" spans="1:4" x14ac:dyDescent="0.3">
      <c r="A32">
        <f t="shared" si="1"/>
        <v>2020</v>
      </c>
      <c r="B32">
        <f>[1]OBS!B32</f>
        <v>22491</v>
      </c>
      <c r="C32">
        <f>[1]OBS!C32</f>
        <v>11186</v>
      </c>
      <c r="D32">
        <f t="shared" si="0"/>
        <v>49.735449735449734</v>
      </c>
    </row>
    <row r="33" spans="1:4" x14ac:dyDescent="0.3">
      <c r="A33">
        <f t="shared" si="1"/>
        <v>2021</v>
      </c>
      <c r="B33">
        <f>[1]OBS!B33</f>
        <v>23297</v>
      </c>
      <c r="C33">
        <f>[1]OBS!C33</f>
        <v>11185</v>
      </c>
      <c r="D33">
        <f t="shared" si="0"/>
        <v>48.010473451517363</v>
      </c>
    </row>
    <row r="34" spans="1:4" x14ac:dyDescent="0.3">
      <c r="A34">
        <f t="shared" si="1"/>
        <v>2022</v>
      </c>
      <c r="B34">
        <f>[1]OBS!B34</f>
        <v>18233</v>
      </c>
      <c r="C34">
        <f>[1]OBS!C34</f>
        <v>8780</v>
      </c>
      <c r="D34">
        <f t="shared" si="0"/>
        <v>48.154445236658802</v>
      </c>
    </row>
    <row r="35" spans="1:4" x14ac:dyDescent="0.3">
      <c r="A35">
        <f t="shared" si="1"/>
        <v>2023</v>
      </c>
      <c r="B35">
        <f>[1]OBS!B35</f>
        <v>16328</v>
      </c>
      <c r="C35">
        <f>[1]OBS!C35</f>
        <v>7919</v>
      </c>
      <c r="D35">
        <f t="shared" si="0"/>
        <v>48.499510044096034</v>
      </c>
    </row>
    <row r="36" spans="1:4" x14ac:dyDescent="0.3">
      <c r="A36">
        <f t="shared" si="1"/>
        <v>2024</v>
      </c>
      <c r="B36">
        <f>[1]OBS!B36</f>
        <v>19084</v>
      </c>
      <c r="C36">
        <f>[1]OBS!C36</f>
        <v>9252</v>
      </c>
      <c r="D36">
        <f t="shared" si="0"/>
        <v>48.480402431356111</v>
      </c>
    </row>
    <row r="37" spans="1:4" x14ac:dyDescent="0.3">
      <c r="A37">
        <f t="shared" si="1"/>
        <v>2025</v>
      </c>
      <c r="B37">
        <f>[1]OBS!B37</f>
        <v>14630</v>
      </c>
      <c r="C37">
        <f>[1]OBS!C37</f>
        <v>7344</v>
      </c>
      <c r="D37">
        <f t="shared" si="0"/>
        <v>50.198222829801779</v>
      </c>
    </row>
    <row r="38" spans="1:4" x14ac:dyDescent="0.3">
      <c r="A38" t="s">
        <v>8</v>
      </c>
      <c r="B38">
        <f>[1]OBS!B38</f>
        <v>215849</v>
      </c>
      <c r="C38">
        <f>[1]OBS!C38</f>
        <v>107193</v>
      </c>
      <c r="D38">
        <f t="shared" si="0"/>
        <v>49.661105680359881</v>
      </c>
    </row>
    <row r="39" spans="1:4" x14ac:dyDescent="0.3">
      <c r="A39" t="s">
        <v>6</v>
      </c>
      <c r="B39">
        <f>[1]OBS!B39</f>
        <v>23297</v>
      </c>
      <c r="C39">
        <f>[1]OBS!C39</f>
        <v>11186</v>
      </c>
      <c r="D39">
        <f t="shared" si="0"/>
        <v>48.014765849680217</v>
      </c>
    </row>
    <row r="40" spans="1:4" x14ac:dyDescent="0.3">
      <c r="A40" t="s">
        <v>7</v>
      </c>
      <c r="B40">
        <f>[1]OBS!B40</f>
        <v>0</v>
      </c>
      <c r="C40">
        <f>[1]OBS!C40</f>
        <v>0</v>
      </c>
      <c r="D40" t="e">
        <f t="shared" si="0"/>
        <v>#DIV/0!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9CD83-FDC0-4D92-8A3D-CD1D1F74C4D6}">
  <dimension ref="A1:D40"/>
  <sheetViews>
    <sheetView topLeftCell="A19" workbookViewId="0">
      <selection activeCell="B32" sqref="B32"/>
    </sheetView>
  </sheetViews>
  <sheetFormatPr defaultRowHeight="17.25" x14ac:dyDescent="0.3"/>
  <sheetData>
    <row r="1" spans="1:4" x14ac:dyDescent="0.3">
      <c r="A1" t="s">
        <v>0</v>
      </c>
      <c r="B1" t="str">
        <f>[1]ALL!B1</f>
        <v>Total article count</v>
      </c>
      <c r="C1" t="str">
        <f>[1]ALL!C1</f>
        <v>HasPvalue</v>
      </c>
      <c r="D1" t="s">
        <v>1</v>
      </c>
    </row>
    <row r="2" spans="1:4" x14ac:dyDescent="0.3">
      <c r="A2">
        <v>1990</v>
      </c>
      <c r="B2">
        <f>[1]SYSREV!B2</f>
        <v>4</v>
      </c>
      <c r="C2">
        <f>[1]SYSREV!C2</f>
        <v>0</v>
      </c>
      <c r="D2">
        <f>C2/B2*100</f>
        <v>0</v>
      </c>
    </row>
    <row r="3" spans="1:4" x14ac:dyDescent="0.3">
      <c r="A3">
        <f>A2+1</f>
        <v>1991</v>
      </c>
      <c r="B3">
        <f>[1]SYSREV!B3</f>
        <v>7</v>
      </c>
      <c r="C3">
        <f>[1]SYSREV!C3</f>
        <v>0</v>
      </c>
      <c r="D3">
        <f t="shared" ref="D3:D40" si="0">C3/B3*100</f>
        <v>0</v>
      </c>
    </row>
    <row r="4" spans="1:4" x14ac:dyDescent="0.3">
      <c r="A4">
        <f t="shared" ref="A4:A37" si="1">A3+1</f>
        <v>1992</v>
      </c>
      <c r="B4">
        <f>[1]SYSREV!B4</f>
        <v>2</v>
      </c>
      <c r="C4">
        <f>[1]SYSREV!C4</f>
        <v>0</v>
      </c>
      <c r="D4">
        <f t="shared" si="0"/>
        <v>0</v>
      </c>
    </row>
    <row r="5" spans="1:4" x14ac:dyDescent="0.3">
      <c r="A5">
        <f t="shared" si="1"/>
        <v>1993</v>
      </c>
      <c r="B5">
        <f>[1]SYSREV!B5</f>
        <v>8</v>
      </c>
      <c r="C5">
        <f>[1]SYSREV!C5</f>
        <v>0</v>
      </c>
      <c r="D5">
        <f t="shared" si="0"/>
        <v>0</v>
      </c>
    </row>
    <row r="6" spans="1:4" x14ac:dyDescent="0.3">
      <c r="A6">
        <f t="shared" si="1"/>
        <v>1994</v>
      </c>
      <c r="B6">
        <f>[1]SYSREV!B6</f>
        <v>22</v>
      </c>
      <c r="C6">
        <f>[1]SYSREV!C6</f>
        <v>0</v>
      </c>
      <c r="D6">
        <f t="shared" si="0"/>
        <v>0</v>
      </c>
    </row>
    <row r="7" spans="1:4" x14ac:dyDescent="0.3">
      <c r="A7">
        <f t="shared" si="1"/>
        <v>1995</v>
      </c>
      <c r="B7">
        <f>[1]SYSREV!B7</f>
        <v>36</v>
      </c>
      <c r="C7">
        <f>[1]SYSREV!C7</f>
        <v>3</v>
      </c>
      <c r="D7">
        <f t="shared" si="0"/>
        <v>8.3333333333333321</v>
      </c>
    </row>
    <row r="8" spans="1:4" x14ac:dyDescent="0.3">
      <c r="A8">
        <f t="shared" si="1"/>
        <v>1996</v>
      </c>
      <c r="B8">
        <f>[1]SYSREV!B8</f>
        <v>69</v>
      </c>
      <c r="C8">
        <f>[1]SYSREV!C8</f>
        <v>4</v>
      </c>
      <c r="D8">
        <f t="shared" si="0"/>
        <v>5.7971014492753623</v>
      </c>
    </row>
    <row r="9" spans="1:4" x14ac:dyDescent="0.3">
      <c r="A9">
        <f t="shared" si="1"/>
        <v>1997</v>
      </c>
      <c r="B9">
        <f>[1]SYSREV!B9</f>
        <v>127</v>
      </c>
      <c r="C9">
        <f>[1]SYSREV!C9</f>
        <v>9</v>
      </c>
      <c r="D9">
        <f t="shared" si="0"/>
        <v>7.0866141732283463</v>
      </c>
    </row>
    <row r="10" spans="1:4" x14ac:dyDescent="0.3">
      <c r="A10">
        <f t="shared" si="1"/>
        <v>1998</v>
      </c>
      <c r="B10">
        <f>[1]SYSREV!B10</f>
        <v>205</v>
      </c>
      <c r="C10">
        <f>[1]SYSREV!C10</f>
        <v>8</v>
      </c>
      <c r="D10">
        <f t="shared" si="0"/>
        <v>3.9024390243902438</v>
      </c>
    </row>
    <row r="11" spans="1:4" x14ac:dyDescent="0.3">
      <c r="A11">
        <f t="shared" si="1"/>
        <v>1999</v>
      </c>
      <c r="B11">
        <f>[1]SYSREV!B11</f>
        <v>276</v>
      </c>
      <c r="C11">
        <f>[1]SYSREV!C11</f>
        <v>17</v>
      </c>
      <c r="D11">
        <f t="shared" si="0"/>
        <v>6.1594202898550732</v>
      </c>
    </row>
    <row r="12" spans="1:4" x14ac:dyDescent="0.3">
      <c r="A12">
        <f t="shared" si="1"/>
        <v>2000</v>
      </c>
      <c r="B12">
        <f>[1]SYSREV!B12</f>
        <v>1387</v>
      </c>
      <c r="C12">
        <f>[1]SYSREV!C12</f>
        <v>74</v>
      </c>
      <c r="D12">
        <f t="shared" si="0"/>
        <v>5.3352559480894008</v>
      </c>
    </row>
    <row r="13" spans="1:4" x14ac:dyDescent="0.3">
      <c r="A13">
        <f t="shared" si="1"/>
        <v>2001</v>
      </c>
      <c r="B13">
        <f>[1]SYSREV!B13</f>
        <v>1034</v>
      </c>
      <c r="C13">
        <f>[1]SYSREV!C13</f>
        <v>70</v>
      </c>
      <c r="D13">
        <f t="shared" si="0"/>
        <v>6.7698259187620886</v>
      </c>
    </row>
    <row r="14" spans="1:4" x14ac:dyDescent="0.3">
      <c r="A14">
        <f t="shared" si="1"/>
        <v>2002</v>
      </c>
      <c r="B14">
        <f>[1]SYSREV!B14</f>
        <v>1161</v>
      </c>
      <c r="C14">
        <f>[1]SYSREV!C14</f>
        <v>92</v>
      </c>
      <c r="D14">
        <f t="shared" si="0"/>
        <v>7.9242032730404821</v>
      </c>
    </row>
    <row r="15" spans="1:4" x14ac:dyDescent="0.3">
      <c r="A15">
        <f t="shared" si="1"/>
        <v>2003</v>
      </c>
      <c r="B15">
        <f>[1]SYSREV!B15</f>
        <v>1369</v>
      </c>
      <c r="C15">
        <f>[1]SYSREV!C15</f>
        <v>136</v>
      </c>
      <c r="D15">
        <f t="shared" si="0"/>
        <v>9.9342585829072316</v>
      </c>
    </row>
    <row r="16" spans="1:4" x14ac:dyDescent="0.3">
      <c r="A16">
        <f t="shared" si="1"/>
        <v>2004</v>
      </c>
      <c r="B16">
        <f>[1]SYSREV!B16</f>
        <v>1694</v>
      </c>
      <c r="C16">
        <f>[1]SYSREV!C16</f>
        <v>170</v>
      </c>
      <c r="D16">
        <f t="shared" si="0"/>
        <v>10.035419126328216</v>
      </c>
    </row>
    <row r="17" spans="1:4" x14ac:dyDescent="0.3">
      <c r="A17">
        <f t="shared" si="1"/>
        <v>2005</v>
      </c>
      <c r="B17">
        <f>[1]SYSREV!B17</f>
        <v>1993</v>
      </c>
      <c r="C17">
        <f>[1]SYSREV!C17</f>
        <v>212</v>
      </c>
      <c r="D17">
        <f t="shared" si="0"/>
        <v>10.637230306071249</v>
      </c>
    </row>
    <row r="18" spans="1:4" x14ac:dyDescent="0.3">
      <c r="A18">
        <f t="shared" si="1"/>
        <v>2006</v>
      </c>
      <c r="B18">
        <f>[1]SYSREV!B18</f>
        <v>2479</v>
      </c>
      <c r="C18">
        <f>[1]SYSREV!C18</f>
        <v>269</v>
      </c>
      <c r="D18">
        <f t="shared" si="0"/>
        <v>10.851149657119805</v>
      </c>
    </row>
    <row r="19" spans="1:4" x14ac:dyDescent="0.3">
      <c r="A19">
        <f t="shared" si="1"/>
        <v>2007</v>
      </c>
      <c r="B19">
        <f>[1]SYSREV!B19</f>
        <v>3317</v>
      </c>
      <c r="C19">
        <f>[1]SYSREV!C19</f>
        <v>383</v>
      </c>
      <c r="D19">
        <f t="shared" si="0"/>
        <v>11.546578233343382</v>
      </c>
    </row>
    <row r="20" spans="1:4" x14ac:dyDescent="0.3">
      <c r="A20">
        <f t="shared" si="1"/>
        <v>2008</v>
      </c>
      <c r="B20">
        <f>[1]SYSREV!B20</f>
        <v>3614</v>
      </c>
      <c r="C20">
        <f>[1]SYSREV!C20</f>
        <v>447</v>
      </c>
      <c r="D20">
        <f t="shared" si="0"/>
        <v>12.368566685113448</v>
      </c>
    </row>
    <row r="21" spans="1:4" x14ac:dyDescent="0.3">
      <c r="A21">
        <f t="shared" si="1"/>
        <v>2009</v>
      </c>
      <c r="B21">
        <f>[1]SYSREV!B21</f>
        <v>4398</v>
      </c>
      <c r="C21">
        <f>[1]SYSREV!C21</f>
        <v>568</v>
      </c>
      <c r="D21">
        <f t="shared" si="0"/>
        <v>12.914961346066395</v>
      </c>
    </row>
    <row r="22" spans="1:4" x14ac:dyDescent="0.3">
      <c r="A22">
        <f t="shared" si="1"/>
        <v>2010</v>
      </c>
      <c r="B22">
        <f>[1]SYSREV!B22</f>
        <v>5249</v>
      </c>
      <c r="C22">
        <f>[1]SYSREV!C22</f>
        <v>718</v>
      </c>
      <c r="D22">
        <f t="shared" si="0"/>
        <v>13.678795961135453</v>
      </c>
    </row>
    <row r="23" spans="1:4" x14ac:dyDescent="0.3">
      <c r="A23">
        <f t="shared" si="1"/>
        <v>2011</v>
      </c>
      <c r="B23">
        <f>[1]SYSREV!B23</f>
        <v>6500</v>
      </c>
      <c r="C23">
        <f>[1]SYSREV!C23</f>
        <v>892</v>
      </c>
      <c r="D23">
        <f t="shared" si="0"/>
        <v>13.723076923076924</v>
      </c>
    </row>
    <row r="24" spans="1:4" x14ac:dyDescent="0.3">
      <c r="A24">
        <f t="shared" si="1"/>
        <v>2012</v>
      </c>
      <c r="B24">
        <f>[1]SYSREV!B24</f>
        <v>8253</v>
      </c>
      <c r="C24">
        <f>[1]SYSREV!C24</f>
        <v>1290</v>
      </c>
      <c r="D24">
        <f t="shared" si="0"/>
        <v>15.630679752817159</v>
      </c>
    </row>
    <row r="25" spans="1:4" x14ac:dyDescent="0.3">
      <c r="A25">
        <f t="shared" si="1"/>
        <v>2013</v>
      </c>
      <c r="B25">
        <f>[1]SYSREV!B25</f>
        <v>10130</v>
      </c>
      <c r="C25">
        <f>[1]SYSREV!C25</f>
        <v>1722</v>
      </c>
      <c r="D25">
        <f t="shared" si="0"/>
        <v>16.999012833168806</v>
      </c>
    </row>
    <row r="26" spans="1:4" x14ac:dyDescent="0.3">
      <c r="A26">
        <f t="shared" si="1"/>
        <v>2014</v>
      </c>
      <c r="B26">
        <f>[1]SYSREV!B26</f>
        <v>11931</v>
      </c>
      <c r="C26">
        <f>[1]SYSREV!C26</f>
        <v>2115</v>
      </c>
      <c r="D26">
        <f t="shared" si="0"/>
        <v>17.726929846618052</v>
      </c>
    </row>
    <row r="27" spans="1:4" x14ac:dyDescent="0.3">
      <c r="A27">
        <f t="shared" si="1"/>
        <v>2015</v>
      </c>
      <c r="B27">
        <f>[1]SYSREV!B27</f>
        <v>13736</v>
      </c>
      <c r="C27">
        <f>[1]SYSREV!C27</f>
        <v>2676</v>
      </c>
      <c r="D27">
        <f t="shared" si="0"/>
        <v>19.481654047757718</v>
      </c>
    </row>
    <row r="28" spans="1:4" x14ac:dyDescent="0.3">
      <c r="A28">
        <f t="shared" si="1"/>
        <v>2016</v>
      </c>
      <c r="B28">
        <f>[1]SYSREV!B28</f>
        <v>15320</v>
      </c>
      <c r="C28">
        <f>[1]SYSREV!C28</f>
        <v>3008</v>
      </c>
      <c r="D28">
        <f t="shared" si="0"/>
        <v>19.634464751958227</v>
      </c>
    </row>
    <row r="29" spans="1:4" x14ac:dyDescent="0.3">
      <c r="A29">
        <f t="shared" si="1"/>
        <v>2017</v>
      </c>
      <c r="B29">
        <f>[1]SYSREV!B29</f>
        <v>17546</v>
      </c>
      <c r="C29">
        <f>[1]SYSREV!C29</f>
        <v>3552</v>
      </c>
      <c r="D29">
        <f t="shared" si="0"/>
        <v>20.243930240510657</v>
      </c>
    </row>
    <row r="30" spans="1:4" x14ac:dyDescent="0.3">
      <c r="A30">
        <f t="shared" si="1"/>
        <v>2018</v>
      </c>
      <c r="B30">
        <f>[1]SYSREV!B30</f>
        <v>19963</v>
      </c>
      <c r="C30">
        <f>[1]SYSREV!C30</f>
        <v>4190</v>
      </c>
      <c r="D30">
        <f t="shared" si="0"/>
        <v>20.988829334268395</v>
      </c>
    </row>
    <row r="31" spans="1:4" x14ac:dyDescent="0.3">
      <c r="A31">
        <f t="shared" si="1"/>
        <v>2019</v>
      </c>
      <c r="B31">
        <f>[1]SYSREV!B31</f>
        <v>23657</v>
      </c>
      <c r="C31">
        <f>[1]SYSREV!C31</f>
        <v>5191</v>
      </c>
      <c r="D31">
        <f t="shared" si="0"/>
        <v>21.942765354863251</v>
      </c>
    </row>
    <row r="32" spans="1:4" x14ac:dyDescent="0.3">
      <c r="A32">
        <f t="shared" si="1"/>
        <v>2020</v>
      </c>
      <c r="B32">
        <f>[1]SYSREV!B32</f>
        <v>28621</v>
      </c>
      <c r="C32">
        <f>[1]SYSREV!C32</f>
        <v>6356</v>
      </c>
      <c r="D32">
        <f t="shared" si="0"/>
        <v>22.2074700394815</v>
      </c>
    </row>
    <row r="33" spans="1:4" x14ac:dyDescent="0.3">
      <c r="A33">
        <f t="shared" si="1"/>
        <v>2021</v>
      </c>
      <c r="B33">
        <f>[1]SYSREV!B33</f>
        <v>33455</v>
      </c>
      <c r="C33">
        <f>[1]SYSREV!C33</f>
        <v>7555</v>
      </c>
      <c r="D33">
        <f t="shared" si="0"/>
        <v>22.582573606336869</v>
      </c>
    </row>
    <row r="34" spans="1:4" x14ac:dyDescent="0.3">
      <c r="A34">
        <f t="shared" si="1"/>
        <v>2022</v>
      </c>
      <c r="B34">
        <f>[1]SYSREV!B34</f>
        <v>33892</v>
      </c>
      <c r="C34">
        <f>[1]SYSREV!C34</f>
        <v>7720</v>
      </c>
      <c r="D34">
        <f t="shared" si="0"/>
        <v>22.77823675203588</v>
      </c>
    </row>
    <row r="35" spans="1:4" x14ac:dyDescent="0.3">
      <c r="A35">
        <f t="shared" si="1"/>
        <v>2023</v>
      </c>
      <c r="B35">
        <f>[1]SYSREV!B35</f>
        <v>32082</v>
      </c>
      <c r="C35">
        <f>[1]SYSREV!C35</f>
        <v>7557</v>
      </c>
      <c r="D35">
        <f t="shared" si="0"/>
        <v>23.555264634374414</v>
      </c>
    </row>
    <row r="36" spans="1:4" x14ac:dyDescent="0.3">
      <c r="A36">
        <f t="shared" si="1"/>
        <v>2024</v>
      </c>
      <c r="B36">
        <f>[1]SYSREV!B36</f>
        <v>35020</v>
      </c>
      <c r="C36">
        <f>[1]SYSREV!C36</f>
        <v>8563</v>
      </c>
      <c r="D36">
        <f t="shared" si="0"/>
        <v>24.451741861793259</v>
      </c>
    </row>
    <row r="37" spans="1:4" x14ac:dyDescent="0.3">
      <c r="A37">
        <f t="shared" si="1"/>
        <v>2025</v>
      </c>
      <c r="B37">
        <f>[1]SYSREV!B37</f>
        <v>24865</v>
      </c>
      <c r="C37">
        <f>[1]SYSREV!C37</f>
        <v>6346</v>
      </c>
      <c r="D37">
        <f t="shared" si="0"/>
        <v>25.52181781620752</v>
      </c>
    </row>
    <row r="38" spans="1:4" x14ac:dyDescent="0.3">
      <c r="A38" t="s">
        <v>8</v>
      </c>
      <c r="B38">
        <f>[1]SYSREV!B38</f>
        <v>343422</v>
      </c>
      <c r="C38">
        <f>[1]SYSREV!C38</f>
        <v>71913</v>
      </c>
      <c r="D38">
        <f t="shared" si="0"/>
        <v>20.940126142180755</v>
      </c>
    </row>
    <row r="39" spans="1:4" x14ac:dyDescent="0.3">
      <c r="A39" t="s">
        <v>6</v>
      </c>
      <c r="B39">
        <f>[1]SYSREV!B39</f>
        <v>35020</v>
      </c>
      <c r="C39">
        <f>[1]SYSREV!C39</f>
        <v>8563</v>
      </c>
      <c r="D39">
        <f t="shared" si="0"/>
        <v>24.451741861793259</v>
      </c>
    </row>
    <row r="40" spans="1:4" x14ac:dyDescent="0.3">
      <c r="A40" t="s">
        <v>7</v>
      </c>
      <c r="B40">
        <f>[1]SYSREV!B40</f>
        <v>2</v>
      </c>
      <c r="C40">
        <f>[1]SYSREV!C40</f>
        <v>0</v>
      </c>
      <c r="D40">
        <f t="shared" si="0"/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9F0F9-94CA-490F-9C28-6720D2398075}">
  <dimension ref="A1:AS40"/>
  <sheetViews>
    <sheetView zoomScale="87" workbookViewId="0">
      <selection activeCell="I6" sqref="I6"/>
    </sheetView>
  </sheetViews>
  <sheetFormatPr defaultColWidth="8.6640625" defaultRowHeight="17.25" x14ac:dyDescent="0.3"/>
  <cols>
    <col min="4" max="4" width="8.77734375"/>
  </cols>
  <sheetData>
    <row r="1" spans="1:45" x14ac:dyDescent="0.3">
      <c r="A1" t="s">
        <v>0</v>
      </c>
      <c r="B1" t="s">
        <v>9</v>
      </c>
      <c r="C1" t="s">
        <v>2</v>
      </c>
      <c r="D1" t="s">
        <v>3</v>
      </c>
      <c r="E1" t="s">
        <v>4</v>
      </c>
      <c r="F1" t="s">
        <v>21</v>
      </c>
      <c r="G1" t="s">
        <v>22</v>
      </c>
      <c r="I1" t="str">
        <f t="array" ref="I1:AS7">TRANSPOSE(A1:G40)</f>
        <v>Year</v>
      </c>
      <c r="J1">
        <v>1990</v>
      </c>
      <c r="K1">
        <v>1991</v>
      </c>
      <c r="L1">
        <v>1992</v>
      </c>
      <c r="M1">
        <v>1993</v>
      </c>
      <c r="N1">
        <v>1994</v>
      </c>
      <c r="O1">
        <v>1995</v>
      </c>
      <c r="P1">
        <v>1996</v>
      </c>
      <c r="Q1">
        <v>1997</v>
      </c>
      <c r="R1">
        <v>1998</v>
      </c>
      <c r="S1">
        <v>1999</v>
      </c>
      <c r="T1">
        <v>2000</v>
      </c>
      <c r="U1">
        <v>2001</v>
      </c>
      <c r="V1">
        <v>2002</v>
      </c>
      <c r="W1">
        <v>2003</v>
      </c>
      <c r="X1">
        <v>2004</v>
      </c>
      <c r="Y1">
        <v>2005</v>
      </c>
      <c r="Z1">
        <v>2006</v>
      </c>
      <c r="AA1">
        <v>2007</v>
      </c>
      <c r="AB1">
        <v>2008</v>
      </c>
      <c r="AC1">
        <v>2009</v>
      </c>
      <c r="AD1">
        <v>2010</v>
      </c>
      <c r="AE1">
        <v>2011</v>
      </c>
      <c r="AF1">
        <v>2012</v>
      </c>
      <c r="AG1">
        <v>2013</v>
      </c>
      <c r="AH1">
        <v>2014</v>
      </c>
      <c r="AI1">
        <v>2015</v>
      </c>
      <c r="AJ1">
        <v>2016</v>
      </c>
      <c r="AK1">
        <v>2017</v>
      </c>
      <c r="AL1">
        <v>2018</v>
      </c>
      <c r="AM1">
        <v>2019</v>
      </c>
      <c r="AN1">
        <v>2020</v>
      </c>
      <c r="AO1">
        <v>2021</v>
      </c>
      <c r="AP1">
        <v>2022</v>
      </c>
      <c r="AQ1">
        <v>2023</v>
      </c>
      <c r="AR1">
        <v>2024</v>
      </c>
      <c r="AS1">
        <v>2025</v>
      </c>
    </row>
    <row r="2" spans="1:45" x14ac:dyDescent="0.3">
      <c r="A2">
        <v>1990</v>
      </c>
      <c r="B2">
        <f>RCT!D2</f>
        <v>34.022128213472172</v>
      </c>
      <c r="C2">
        <f>CT!D2</f>
        <v>18.33824975417896</v>
      </c>
      <c r="D2">
        <f>META!D2</f>
        <v>14.018691588785046</v>
      </c>
      <c r="E2">
        <f>REVIEW!D2</f>
        <v>0.74556164270708902</v>
      </c>
      <c r="F2">
        <f>CCJ!D2</f>
        <v>17.081861856129301</v>
      </c>
      <c r="G2">
        <f>ALL!D2</f>
        <v>7.4922142969904844</v>
      </c>
      <c r="I2" t="str">
        <v>Randomized controlled trial</v>
      </c>
      <c r="J2">
        <v>34.022128213472172</v>
      </c>
      <c r="K2">
        <v>37.302423603793464</v>
      </c>
      <c r="L2">
        <v>38.157341186369379</v>
      </c>
      <c r="M2">
        <v>39.421711630308508</v>
      </c>
      <c r="N2">
        <v>40.414333706606939</v>
      </c>
      <c r="O2">
        <v>41.617195496417601</v>
      </c>
      <c r="P2">
        <v>43.335761107064826</v>
      </c>
      <c r="Q2">
        <v>45.245835026412031</v>
      </c>
      <c r="R2">
        <v>46.355998436889415</v>
      </c>
      <c r="S2">
        <v>47.740524781341108</v>
      </c>
      <c r="T2">
        <v>47.753650318232872</v>
      </c>
      <c r="U2">
        <v>48.385146804835919</v>
      </c>
      <c r="V2">
        <v>50.354186225142946</v>
      </c>
      <c r="W2">
        <v>51.886066204772909</v>
      </c>
      <c r="X2">
        <v>51.003853173798419</v>
      </c>
      <c r="Y2">
        <v>53.009390559021874</v>
      </c>
      <c r="Z2">
        <v>52.73166136818557</v>
      </c>
      <c r="AA2">
        <v>52.505889912186767</v>
      </c>
      <c r="AB2">
        <v>53.065154038301422</v>
      </c>
      <c r="AC2">
        <v>53.786312161496795</v>
      </c>
      <c r="AD2">
        <v>52.828064487075565</v>
      </c>
      <c r="AE2">
        <v>51.620129610368828</v>
      </c>
      <c r="AF2">
        <v>52.36165352590082</v>
      </c>
      <c r="AG2">
        <v>51.193958772705628</v>
      </c>
      <c r="AH2">
        <v>52.048931724742197</v>
      </c>
      <c r="AI2">
        <v>52.62459601973125</v>
      </c>
      <c r="AJ2">
        <v>52.930772223990942</v>
      </c>
      <c r="AK2">
        <v>53.457598178713717</v>
      </c>
      <c r="AL2">
        <v>55.143724468762876</v>
      </c>
      <c r="AM2">
        <v>55.267429132223612</v>
      </c>
      <c r="AN2">
        <v>56.058056373580143</v>
      </c>
      <c r="AO2">
        <v>55.933579086205143</v>
      </c>
      <c r="AP2">
        <v>55.555944178237901</v>
      </c>
      <c r="AQ2">
        <v>55.500315656565661</v>
      </c>
      <c r="AR2">
        <v>57.778185824458319</v>
      </c>
      <c r="AS2">
        <v>58.286713286713287</v>
      </c>
    </row>
    <row r="3" spans="1:45" x14ac:dyDescent="0.3">
      <c r="A3">
        <v>1991</v>
      </c>
      <c r="B3">
        <f>RCT!D3</f>
        <v>37.302423603793464</v>
      </c>
      <c r="C3">
        <f>CT!D3</f>
        <v>20.600961538461537</v>
      </c>
      <c r="D3">
        <f>META!D3</f>
        <v>13.059701492537313</v>
      </c>
      <c r="E3">
        <f>REVIEW!D3</f>
        <v>0.74762808349146104</v>
      </c>
      <c r="F3">
        <f>CCJ!D3</f>
        <v>18.481627695110841</v>
      </c>
      <c r="G3">
        <f>ALL!D3</f>
        <v>8.0870050195203582</v>
      </c>
      <c r="I3" t="str">
        <v>Clinical trial</v>
      </c>
      <c r="J3">
        <v>18.33824975417896</v>
      </c>
      <c r="K3">
        <v>20.600961538461537</v>
      </c>
      <c r="L3">
        <v>20.714285714285715</v>
      </c>
      <c r="M3">
        <v>23.345041880572818</v>
      </c>
      <c r="N3">
        <v>25.196757899682837</v>
      </c>
      <c r="O3">
        <v>24.576089289547113</v>
      </c>
      <c r="P3">
        <v>25.424688561721403</v>
      </c>
      <c r="Q3">
        <v>25.036375982151522</v>
      </c>
      <c r="R3">
        <v>25.852574630470489</v>
      </c>
      <c r="S3">
        <v>27.126008690254501</v>
      </c>
      <c r="T3">
        <v>29.246428237930711</v>
      </c>
      <c r="U3">
        <v>29.368904831296938</v>
      </c>
      <c r="V3">
        <v>30.400172117039588</v>
      </c>
      <c r="W3">
        <v>31.843674886495148</v>
      </c>
      <c r="X3">
        <v>31.128940756949508</v>
      </c>
      <c r="Y3">
        <v>31.231057872708906</v>
      </c>
      <c r="Z3">
        <v>33.220202020202024</v>
      </c>
      <c r="AA3">
        <v>34.986389928547126</v>
      </c>
      <c r="AB3">
        <v>35.697137580794092</v>
      </c>
      <c r="AC3">
        <v>35.2018149163437</v>
      </c>
      <c r="AD3">
        <v>36.416131135326438</v>
      </c>
      <c r="AE3">
        <v>37.063453025086076</v>
      </c>
      <c r="AF3">
        <v>37.143069049914708</v>
      </c>
      <c r="AG3">
        <v>38.472540045766593</v>
      </c>
      <c r="AH3">
        <v>38.624584203604854</v>
      </c>
      <c r="AI3">
        <v>39.906103286384976</v>
      </c>
      <c r="AJ3">
        <v>40.04805766920304</v>
      </c>
      <c r="AK3">
        <v>39.516979540181396</v>
      </c>
      <c r="AL3">
        <v>38.798786229988494</v>
      </c>
      <c r="AM3">
        <v>37.728069271209151</v>
      </c>
      <c r="AN3">
        <v>35.514367458639136</v>
      </c>
      <c r="AO3">
        <v>34.7206015817451</v>
      </c>
      <c r="AP3">
        <v>35.374627127566235</v>
      </c>
      <c r="AQ3">
        <v>34.96056277979109</v>
      </c>
      <c r="AR3">
        <v>31.050333256722588</v>
      </c>
      <c r="AS3">
        <v>30.512640449438202</v>
      </c>
    </row>
    <row r="4" spans="1:45" x14ac:dyDescent="0.3">
      <c r="A4">
        <f>A2+2</f>
        <v>1992</v>
      </c>
      <c r="B4">
        <f>RCT!D4</f>
        <v>38.157341186369379</v>
      </c>
      <c r="C4">
        <f>CT!D4</f>
        <v>20.714285714285715</v>
      </c>
      <c r="D4">
        <f>META!D4</f>
        <v>13.486842105263158</v>
      </c>
      <c r="E4">
        <f>REVIEW!D4</f>
        <v>0.79196515353324448</v>
      </c>
      <c r="F4">
        <f>CCJ!D4</f>
        <v>19.917976368016518</v>
      </c>
      <c r="G4">
        <f>ALL!D4</f>
        <v>8.7406741760882749</v>
      </c>
      <c r="I4" t="str">
        <v>Meta-analysis</v>
      </c>
      <c r="J4">
        <v>14.018691588785046</v>
      </c>
      <c r="K4">
        <v>13.059701492537313</v>
      </c>
      <c r="L4">
        <v>13.486842105263158</v>
      </c>
      <c r="M4">
        <v>21.532846715328464</v>
      </c>
      <c r="N4">
        <v>17.816091954022991</v>
      </c>
      <c r="O4">
        <v>22.025316455696203</v>
      </c>
      <c r="P4">
        <v>20.898876404494381</v>
      </c>
      <c r="Q4">
        <v>21.167883211678831</v>
      </c>
      <c r="R4">
        <v>18.367346938775512</v>
      </c>
      <c r="S4">
        <v>18.208516886930983</v>
      </c>
      <c r="T4">
        <v>21.815889029003781</v>
      </c>
      <c r="U4">
        <v>18.931475029036005</v>
      </c>
      <c r="V4">
        <v>20.672601384767557</v>
      </c>
      <c r="W4">
        <v>25.121555915721235</v>
      </c>
      <c r="X4">
        <v>22.17873450750163</v>
      </c>
      <c r="Y4">
        <v>23.762861342479177</v>
      </c>
      <c r="Z4">
        <v>23.560855263157894</v>
      </c>
      <c r="AA4">
        <v>26.841721371261851</v>
      </c>
      <c r="AB4">
        <v>27.968596663395484</v>
      </c>
      <c r="AC4">
        <v>29.906798245614034</v>
      </c>
      <c r="AD4">
        <v>31.707317073170731</v>
      </c>
      <c r="AE4">
        <v>32.793103448275865</v>
      </c>
      <c r="AF4">
        <v>34.001811359813686</v>
      </c>
      <c r="AG4">
        <v>36.025560444165095</v>
      </c>
      <c r="AH4">
        <v>37.02838663312972</v>
      </c>
      <c r="AI4">
        <v>38.040229420793281</v>
      </c>
      <c r="AJ4">
        <v>37.190336974919219</v>
      </c>
      <c r="AK4">
        <v>37.814574367204031</v>
      </c>
      <c r="AL4">
        <v>38.211437998350291</v>
      </c>
      <c r="AM4">
        <v>38.101087023275809</v>
      </c>
      <c r="AN4">
        <v>38.234994913530009</v>
      </c>
      <c r="AO4">
        <v>38.177177309334155</v>
      </c>
      <c r="AP4">
        <v>38.665236051502141</v>
      </c>
      <c r="AQ4">
        <v>38.860472356891876</v>
      </c>
      <c r="AR4">
        <v>40.001698946653072</v>
      </c>
      <c r="AS4">
        <v>41.018046562887449</v>
      </c>
    </row>
    <row r="5" spans="1:45" x14ac:dyDescent="0.3">
      <c r="A5">
        <f t="shared" ref="A5:A36" si="0">A3+2</f>
        <v>1993</v>
      </c>
      <c r="B5">
        <f>RCT!D5</f>
        <v>39.421711630308508</v>
      </c>
      <c r="C5">
        <f>CT!D5</f>
        <v>23.345041880572818</v>
      </c>
      <c r="D5">
        <f>META!D5</f>
        <v>21.532846715328464</v>
      </c>
      <c r="E5">
        <f>REVIEW!D5</f>
        <v>0.71374387973243225</v>
      </c>
      <c r="F5">
        <f>CCJ!D5</f>
        <v>20.397014279532669</v>
      </c>
      <c r="G5">
        <f>ALL!D5</f>
        <v>9.3137690724187685</v>
      </c>
      <c r="I5" t="str">
        <v>Review</v>
      </c>
      <c r="J5">
        <v>0.74556164270708902</v>
      </c>
      <c r="K5">
        <v>0.74762808349146104</v>
      </c>
      <c r="L5">
        <v>0.79196515353324448</v>
      </c>
      <c r="M5">
        <v>0.71374387973243225</v>
      </c>
      <c r="N5">
        <v>0.67620286085825743</v>
      </c>
      <c r="O5">
        <v>0.77999818605073012</v>
      </c>
      <c r="P5">
        <v>0.8684166151424878</v>
      </c>
      <c r="Q5">
        <v>0.80828358603201433</v>
      </c>
      <c r="R5">
        <v>0.72692793931731992</v>
      </c>
      <c r="S5">
        <v>0.57890525721278296</v>
      </c>
      <c r="T5">
        <v>0.58907128586434876</v>
      </c>
      <c r="U5">
        <v>0.61254831995242343</v>
      </c>
      <c r="V5">
        <v>0.60838297254104312</v>
      </c>
      <c r="W5">
        <v>0.82874315659060094</v>
      </c>
      <c r="X5">
        <v>0.85103108648815018</v>
      </c>
      <c r="Y5">
        <v>0.66062308106456347</v>
      </c>
      <c r="Z5">
        <v>0.5767059751635587</v>
      </c>
      <c r="AA5">
        <v>0.6334629742842649</v>
      </c>
      <c r="AB5">
        <v>0.60370408267676257</v>
      </c>
      <c r="AC5">
        <v>0.66180341430397838</v>
      </c>
      <c r="AD5">
        <v>0.73191307344082313</v>
      </c>
      <c r="AE5">
        <v>0.7814161768821718</v>
      </c>
      <c r="AF5">
        <v>0.85359162657212795</v>
      </c>
      <c r="AG5">
        <v>0.94824539257763185</v>
      </c>
      <c r="AH5">
        <v>0.96976390463180939</v>
      </c>
      <c r="AI5">
        <v>1.0365251727541955</v>
      </c>
      <c r="AJ5">
        <v>1.1055230009689476</v>
      </c>
      <c r="AK5">
        <v>1.0958704615580657</v>
      </c>
      <c r="AL5">
        <v>1.0833713228392909</v>
      </c>
      <c r="AM5">
        <v>1.1087149341727682</v>
      </c>
      <c r="AN5">
        <v>1.1758733814693871</v>
      </c>
      <c r="AO5">
        <v>1.3836239575435938</v>
      </c>
      <c r="AP5">
        <v>1.8311187813992262</v>
      </c>
      <c r="AQ5">
        <v>1.8749804852155993</v>
      </c>
      <c r="AR5">
        <v>1.2476601819413389</v>
      </c>
      <c r="AS5">
        <v>0.98786172302013586</v>
      </c>
    </row>
    <row r="6" spans="1:45" x14ac:dyDescent="0.3">
      <c r="A6">
        <f t="shared" si="0"/>
        <v>1994</v>
      </c>
      <c r="B6">
        <f>RCT!D6</f>
        <v>40.414333706606939</v>
      </c>
      <c r="C6">
        <f>CT!D6</f>
        <v>25.196757899682837</v>
      </c>
      <c r="D6">
        <f>META!D6</f>
        <v>17.816091954022991</v>
      </c>
      <c r="E6">
        <f>REVIEW!D6</f>
        <v>0.67620286085825743</v>
      </c>
      <c r="F6">
        <f>CCJ!D6</f>
        <v>22.02908283183098</v>
      </c>
      <c r="G6">
        <f>ALL!D6</f>
        <v>9.8484268417320546</v>
      </c>
      <c r="I6" t="str">
        <v>Clinical useful journal</v>
      </c>
      <c r="J6">
        <v>17.081861856129301</v>
      </c>
      <c r="K6">
        <v>18.481627695110841</v>
      </c>
      <c r="L6">
        <v>19.917976368016518</v>
      </c>
      <c r="M6">
        <v>20.397014279532669</v>
      </c>
      <c r="N6">
        <v>22.02908283183098</v>
      </c>
      <c r="O6">
        <v>22.788981800295129</v>
      </c>
      <c r="P6">
        <v>23.489670983634543</v>
      </c>
      <c r="Q6">
        <v>24.347396641738396</v>
      </c>
      <c r="R6">
        <v>24.75206800420456</v>
      </c>
      <c r="S6">
        <v>25.12456293706294</v>
      </c>
      <c r="T6">
        <v>24.647010405014669</v>
      </c>
      <c r="U6">
        <v>26.35683290359097</v>
      </c>
      <c r="V6">
        <v>26.425378161553066</v>
      </c>
      <c r="W6">
        <v>26.72712723392905</v>
      </c>
      <c r="X6">
        <v>27.541566416490106</v>
      </c>
      <c r="Y6">
        <v>28.061489513667944</v>
      </c>
      <c r="Z6">
        <v>27.702219040801719</v>
      </c>
      <c r="AA6">
        <v>28.003961762984531</v>
      </c>
      <c r="AB6">
        <v>28.368213083565053</v>
      </c>
      <c r="AC6">
        <v>29.250547845142439</v>
      </c>
      <c r="AD6">
        <v>29.870477640127973</v>
      </c>
      <c r="AE6">
        <v>30.849690777090615</v>
      </c>
      <c r="AF6">
        <v>31.297126143773312</v>
      </c>
      <c r="AG6">
        <v>32.296949260547485</v>
      </c>
      <c r="AH6">
        <v>32.438746203844936</v>
      </c>
      <c r="AI6">
        <v>33.117611646234671</v>
      </c>
      <c r="AJ6">
        <v>33.476342572542229</v>
      </c>
      <c r="AK6">
        <v>32.484309552534199</v>
      </c>
      <c r="AL6">
        <v>32.404129793510322</v>
      </c>
      <c r="AM6">
        <v>32.320939857152389</v>
      </c>
      <c r="AN6">
        <v>31.814090400428164</v>
      </c>
      <c r="AO6">
        <v>31.787556904400603</v>
      </c>
      <c r="AP6">
        <v>31.794229737352612</v>
      </c>
      <c r="AQ6">
        <v>31.298849046289316</v>
      </c>
      <c r="AR6">
        <v>31.131419633287955</v>
      </c>
      <c r="AS6">
        <v>31.699519286059296</v>
      </c>
    </row>
    <row r="7" spans="1:45" x14ac:dyDescent="0.3">
      <c r="A7">
        <f t="shared" si="0"/>
        <v>1995</v>
      </c>
      <c r="B7">
        <f>RCT!D7</f>
        <v>41.617195496417601</v>
      </c>
      <c r="C7">
        <f>CT!D7</f>
        <v>24.576089289547113</v>
      </c>
      <c r="D7">
        <f>META!D7</f>
        <v>22.025316455696203</v>
      </c>
      <c r="E7">
        <f>REVIEW!D7</f>
        <v>0.77999818605073012</v>
      </c>
      <c r="F7">
        <f>CCJ!D7</f>
        <v>22.788981800295129</v>
      </c>
      <c r="G7">
        <f>ALL!D7</f>
        <v>10.328659721908281</v>
      </c>
      <c r="I7" t="str">
        <v>All PubMed</v>
      </c>
      <c r="J7">
        <v>7.4922142969904844</v>
      </c>
      <c r="K7">
        <v>8.0870050195203582</v>
      </c>
      <c r="L7">
        <v>8.7406741760882749</v>
      </c>
      <c r="M7">
        <v>9.3137690724187685</v>
      </c>
      <c r="N7">
        <v>9.8484268417320546</v>
      </c>
      <c r="O7">
        <v>10.328659721908281</v>
      </c>
      <c r="P7">
        <v>10.885077675899092</v>
      </c>
      <c r="Q7">
        <v>11.278772142190517</v>
      </c>
      <c r="R7">
        <v>11.337926491820825</v>
      </c>
      <c r="S7">
        <v>11.72828551146122</v>
      </c>
      <c r="T7">
        <v>11.322342125238199</v>
      </c>
      <c r="U7">
        <v>11.594853456667458</v>
      </c>
      <c r="V7">
        <v>11.862182353110848</v>
      </c>
      <c r="W7">
        <v>12.377194341007494</v>
      </c>
      <c r="X7">
        <v>12.676840607112061</v>
      </c>
      <c r="Y7">
        <v>13.102711092290559</v>
      </c>
      <c r="Z7">
        <v>13.125184327942478</v>
      </c>
      <c r="AA7">
        <v>13.536554113452862</v>
      </c>
      <c r="AB7">
        <v>13.979206194949636</v>
      </c>
      <c r="AC7">
        <v>14.32795047215833</v>
      </c>
      <c r="AD7">
        <v>14.645641271785365</v>
      </c>
      <c r="AE7">
        <v>15.203296222069953</v>
      </c>
      <c r="AF7">
        <v>15.665689399803734</v>
      </c>
      <c r="AG7">
        <v>16.239176395104092</v>
      </c>
      <c r="AH7">
        <v>16.711395693923428</v>
      </c>
      <c r="AI7">
        <v>17.318446487825607</v>
      </c>
      <c r="AJ7">
        <v>17.598548329989377</v>
      </c>
      <c r="AK7">
        <v>17.845313571181705</v>
      </c>
      <c r="AL7">
        <v>18.038837711311086</v>
      </c>
      <c r="AM7">
        <v>18.037654943366718</v>
      </c>
      <c r="AN7">
        <v>18.397820926048926</v>
      </c>
      <c r="AO7">
        <v>18.5436095484154</v>
      </c>
      <c r="AP7">
        <v>18.031976808029341</v>
      </c>
      <c r="AQ7">
        <v>18.226438453555172</v>
      </c>
      <c r="AR7">
        <v>18.085418722597812</v>
      </c>
      <c r="AS7">
        <v>18.338838624583488</v>
      </c>
    </row>
    <row r="8" spans="1:45" x14ac:dyDescent="0.3">
      <c r="A8">
        <f t="shared" si="0"/>
        <v>1996</v>
      </c>
      <c r="B8">
        <f>RCT!D8</f>
        <v>43.335761107064826</v>
      </c>
      <c r="C8">
        <f>CT!D8</f>
        <v>25.424688561721403</v>
      </c>
      <c r="D8">
        <f>META!D8</f>
        <v>20.898876404494381</v>
      </c>
      <c r="E8">
        <f>REVIEW!D8</f>
        <v>0.8684166151424878</v>
      </c>
      <c r="F8">
        <f>CCJ!D8</f>
        <v>23.489670983634543</v>
      </c>
      <c r="G8">
        <f>ALL!D8</f>
        <v>10.885077675899092</v>
      </c>
    </row>
    <row r="9" spans="1:45" x14ac:dyDescent="0.3">
      <c r="A9">
        <f t="shared" si="0"/>
        <v>1997</v>
      </c>
      <c r="B9">
        <f>RCT!D9</f>
        <v>45.245835026412031</v>
      </c>
      <c r="C9">
        <f>CT!D9</f>
        <v>25.036375982151522</v>
      </c>
      <c r="D9">
        <f>META!D9</f>
        <v>21.167883211678831</v>
      </c>
      <c r="E9">
        <f>REVIEW!D9</f>
        <v>0.80828358603201433</v>
      </c>
      <c r="F9">
        <f>CCJ!D9</f>
        <v>24.347396641738396</v>
      </c>
      <c r="G9">
        <f>ALL!D9</f>
        <v>11.278772142190517</v>
      </c>
    </row>
    <row r="10" spans="1:45" x14ac:dyDescent="0.3">
      <c r="A10">
        <f t="shared" si="0"/>
        <v>1998</v>
      </c>
      <c r="B10">
        <f>RCT!D10</f>
        <v>46.355998436889415</v>
      </c>
      <c r="C10">
        <f>CT!D10</f>
        <v>25.852574630470489</v>
      </c>
      <c r="D10">
        <f>META!D10</f>
        <v>18.367346938775512</v>
      </c>
      <c r="E10">
        <f>REVIEW!D10</f>
        <v>0.72692793931731992</v>
      </c>
      <c r="F10">
        <f>CCJ!D10</f>
        <v>24.75206800420456</v>
      </c>
      <c r="G10">
        <f>ALL!D10</f>
        <v>11.337926491820825</v>
      </c>
    </row>
    <row r="11" spans="1:45" x14ac:dyDescent="0.3">
      <c r="A11">
        <f t="shared" si="0"/>
        <v>1999</v>
      </c>
      <c r="B11">
        <f>RCT!D11</f>
        <v>47.740524781341108</v>
      </c>
      <c r="C11">
        <f>CT!D11</f>
        <v>27.126008690254501</v>
      </c>
      <c r="D11">
        <f>META!D11</f>
        <v>18.208516886930983</v>
      </c>
      <c r="E11">
        <f>REVIEW!D11</f>
        <v>0.57890525721278296</v>
      </c>
      <c r="F11">
        <f>CCJ!D11</f>
        <v>25.12456293706294</v>
      </c>
      <c r="G11">
        <f>ALL!D11</f>
        <v>11.72828551146122</v>
      </c>
    </row>
    <row r="12" spans="1:45" x14ac:dyDescent="0.3">
      <c r="A12">
        <f t="shared" si="0"/>
        <v>2000</v>
      </c>
      <c r="B12">
        <f>RCT!D12</f>
        <v>47.753650318232872</v>
      </c>
      <c r="C12">
        <f>CT!D12</f>
        <v>29.246428237930711</v>
      </c>
      <c r="D12">
        <f>META!D12</f>
        <v>21.815889029003781</v>
      </c>
      <c r="E12">
        <f>REVIEW!D12</f>
        <v>0.58907128586434876</v>
      </c>
      <c r="F12">
        <f>CCJ!D12</f>
        <v>24.647010405014669</v>
      </c>
      <c r="G12">
        <f>ALL!D12</f>
        <v>11.322342125238199</v>
      </c>
    </row>
    <row r="13" spans="1:45" x14ac:dyDescent="0.3">
      <c r="A13">
        <f t="shared" si="0"/>
        <v>2001</v>
      </c>
      <c r="B13">
        <f>RCT!D13</f>
        <v>48.385146804835919</v>
      </c>
      <c r="C13">
        <f>CT!D13</f>
        <v>29.368904831296938</v>
      </c>
      <c r="D13">
        <f>META!D13</f>
        <v>18.931475029036005</v>
      </c>
      <c r="E13">
        <f>REVIEW!D13</f>
        <v>0.61254831995242343</v>
      </c>
      <c r="F13">
        <f>CCJ!D13</f>
        <v>26.35683290359097</v>
      </c>
      <c r="G13">
        <f>ALL!D13</f>
        <v>11.594853456667458</v>
      </c>
    </row>
    <row r="14" spans="1:45" x14ac:dyDescent="0.3">
      <c r="A14">
        <f t="shared" si="0"/>
        <v>2002</v>
      </c>
      <c r="B14">
        <f>RCT!D14</f>
        <v>50.354186225142946</v>
      </c>
      <c r="C14">
        <f>CT!D14</f>
        <v>30.400172117039588</v>
      </c>
      <c r="D14">
        <f>META!D14</f>
        <v>20.672601384767557</v>
      </c>
      <c r="E14">
        <f>REVIEW!D14</f>
        <v>0.60838297254104312</v>
      </c>
      <c r="F14">
        <f>CCJ!D14</f>
        <v>26.425378161553066</v>
      </c>
      <c r="G14">
        <f>ALL!D14</f>
        <v>11.862182353110848</v>
      </c>
    </row>
    <row r="15" spans="1:45" x14ac:dyDescent="0.3">
      <c r="A15">
        <f t="shared" si="0"/>
        <v>2003</v>
      </c>
      <c r="B15">
        <f>RCT!D15</f>
        <v>51.886066204772909</v>
      </c>
      <c r="C15">
        <f>CT!D15</f>
        <v>31.843674886495148</v>
      </c>
      <c r="D15">
        <f>META!D15</f>
        <v>25.121555915721235</v>
      </c>
      <c r="E15">
        <f>REVIEW!D15</f>
        <v>0.82874315659060094</v>
      </c>
      <c r="F15">
        <f>CCJ!D15</f>
        <v>26.72712723392905</v>
      </c>
      <c r="G15">
        <f>ALL!D15</f>
        <v>12.377194341007494</v>
      </c>
    </row>
    <row r="16" spans="1:45" x14ac:dyDescent="0.3">
      <c r="A16">
        <f t="shared" si="0"/>
        <v>2004</v>
      </c>
      <c r="B16">
        <f>RCT!D16</f>
        <v>51.003853173798419</v>
      </c>
      <c r="C16">
        <f>CT!D16</f>
        <v>31.128940756949508</v>
      </c>
      <c r="D16">
        <f>META!D16</f>
        <v>22.17873450750163</v>
      </c>
      <c r="E16">
        <f>REVIEW!D16</f>
        <v>0.85103108648815018</v>
      </c>
      <c r="F16">
        <f>CCJ!D16</f>
        <v>27.541566416490106</v>
      </c>
      <c r="G16">
        <f>ALL!D16</f>
        <v>12.676840607112061</v>
      </c>
    </row>
    <row r="17" spans="1:7" x14ac:dyDescent="0.3">
      <c r="A17">
        <f t="shared" si="0"/>
        <v>2005</v>
      </c>
      <c r="B17">
        <f>RCT!D17</f>
        <v>53.009390559021874</v>
      </c>
      <c r="C17">
        <f>CT!D17</f>
        <v>31.231057872708906</v>
      </c>
      <c r="D17">
        <f>META!D17</f>
        <v>23.762861342479177</v>
      </c>
      <c r="E17">
        <f>REVIEW!D17</f>
        <v>0.66062308106456347</v>
      </c>
      <c r="F17">
        <f>CCJ!D17</f>
        <v>28.061489513667944</v>
      </c>
      <c r="G17">
        <f>ALL!D17</f>
        <v>13.102711092290559</v>
      </c>
    </row>
    <row r="18" spans="1:7" x14ac:dyDescent="0.3">
      <c r="A18">
        <f t="shared" si="0"/>
        <v>2006</v>
      </c>
      <c r="B18">
        <f>RCT!D18</f>
        <v>52.73166136818557</v>
      </c>
      <c r="C18">
        <f>CT!D18</f>
        <v>33.220202020202024</v>
      </c>
      <c r="D18">
        <f>META!D18</f>
        <v>23.560855263157894</v>
      </c>
      <c r="E18">
        <f>REVIEW!D18</f>
        <v>0.5767059751635587</v>
      </c>
      <c r="F18">
        <f>CCJ!D18</f>
        <v>27.702219040801719</v>
      </c>
      <c r="G18">
        <f>ALL!D18</f>
        <v>13.125184327942478</v>
      </c>
    </row>
    <row r="19" spans="1:7" x14ac:dyDescent="0.3">
      <c r="A19">
        <f t="shared" si="0"/>
        <v>2007</v>
      </c>
      <c r="B19">
        <f>RCT!D19</f>
        <v>52.505889912186767</v>
      </c>
      <c r="C19">
        <f>CT!D19</f>
        <v>34.986389928547126</v>
      </c>
      <c r="D19">
        <f>META!D19</f>
        <v>26.841721371261851</v>
      </c>
      <c r="E19">
        <f>REVIEW!D19</f>
        <v>0.6334629742842649</v>
      </c>
      <c r="F19">
        <f>CCJ!D19</f>
        <v>28.003961762984531</v>
      </c>
      <c r="G19">
        <f>ALL!D19</f>
        <v>13.536554113452862</v>
      </c>
    </row>
    <row r="20" spans="1:7" x14ac:dyDescent="0.3">
      <c r="A20">
        <f t="shared" si="0"/>
        <v>2008</v>
      </c>
      <c r="B20">
        <f>RCT!D20</f>
        <v>53.065154038301422</v>
      </c>
      <c r="C20">
        <f>CT!D20</f>
        <v>35.697137580794092</v>
      </c>
      <c r="D20">
        <f>META!D20</f>
        <v>27.968596663395484</v>
      </c>
      <c r="E20">
        <f>REVIEW!D20</f>
        <v>0.60370408267676257</v>
      </c>
      <c r="F20">
        <f>CCJ!D20</f>
        <v>28.368213083565053</v>
      </c>
      <c r="G20">
        <f>ALL!D20</f>
        <v>13.979206194949636</v>
      </c>
    </row>
    <row r="21" spans="1:7" x14ac:dyDescent="0.3">
      <c r="A21">
        <f t="shared" si="0"/>
        <v>2009</v>
      </c>
      <c r="B21">
        <f>RCT!D21</f>
        <v>53.786312161496795</v>
      </c>
      <c r="C21">
        <f>CT!D21</f>
        <v>35.2018149163437</v>
      </c>
      <c r="D21">
        <f>META!D21</f>
        <v>29.906798245614034</v>
      </c>
      <c r="E21">
        <f>REVIEW!D21</f>
        <v>0.66180341430397838</v>
      </c>
      <c r="F21">
        <f>CCJ!D21</f>
        <v>29.250547845142439</v>
      </c>
      <c r="G21">
        <f>ALL!D21</f>
        <v>14.32795047215833</v>
      </c>
    </row>
    <row r="22" spans="1:7" x14ac:dyDescent="0.3">
      <c r="A22">
        <f t="shared" si="0"/>
        <v>2010</v>
      </c>
      <c r="B22">
        <f>RCT!D22</f>
        <v>52.828064487075565</v>
      </c>
      <c r="C22">
        <f>CT!D22</f>
        <v>36.416131135326438</v>
      </c>
      <c r="D22">
        <f>META!D22</f>
        <v>31.707317073170731</v>
      </c>
      <c r="E22">
        <f>REVIEW!D22</f>
        <v>0.73191307344082313</v>
      </c>
      <c r="F22">
        <f>CCJ!D22</f>
        <v>29.870477640127973</v>
      </c>
      <c r="G22">
        <f>ALL!D22</f>
        <v>14.645641271785365</v>
      </c>
    </row>
    <row r="23" spans="1:7" x14ac:dyDescent="0.3">
      <c r="A23">
        <f t="shared" si="0"/>
        <v>2011</v>
      </c>
      <c r="B23">
        <f>RCT!D23</f>
        <v>51.620129610368828</v>
      </c>
      <c r="C23">
        <f>CT!D23</f>
        <v>37.063453025086076</v>
      </c>
      <c r="D23">
        <f>META!D23</f>
        <v>32.793103448275865</v>
      </c>
      <c r="E23">
        <f>REVIEW!D23</f>
        <v>0.7814161768821718</v>
      </c>
      <c r="F23">
        <f>CCJ!D23</f>
        <v>30.849690777090615</v>
      </c>
      <c r="G23">
        <f>ALL!D23</f>
        <v>15.203296222069953</v>
      </c>
    </row>
    <row r="24" spans="1:7" x14ac:dyDescent="0.3">
      <c r="A24">
        <f>A22+2</f>
        <v>2012</v>
      </c>
      <c r="B24">
        <f>RCT!D24</f>
        <v>52.36165352590082</v>
      </c>
      <c r="C24">
        <f>CT!D24</f>
        <v>37.143069049914708</v>
      </c>
      <c r="D24">
        <f>META!D24</f>
        <v>34.001811359813686</v>
      </c>
      <c r="E24">
        <f>REVIEW!D24</f>
        <v>0.85359162657212795</v>
      </c>
      <c r="F24">
        <f>CCJ!D24</f>
        <v>31.297126143773312</v>
      </c>
      <c r="G24">
        <f>ALL!D24</f>
        <v>15.665689399803734</v>
      </c>
    </row>
    <row r="25" spans="1:7" x14ac:dyDescent="0.3">
      <c r="A25">
        <f t="shared" si="0"/>
        <v>2013</v>
      </c>
      <c r="B25">
        <f>RCT!D25</f>
        <v>51.193958772705628</v>
      </c>
      <c r="C25">
        <f>CT!D25</f>
        <v>38.472540045766593</v>
      </c>
      <c r="D25">
        <f>META!D25</f>
        <v>36.025560444165095</v>
      </c>
      <c r="E25">
        <f>REVIEW!D25</f>
        <v>0.94824539257763185</v>
      </c>
      <c r="F25">
        <f>CCJ!D25</f>
        <v>32.296949260547485</v>
      </c>
      <c r="G25">
        <f>ALL!D25</f>
        <v>16.239176395104092</v>
      </c>
    </row>
    <row r="26" spans="1:7" x14ac:dyDescent="0.3">
      <c r="A26">
        <f t="shared" si="0"/>
        <v>2014</v>
      </c>
      <c r="B26">
        <f>RCT!D26</f>
        <v>52.048931724742197</v>
      </c>
      <c r="C26">
        <f>CT!D26</f>
        <v>38.624584203604854</v>
      </c>
      <c r="D26">
        <f>META!D26</f>
        <v>37.02838663312972</v>
      </c>
      <c r="E26">
        <f>REVIEW!D26</f>
        <v>0.96976390463180939</v>
      </c>
      <c r="F26">
        <f>CCJ!D26</f>
        <v>32.438746203844936</v>
      </c>
      <c r="G26">
        <f>ALL!D26</f>
        <v>16.711395693923428</v>
      </c>
    </row>
    <row r="27" spans="1:7" x14ac:dyDescent="0.3">
      <c r="A27">
        <f t="shared" si="0"/>
        <v>2015</v>
      </c>
      <c r="B27">
        <f>RCT!D27</f>
        <v>52.62459601973125</v>
      </c>
      <c r="C27">
        <f>CT!D27</f>
        <v>39.906103286384976</v>
      </c>
      <c r="D27">
        <f>META!D27</f>
        <v>38.040229420793281</v>
      </c>
      <c r="E27">
        <f>REVIEW!D27</f>
        <v>1.0365251727541955</v>
      </c>
      <c r="F27">
        <f>CCJ!D27</f>
        <v>33.117611646234671</v>
      </c>
      <c r="G27">
        <f>ALL!D27</f>
        <v>17.318446487825607</v>
      </c>
    </row>
    <row r="28" spans="1:7" x14ac:dyDescent="0.3">
      <c r="A28">
        <f t="shared" si="0"/>
        <v>2016</v>
      </c>
      <c r="B28">
        <f>RCT!D28</f>
        <v>52.930772223990942</v>
      </c>
      <c r="C28">
        <f>CT!D28</f>
        <v>40.04805766920304</v>
      </c>
      <c r="D28">
        <f>META!D28</f>
        <v>37.190336974919219</v>
      </c>
      <c r="E28">
        <f>REVIEW!D28</f>
        <v>1.1055230009689476</v>
      </c>
      <c r="F28">
        <f>CCJ!D28</f>
        <v>33.476342572542229</v>
      </c>
      <c r="G28">
        <f>ALL!D28</f>
        <v>17.598548329989377</v>
      </c>
    </row>
    <row r="29" spans="1:7" x14ac:dyDescent="0.3">
      <c r="A29">
        <f t="shared" si="0"/>
        <v>2017</v>
      </c>
      <c r="B29">
        <f>RCT!D29</f>
        <v>53.457598178713717</v>
      </c>
      <c r="C29">
        <f>CT!D29</f>
        <v>39.516979540181396</v>
      </c>
      <c r="D29">
        <f>META!D29</f>
        <v>37.814574367204031</v>
      </c>
      <c r="E29">
        <f>REVIEW!D29</f>
        <v>1.0958704615580657</v>
      </c>
      <c r="F29">
        <f>CCJ!D29</f>
        <v>32.484309552534199</v>
      </c>
      <c r="G29">
        <f>ALL!D29</f>
        <v>17.845313571181705</v>
      </c>
    </row>
    <row r="30" spans="1:7" x14ac:dyDescent="0.3">
      <c r="A30">
        <f t="shared" si="0"/>
        <v>2018</v>
      </c>
      <c r="B30">
        <f>RCT!D30</f>
        <v>55.143724468762876</v>
      </c>
      <c r="C30">
        <f>CT!D30</f>
        <v>38.798786229988494</v>
      </c>
      <c r="D30">
        <f>META!D30</f>
        <v>38.211437998350291</v>
      </c>
      <c r="E30">
        <f>REVIEW!D30</f>
        <v>1.0833713228392909</v>
      </c>
      <c r="F30">
        <f>CCJ!D30</f>
        <v>32.404129793510322</v>
      </c>
      <c r="G30">
        <f>ALL!D30</f>
        <v>18.038837711311086</v>
      </c>
    </row>
    <row r="31" spans="1:7" x14ac:dyDescent="0.3">
      <c r="A31">
        <f t="shared" si="0"/>
        <v>2019</v>
      </c>
      <c r="B31">
        <f>RCT!D31</f>
        <v>55.267429132223612</v>
      </c>
      <c r="C31">
        <f>CT!D31</f>
        <v>37.728069271209151</v>
      </c>
      <c r="D31">
        <f>META!D31</f>
        <v>38.101087023275809</v>
      </c>
      <c r="E31">
        <f>REVIEW!D31</f>
        <v>1.1087149341727682</v>
      </c>
      <c r="F31">
        <f>CCJ!D31</f>
        <v>32.320939857152389</v>
      </c>
      <c r="G31">
        <f>ALL!D31</f>
        <v>18.037654943366718</v>
      </c>
    </row>
    <row r="32" spans="1:7" x14ac:dyDescent="0.3">
      <c r="A32">
        <f t="shared" si="0"/>
        <v>2020</v>
      </c>
      <c r="B32">
        <f>RCT!D32</f>
        <v>56.058056373580143</v>
      </c>
      <c r="C32">
        <f>CT!D32</f>
        <v>35.514367458639136</v>
      </c>
      <c r="D32">
        <f>META!D32</f>
        <v>38.234994913530009</v>
      </c>
      <c r="E32">
        <f>REVIEW!D32</f>
        <v>1.1758733814693871</v>
      </c>
      <c r="F32">
        <f>CCJ!D32</f>
        <v>31.814090400428164</v>
      </c>
      <c r="G32">
        <f>ALL!D32</f>
        <v>18.397820926048926</v>
      </c>
    </row>
    <row r="33" spans="1:7" x14ac:dyDescent="0.3">
      <c r="A33">
        <f t="shared" si="0"/>
        <v>2021</v>
      </c>
      <c r="B33">
        <f>RCT!D33</f>
        <v>55.933579086205143</v>
      </c>
      <c r="C33">
        <f>CT!D33</f>
        <v>34.7206015817451</v>
      </c>
      <c r="D33">
        <f>META!D33</f>
        <v>38.177177309334155</v>
      </c>
      <c r="E33">
        <f>REVIEW!D33</f>
        <v>1.3836239575435938</v>
      </c>
      <c r="F33">
        <f>CCJ!D33</f>
        <v>31.787556904400603</v>
      </c>
      <c r="G33">
        <f>ALL!D33</f>
        <v>18.5436095484154</v>
      </c>
    </row>
    <row r="34" spans="1:7" x14ac:dyDescent="0.3">
      <c r="A34">
        <f t="shared" si="0"/>
        <v>2022</v>
      </c>
      <c r="B34">
        <f>RCT!D34</f>
        <v>55.555944178237901</v>
      </c>
      <c r="C34">
        <f>CT!D34</f>
        <v>35.374627127566235</v>
      </c>
      <c r="D34">
        <f>META!D34</f>
        <v>38.665236051502141</v>
      </c>
      <c r="E34">
        <f>REVIEW!D34</f>
        <v>1.8311187813992262</v>
      </c>
      <c r="F34">
        <f>CCJ!D34</f>
        <v>31.794229737352612</v>
      </c>
      <c r="G34">
        <f>ALL!D34</f>
        <v>18.031976808029341</v>
      </c>
    </row>
    <row r="35" spans="1:7" x14ac:dyDescent="0.3">
      <c r="A35">
        <f t="shared" si="0"/>
        <v>2023</v>
      </c>
      <c r="B35">
        <f>RCT!D35</f>
        <v>55.500315656565661</v>
      </c>
      <c r="C35">
        <f>CT!D35</f>
        <v>34.96056277979109</v>
      </c>
      <c r="D35">
        <f>META!D35</f>
        <v>38.860472356891876</v>
      </c>
      <c r="E35">
        <f>REVIEW!D35</f>
        <v>1.8749804852155993</v>
      </c>
      <c r="F35">
        <f>CCJ!D35</f>
        <v>31.298849046289316</v>
      </c>
      <c r="G35">
        <f>ALL!D35</f>
        <v>18.226438453555172</v>
      </c>
    </row>
    <row r="36" spans="1:7" x14ac:dyDescent="0.3">
      <c r="A36">
        <f t="shared" si="0"/>
        <v>2024</v>
      </c>
      <c r="B36">
        <f>RCT!D36</f>
        <v>57.778185824458319</v>
      </c>
      <c r="C36">
        <f>CT!D36</f>
        <v>31.050333256722588</v>
      </c>
      <c r="D36">
        <f>META!D36</f>
        <v>40.001698946653072</v>
      </c>
      <c r="E36">
        <f>REVIEW!D36</f>
        <v>1.2476601819413389</v>
      </c>
      <c r="F36">
        <f>CCJ!D36</f>
        <v>31.131419633287955</v>
      </c>
      <c r="G36">
        <f>ALL!D36</f>
        <v>18.085418722597812</v>
      </c>
    </row>
    <row r="37" spans="1:7" x14ac:dyDescent="0.3">
      <c r="A37">
        <v>2025</v>
      </c>
      <c r="B37">
        <f>RCT!D37</f>
        <v>58.286713286713287</v>
      </c>
      <c r="C37">
        <f>CT!D37</f>
        <v>30.512640449438202</v>
      </c>
      <c r="D37">
        <f>META!D37</f>
        <v>41.018046562887449</v>
      </c>
      <c r="E37">
        <f>REVIEW!D37</f>
        <v>0.98786172302013586</v>
      </c>
      <c r="F37">
        <f>CCJ!D37</f>
        <v>31.699519286059296</v>
      </c>
      <c r="G37">
        <f>ALL!D37</f>
        <v>18.338838624583488</v>
      </c>
    </row>
    <row r="38" spans="1:7" x14ac:dyDescent="0.3">
      <c r="A38" t="s">
        <v>8</v>
      </c>
      <c r="B38">
        <f>RCT!D38</f>
        <v>0</v>
      </c>
      <c r="C38">
        <f>CT!D38</f>
        <v>0</v>
      </c>
      <c r="D38">
        <f>META!D38</f>
        <v>0</v>
      </c>
      <c r="E38">
        <f>REVIEW!D38</f>
        <v>0</v>
      </c>
      <c r="F38">
        <f>CCJ!D38</f>
        <v>0</v>
      </c>
      <c r="G38">
        <f>ALL!D38</f>
        <v>0</v>
      </c>
    </row>
    <row r="39" spans="1:7" x14ac:dyDescent="0.3">
      <c r="A39" t="s">
        <v>6</v>
      </c>
      <c r="B39">
        <f>RCT!D39</f>
        <v>58.286713286713287</v>
      </c>
      <c r="C39">
        <f>CT!D39</f>
        <v>40.04805766920304</v>
      </c>
      <c r="D39">
        <f>META!D39</f>
        <v>41.018046562887449</v>
      </c>
      <c r="E39">
        <f>REVIEW!D39</f>
        <v>1.8749804852155993</v>
      </c>
      <c r="F39">
        <f>CCJ!D39</f>
        <v>33.476342572542229</v>
      </c>
      <c r="G39">
        <f>ALL!D39</f>
        <v>18.5436095484154</v>
      </c>
    </row>
    <row r="40" spans="1:7" x14ac:dyDescent="0.3">
      <c r="A40" t="s">
        <v>7</v>
      </c>
      <c r="B40">
        <f>RCT!D40</f>
        <v>34.022128213472172</v>
      </c>
      <c r="C40">
        <f>CT!D40</f>
        <v>18.33824975417896</v>
      </c>
      <c r="D40">
        <f>META!D40</f>
        <v>13.059701492537313</v>
      </c>
      <c r="E40">
        <f>REVIEW!D40</f>
        <v>0.5767059751635587</v>
      </c>
      <c r="F40">
        <f>CCJ!D40</f>
        <v>17.081861856129301</v>
      </c>
      <c r="G40">
        <f>ALL!D40</f>
        <v>7.4922142969904844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4533F-4400-7C4F-8D08-3AA3EF037CC0}">
  <dimension ref="I1:AS47"/>
  <sheetViews>
    <sheetView tabSelected="1" topLeftCell="I19" zoomScale="85" zoomScaleNormal="85" workbookViewId="0">
      <selection activeCell="J40" sqref="J40"/>
    </sheetView>
  </sheetViews>
  <sheetFormatPr defaultColWidth="11.44140625" defaultRowHeight="17.25" x14ac:dyDescent="0.3"/>
  <cols>
    <col min="1" max="8" width="0" hidden="1" customWidth="1"/>
  </cols>
  <sheetData>
    <row r="1" spans="9:45" x14ac:dyDescent="0.3">
      <c r="I1" t="str">
        <f>NEWagg!K1</f>
        <v>Year</v>
      </c>
      <c r="J1">
        <f>NEWagg!L1</f>
        <v>1990</v>
      </c>
      <c r="K1">
        <f>NEWagg!M1</f>
        <v>1991</v>
      </c>
      <c r="L1">
        <f>NEWagg!N1</f>
        <v>1992</v>
      </c>
      <c r="M1">
        <f>NEWagg!O1</f>
        <v>1993</v>
      </c>
      <c r="N1">
        <f>NEWagg!P1</f>
        <v>1994</v>
      </c>
      <c r="O1">
        <f>NEWagg!Q1</f>
        <v>1995</v>
      </c>
      <c r="P1">
        <f>NEWagg!R1</f>
        <v>1996</v>
      </c>
      <c r="Q1">
        <f>NEWagg!S1</f>
        <v>1997</v>
      </c>
      <c r="R1">
        <f>NEWagg!T1</f>
        <v>1998</v>
      </c>
      <c r="S1">
        <f>NEWagg!U1</f>
        <v>1999</v>
      </c>
      <c r="T1">
        <f>NEWagg!V1</f>
        <v>2000</v>
      </c>
      <c r="U1">
        <f>NEWagg!W1</f>
        <v>2001</v>
      </c>
      <c r="V1">
        <f>NEWagg!X1</f>
        <v>2002</v>
      </c>
      <c r="W1">
        <f>NEWagg!Y1</f>
        <v>2003</v>
      </c>
      <c r="X1">
        <f>NEWagg!Z1</f>
        <v>2004</v>
      </c>
      <c r="Y1">
        <f>NEWagg!AA1</f>
        <v>2005</v>
      </c>
      <c r="Z1">
        <f>NEWagg!AB1</f>
        <v>2006</v>
      </c>
      <c r="AA1">
        <f>NEWagg!AC1</f>
        <v>2007</v>
      </c>
      <c r="AB1">
        <f>NEWagg!AD1</f>
        <v>2008</v>
      </c>
      <c r="AC1">
        <f>NEWagg!AE1</f>
        <v>2009</v>
      </c>
      <c r="AD1">
        <f>NEWagg!AF1</f>
        <v>2010</v>
      </c>
      <c r="AE1">
        <f>NEWagg!AG1</f>
        <v>2011</v>
      </c>
      <c r="AF1">
        <f>NEWagg!AH1</f>
        <v>2012</v>
      </c>
      <c r="AG1">
        <f>NEWagg!AI1</f>
        <v>2013</v>
      </c>
      <c r="AH1">
        <f>NEWagg!AJ1</f>
        <v>2014</v>
      </c>
      <c r="AI1">
        <f>NEWagg!AK1</f>
        <v>2015</v>
      </c>
      <c r="AJ1">
        <f>NEWagg!AL1</f>
        <v>2016</v>
      </c>
      <c r="AK1">
        <f>NEWagg!AM1</f>
        <v>2017</v>
      </c>
      <c r="AL1">
        <f>NEWagg!AN1</f>
        <v>2018</v>
      </c>
      <c r="AM1">
        <f>NEWagg!AO1</f>
        <v>2019</v>
      </c>
      <c r="AN1">
        <f>NEWagg!AP1</f>
        <v>2020</v>
      </c>
      <c r="AO1">
        <f>NEWagg!AQ1</f>
        <v>2021</v>
      </c>
      <c r="AP1">
        <f>NEWagg!AR1</f>
        <v>2022</v>
      </c>
      <c r="AQ1">
        <f>NEWagg!AS1</f>
        <v>2023</v>
      </c>
      <c r="AR1">
        <f>NEWagg!AT1</f>
        <v>2024</v>
      </c>
      <c r="AS1">
        <f>NEWagg!AU1</f>
        <v>2025</v>
      </c>
    </row>
    <row r="2" spans="9:45" x14ac:dyDescent="0.3">
      <c r="I2" t="str">
        <f>NEWagg!K2</f>
        <v>Randomized controlled trial</v>
      </c>
      <c r="J2">
        <f>NEWagg!L2</f>
        <v>34.022128213472172</v>
      </c>
      <c r="K2">
        <f>NEWagg!M2</f>
        <v>37.302423603793464</v>
      </c>
      <c r="L2">
        <f>NEWagg!N2</f>
        <v>38.157341186369379</v>
      </c>
      <c r="M2">
        <f>NEWagg!O2</f>
        <v>39.421711630308508</v>
      </c>
      <c r="N2">
        <f>NEWagg!P2</f>
        <v>40.414333706606939</v>
      </c>
      <c r="O2">
        <f>NEWagg!Q2</f>
        <v>41.617195496417601</v>
      </c>
      <c r="P2">
        <f>NEWagg!R2</f>
        <v>43.335761107064826</v>
      </c>
      <c r="Q2">
        <f>NEWagg!S2</f>
        <v>45.245835026412031</v>
      </c>
      <c r="R2">
        <f>NEWagg!T2</f>
        <v>46.355998436889415</v>
      </c>
      <c r="S2">
        <f>NEWagg!U2</f>
        <v>47.740524781341108</v>
      </c>
      <c r="T2">
        <f>NEWagg!V2</f>
        <v>47.753650318232872</v>
      </c>
      <c r="U2">
        <f>NEWagg!W2</f>
        <v>48.385146804835919</v>
      </c>
      <c r="V2">
        <f>NEWagg!X2</f>
        <v>50.354186225142946</v>
      </c>
      <c r="W2">
        <f>NEWagg!Y2</f>
        <v>51.886066204772909</v>
      </c>
      <c r="X2">
        <f>NEWagg!Z2</f>
        <v>51.003853173798419</v>
      </c>
      <c r="Y2">
        <f>NEWagg!AA2</f>
        <v>53.009390559021874</v>
      </c>
      <c r="Z2">
        <f>NEWagg!AB2</f>
        <v>52.73166136818557</v>
      </c>
      <c r="AA2">
        <f>NEWagg!AC2</f>
        <v>52.505889912186767</v>
      </c>
      <c r="AB2">
        <f>NEWagg!AD2</f>
        <v>53.065154038301422</v>
      </c>
      <c r="AC2">
        <f>NEWagg!AE2</f>
        <v>53.786312161496795</v>
      </c>
      <c r="AD2">
        <f>NEWagg!AF2</f>
        <v>52.828064487075565</v>
      </c>
      <c r="AE2">
        <f>NEWagg!AG2</f>
        <v>51.620129610368828</v>
      </c>
      <c r="AF2">
        <f>NEWagg!AH2</f>
        <v>52.36165352590082</v>
      </c>
      <c r="AG2">
        <f>NEWagg!AI2</f>
        <v>51.193958772705628</v>
      </c>
      <c r="AH2">
        <f>NEWagg!AJ2</f>
        <v>52.048931724742197</v>
      </c>
      <c r="AI2">
        <f>NEWagg!AK2</f>
        <v>52.62459601973125</v>
      </c>
      <c r="AJ2">
        <f>NEWagg!AL2</f>
        <v>52.930772223990942</v>
      </c>
      <c r="AK2">
        <f>NEWagg!AM2</f>
        <v>53.457598178713717</v>
      </c>
      <c r="AL2">
        <f>NEWagg!AN2</f>
        <v>55.143724468762876</v>
      </c>
      <c r="AM2">
        <f>NEWagg!AO2</f>
        <v>55.267429132223612</v>
      </c>
      <c r="AN2">
        <f>NEWagg!AP2</f>
        <v>56.058056373580143</v>
      </c>
      <c r="AO2">
        <f>NEWagg!AQ2</f>
        <v>55.933579086205143</v>
      </c>
      <c r="AP2">
        <f>NEWagg!AR2</f>
        <v>55.555944178237901</v>
      </c>
      <c r="AQ2">
        <f>NEWagg!AS2</f>
        <v>55.500315656565661</v>
      </c>
      <c r="AR2">
        <f>NEWagg!AT2</f>
        <v>57.778185824458319</v>
      </c>
      <c r="AS2">
        <f>NEWagg!AU2</f>
        <v>58.286713286713287</v>
      </c>
    </row>
    <row r="3" spans="9:45" x14ac:dyDescent="0.3">
      <c r="I3" t="str">
        <f>NEWagg!K3</f>
        <v>Clinical trial</v>
      </c>
      <c r="J3">
        <f>NEWagg!L3</f>
        <v>18.33824975417896</v>
      </c>
      <c r="K3">
        <f>NEWagg!M3</f>
        <v>20.600961538461537</v>
      </c>
      <c r="L3">
        <f>NEWagg!N3</f>
        <v>20.714285714285715</v>
      </c>
      <c r="M3">
        <f>NEWagg!O3</f>
        <v>23.345041880572818</v>
      </c>
      <c r="N3">
        <f>NEWagg!P3</f>
        <v>25.196757899682837</v>
      </c>
      <c r="O3">
        <f>NEWagg!Q3</f>
        <v>24.576089289547113</v>
      </c>
      <c r="P3">
        <f>NEWagg!R3</f>
        <v>25.424688561721403</v>
      </c>
      <c r="Q3">
        <f>NEWagg!S3</f>
        <v>25.036375982151522</v>
      </c>
      <c r="R3">
        <f>NEWagg!T3</f>
        <v>25.852574630470489</v>
      </c>
      <c r="S3">
        <f>NEWagg!U3</f>
        <v>27.126008690254501</v>
      </c>
      <c r="T3">
        <f>NEWagg!V3</f>
        <v>29.246428237930711</v>
      </c>
      <c r="U3">
        <f>NEWagg!W3</f>
        <v>29.368904831296938</v>
      </c>
      <c r="V3">
        <f>NEWagg!X3</f>
        <v>30.400172117039588</v>
      </c>
      <c r="W3">
        <f>NEWagg!Y3</f>
        <v>31.843674886495148</v>
      </c>
      <c r="X3">
        <f>NEWagg!Z3</f>
        <v>31.128940756949508</v>
      </c>
      <c r="Y3">
        <f>NEWagg!AA3</f>
        <v>31.231057872708906</v>
      </c>
      <c r="Z3">
        <f>NEWagg!AB3</f>
        <v>33.220202020202024</v>
      </c>
      <c r="AA3">
        <f>NEWagg!AC3</f>
        <v>34.986389928547126</v>
      </c>
      <c r="AB3">
        <f>NEWagg!AD3</f>
        <v>35.697137580794092</v>
      </c>
      <c r="AC3">
        <f>NEWagg!AE3</f>
        <v>35.2018149163437</v>
      </c>
      <c r="AD3">
        <f>NEWagg!AF3</f>
        <v>36.416131135326438</v>
      </c>
      <c r="AE3">
        <f>NEWagg!AG3</f>
        <v>37.063453025086076</v>
      </c>
      <c r="AF3">
        <f>NEWagg!AH3</f>
        <v>37.143069049914708</v>
      </c>
      <c r="AG3">
        <f>NEWagg!AI3</f>
        <v>38.472540045766593</v>
      </c>
      <c r="AH3">
        <f>NEWagg!AJ3</f>
        <v>38.624584203604854</v>
      </c>
      <c r="AI3">
        <f>NEWagg!AK3</f>
        <v>39.906103286384976</v>
      </c>
      <c r="AJ3">
        <f>NEWagg!AL3</f>
        <v>40.04805766920304</v>
      </c>
      <c r="AK3">
        <f>NEWagg!AM3</f>
        <v>39.516979540181396</v>
      </c>
      <c r="AL3">
        <f>NEWagg!AN3</f>
        <v>38.798786229988494</v>
      </c>
      <c r="AM3">
        <f>NEWagg!AO3</f>
        <v>37.728069271209151</v>
      </c>
      <c r="AN3">
        <f>NEWagg!AP3</f>
        <v>35.514367458639136</v>
      </c>
      <c r="AO3">
        <f>NEWagg!AQ3</f>
        <v>34.7206015817451</v>
      </c>
      <c r="AP3">
        <f>NEWagg!AR3</f>
        <v>35.374627127566235</v>
      </c>
      <c r="AQ3">
        <f>NEWagg!AS3</f>
        <v>34.96056277979109</v>
      </c>
      <c r="AR3">
        <f>NEWagg!AT3</f>
        <v>31.050333256722588</v>
      </c>
      <c r="AS3">
        <f>NEWagg!AU3</f>
        <v>30.512640449438202</v>
      </c>
    </row>
    <row r="4" spans="9:45" x14ac:dyDescent="0.3">
      <c r="I4" t="str">
        <f>NEWagg!K4</f>
        <v>Meta-analysis</v>
      </c>
      <c r="J4">
        <f>NEWagg!L4</f>
        <v>14.018691588785046</v>
      </c>
      <c r="K4">
        <f>NEWagg!M4</f>
        <v>13.059701492537313</v>
      </c>
      <c r="L4">
        <f>NEWagg!N4</f>
        <v>13.486842105263158</v>
      </c>
      <c r="M4">
        <f>NEWagg!O4</f>
        <v>21.532846715328464</v>
      </c>
      <c r="N4">
        <f>NEWagg!P4</f>
        <v>17.816091954022991</v>
      </c>
      <c r="O4">
        <f>NEWagg!Q4</f>
        <v>22.025316455696203</v>
      </c>
      <c r="P4">
        <f>NEWagg!R4</f>
        <v>20.898876404494381</v>
      </c>
      <c r="Q4">
        <f>NEWagg!S4</f>
        <v>21.167883211678831</v>
      </c>
      <c r="R4">
        <f>NEWagg!T4</f>
        <v>18.367346938775512</v>
      </c>
      <c r="S4">
        <f>NEWagg!U4</f>
        <v>18.208516886930983</v>
      </c>
      <c r="T4">
        <f>NEWagg!V4</f>
        <v>21.815889029003781</v>
      </c>
      <c r="U4">
        <f>NEWagg!W4</f>
        <v>18.931475029036005</v>
      </c>
      <c r="V4">
        <f>NEWagg!X4</f>
        <v>20.672601384767557</v>
      </c>
      <c r="W4">
        <f>NEWagg!Y4</f>
        <v>25.121555915721235</v>
      </c>
      <c r="X4">
        <f>NEWagg!Z4</f>
        <v>22.17873450750163</v>
      </c>
      <c r="Y4">
        <f>NEWagg!AA4</f>
        <v>23.762861342479177</v>
      </c>
      <c r="Z4">
        <f>NEWagg!AB4</f>
        <v>23.560855263157894</v>
      </c>
      <c r="AA4">
        <f>NEWagg!AC4</f>
        <v>26.841721371261851</v>
      </c>
      <c r="AB4">
        <f>NEWagg!AD4</f>
        <v>27.968596663395484</v>
      </c>
      <c r="AC4">
        <f>NEWagg!AE4</f>
        <v>29.906798245614034</v>
      </c>
      <c r="AD4">
        <f>NEWagg!AF4</f>
        <v>31.707317073170731</v>
      </c>
      <c r="AE4">
        <f>NEWagg!AG4</f>
        <v>32.793103448275865</v>
      </c>
      <c r="AF4">
        <f>NEWagg!AH4</f>
        <v>34.001811359813686</v>
      </c>
      <c r="AG4">
        <f>NEWagg!AI4</f>
        <v>36.025560444165095</v>
      </c>
      <c r="AH4">
        <f>NEWagg!AJ4</f>
        <v>37.02838663312972</v>
      </c>
      <c r="AI4">
        <f>NEWagg!AK4</f>
        <v>38.040229420793281</v>
      </c>
      <c r="AJ4">
        <f>NEWagg!AL4</f>
        <v>37.190336974919219</v>
      </c>
      <c r="AK4">
        <f>NEWagg!AM4</f>
        <v>37.814574367204031</v>
      </c>
      <c r="AL4">
        <f>NEWagg!AN4</f>
        <v>38.211437998350291</v>
      </c>
      <c r="AM4">
        <f>NEWagg!AO4</f>
        <v>38.101087023275809</v>
      </c>
      <c r="AN4">
        <f>NEWagg!AP4</f>
        <v>38.234994913530009</v>
      </c>
      <c r="AO4">
        <f>NEWagg!AQ4</f>
        <v>38.177177309334155</v>
      </c>
      <c r="AP4">
        <f>NEWagg!AR4</f>
        <v>38.665236051502141</v>
      </c>
      <c r="AQ4">
        <f>NEWagg!AS4</f>
        <v>38.860472356891876</v>
      </c>
      <c r="AR4">
        <f>NEWagg!AT4</f>
        <v>40.001698946653072</v>
      </c>
      <c r="AS4">
        <f>NEWagg!AU4</f>
        <v>41.018046562887449</v>
      </c>
    </row>
    <row r="5" spans="9:45" x14ac:dyDescent="0.3">
      <c r="I5" t="str">
        <f>NEWagg!K5</f>
        <v>Review</v>
      </c>
      <c r="J5">
        <f>NEWagg!L5</f>
        <v>0.74556164270708902</v>
      </c>
      <c r="K5">
        <f>NEWagg!M5</f>
        <v>0.74762808349146104</v>
      </c>
      <c r="L5">
        <f>NEWagg!N5</f>
        <v>0.79196515353324448</v>
      </c>
      <c r="M5">
        <f>NEWagg!O5</f>
        <v>0.71374387973243225</v>
      </c>
      <c r="N5">
        <f>NEWagg!P5</f>
        <v>0.67620286085825743</v>
      </c>
      <c r="O5">
        <f>NEWagg!Q5</f>
        <v>0.77999818605073012</v>
      </c>
      <c r="P5">
        <f>NEWagg!R5</f>
        <v>0.8684166151424878</v>
      </c>
      <c r="Q5">
        <f>NEWagg!S5</f>
        <v>0.80828358603201433</v>
      </c>
      <c r="R5">
        <f>NEWagg!T5</f>
        <v>0.72692793931731992</v>
      </c>
      <c r="S5">
        <f>NEWagg!U5</f>
        <v>0.57890525721278296</v>
      </c>
      <c r="T5">
        <f>NEWagg!V5</f>
        <v>0.58907128586434876</v>
      </c>
      <c r="U5">
        <f>NEWagg!W5</f>
        <v>0.61254831995242343</v>
      </c>
      <c r="V5">
        <f>NEWagg!X5</f>
        <v>0.60838297254104312</v>
      </c>
      <c r="W5">
        <f>NEWagg!Y5</f>
        <v>0.82874315659060094</v>
      </c>
      <c r="X5">
        <f>NEWagg!Z5</f>
        <v>0.85103108648815018</v>
      </c>
      <c r="Y5">
        <f>NEWagg!AA5</f>
        <v>0.66062308106456347</v>
      </c>
      <c r="Z5">
        <f>NEWagg!AB5</f>
        <v>0.5767059751635587</v>
      </c>
      <c r="AA5">
        <f>NEWagg!AC5</f>
        <v>0.6334629742842649</v>
      </c>
      <c r="AB5">
        <f>NEWagg!AD5</f>
        <v>0.60370408267676257</v>
      </c>
      <c r="AC5">
        <f>NEWagg!AE5</f>
        <v>0.66180341430397838</v>
      </c>
      <c r="AD5">
        <f>NEWagg!AF5</f>
        <v>0.73191307344082313</v>
      </c>
      <c r="AE5">
        <f>NEWagg!AG5</f>
        <v>0.7814161768821718</v>
      </c>
      <c r="AF5">
        <f>NEWagg!AH5</f>
        <v>0.85359162657212795</v>
      </c>
      <c r="AG5">
        <f>NEWagg!AI5</f>
        <v>0.94824539257763185</v>
      </c>
      <c r="AH5">
        <f>NEWagg!AJ5</f>
        <v>0.96976390463180939</v>
      </c>
      <c r="AI5">
        <f>NEWagg!AK5</f>
        <v>1.0365251727541955</v>
      </c>
      <c r="AJ5">
        <f>NEWagg!AL5</f>
        <v>1.1055230009689476</v>
      </c>
      <c r="AK5">
        <f>NEWagg!AM5</f>
        <v>1.0958704615580657</v>
      </c>
      <c r="AL5">
        <f>NEWagg!AN5</f>
        <v>1.0833713228392909</v>
      </c>
      <c r="AM5">
        <f>NEWagg!AO5</f>
        <v>1.1087149341727682</v>
      </c>
      <c r="AN5">
        <f>NEWagg!AP5</f>
        <v>1.1758733814693871</v>
      </c>
      <c r="AO5">
        <f>NEWagg!AQ5</f>
        <v>1.3836239575435938</v>
      </c>
      <c r="AP5">
        <f>NEWagg!AR5</f>
        <v>1.8311187813992262</v>
      </c>
      <c r="AQ5">
        <f>NEWagg!AS5</f>
        <v>1.8749804852155993</v>
      </c>
      <c r="AR5">
        <f>NEWagg!AT5</f>
        <v>1.2476601819413389</v>
      </c>
      <c r="AS5">
        <f>NEWagg!AU5</f>
        <v>0.98786172302013586</v>
      </c>
    </row>
    <row r="6" spans="9:45" x14ac:dyDescent="0.3">
      <c r="I6" t="str">
        <f>NEWagg!K6</f>
        <v>Clinically Useful Journals</v>
      </c>
      <c r="J6">
        <f>NEWagg!L6</f>
        <v>17.081861856129301</v>
      </c>
      <c r="K6">
        <f>NEWagg!M6</f>
        <v>18.481627695110841</v>
      </c>
      <c r="L6">
        <f>NEWagg!N6</f>
        <v>19.917976368016518</v>
      </c>
      <c r="M6">
        <f>NEWagg!O6</f>
        <v>20.397014279532669</v>
      </c>
      <c r="N6">
        <f>NEWagg!P6</f>
        <v>22.02908283183098</v>
      </c>
      <c r="O6">
        <f>NEWagg!Q6</f>
        <v>22.788981800295129</v>
      </c>
      <c r="P6">
        <f>NEWagg!R6</f>
        <v>23.489670983634543</v>
      </c>
      <c r="Q6">
        <f>NEWagg!S6</f>
        <v>24.347396641738396</v>
      </c>
      <c r="R6">
        <f>NEWagg!T6</f>
        <v>24.75206800420456</v>
      </c>
      <c r="S6">
        <f>NEWagg!U6</f>
        <v>25.12456293706294</v>
      </c>
      <c r="T6">
        <f>NEWagg!V6</f>
        <v>24.647010405014669</v>
      </c>
      <c r="U6">
        <f>NEWagg!W6</f>
        <v>26.35683290359097</v>
      </c>
      <c r="V6">
        <f>NEWagg!X6</f>
        <v>26.425378161553066</v>
      </c>
      <c r="W6">
        <f>NEWagg!Y6</f>
        <v>26.72712723392905</v>
      </c>
      <c r="X6">
        <f>NEWagg!Z6</f>
        <v>27.541566416490106</v>
      </c>
      <c r="Y6">
        <f>NEWagg!AA6</f>
        <v>28.061489513667944</v>
      </c>
      <c r="Z6">
        <f>NEWagg!AB6</f>
        <v>27.702219040801719</v>
      </c>
      <c r="AA6">
        <f>NEWagg!AC6</f>
        <v>28.003961762984531</v>
      </c>
      <c r="AB6">
        <f>NEWagg!AD6</f>
        <v>28.368213083565053</v>
      </c>
      <c r="AC6">
        <f>NEWagg!AE6</f>
        <v>29.250547845142439</v>
      </c>
      <c r="AD6">
        <f>NEWagg!AF6</f>
        <v>29.870477640127973</v>
      </c>
      <c r="AE6">
        <f>NEWagg!AG6</f>
        <v>30.849690777090615</v>
      </c>
      <c r="AF6">
        <f>NEWagg!AH6</f>
        <v>31.297126143773312</v>
      </c>
      <c r="AG6">
        <f>NEWagg!AI6</f>
        <v>32.296949260547485</v>
      </c>
      <c r="AH6">
        <f>NEWagg!AJ6</f>
        <v>32.438746203844936</v>
      </c>
      <c r="AI6">
        <f>NEWagg!AK6</f>
        <v>33.117611646234671</v>
      </c>
      <c r="AJ6">
        <f>NEWagg!AL6</f>
        <v>33.476342572542229</v>
      </c>
      <c r="AK6">
        <f>NEWagg!AM6</f>
        <v>32.484309552534199</v>
      </c>
      <c r="AL6">
        <f>NEWagg!AN6</f>
        <v>32.404129793510322</v>
      </c>
      <c r="AM6">
        <f>NEWagg!AO6</f>
        <v>32.320939857152389</v>
      </c>
      <c r="AN6">
        <f>NEWagg!AP6</f>
        <v>31.814090400428164</v>
      </c>
      <c r="AO6">
        <f>NEWagg!AQ6</f>
        <v>31.787556904400603</v>
      </c>
      <c r="AP6">
        <f>NEWagg!AR6</f>
        <v>31.794229737352612</v>
      </c>
      <c r="AQ6">
        <f>NEWagg!AS6</f>
        <v>31.298849046289316</v>
      </c>
      <c r="AR6">
        <f>NEWagg!AT6</f>
        <v>31.131419633287955</v>
      </c>
      <c r="AS6">
        <f>NEWagg!AU6</f>
        <v>31.699519286059296</v>
      </c>
    </row>
    <row r="7" spans="9:45" x14ac:dyDescent="0.3">
      <c r="I7" t="str">
        <f>NEWagg!K7</f>
        <v>All MEDLINE</v>
      </c>
      <c r="J7">
        <f>NEWagg!L7</f>
        <v>7.4922142969904844</v>
      </c>
      <c r="K7">
        <f>NEWagg!M7</f>
        <v>8.0870050195203582</v>
      </c>
      <c r="L7">
        <f>NEWagg!N7</f>
        <v>8.7406741760882749</v>
      </c>
      <c r="M7">
        <f>NEWagg!O7</f>
        <v>9.3137690724187685</v>
      </c>
      <c r="N7">
        <f>NEWagg!P7</f>
        <v>9.8484268417320546</v>
      </c>
      <c r="O7">
        <f>NEWagg!Q7</f>
        <v>10.328659721908281</v>
      </c>
      <c r="P7">
        <f>NEWagg!R7</f>
        <v>10.885077675899092</v>
      </c>
      <c r="Q7">
        <f>NEWagg!S7</f>
        <v>11.278772142190517</v>
      </c>
      <c r="R7">
        <f>NEWagg!T7</f>
        <v>11.337926491820825</v>
      </c>
      <c r="S7">
        <f>NEWagg!U7</f>
        <v>11.72828551146122</v>
      </c>
      <c r="T7">
        <f>NEWagg!V7</f>
        <v>11.322342125238199</v>
      </c>
      <c r="U7">
        <f>NEWagg!W7</f>
        <v>11.594853456667458</v>
      </c>
      <c r="V7">
        <f>NEWagg!X7</f>
        <v>11.862182353110848</v>
      </c>
      <c r="W7">
        <f>NEWagg!Y7</f>
        <v>12.377194341007494</v>
      </c>
      <c r="X7">
        <f>NEWagg!Z7</f>
        <v>12.676840607112061</v>
      </c>
      <c r="Y7">
        <f>NEWagg!AA7</f>
        <v>13.102711092290559</v>
      </c>
      <c r="Z7">
        <f>NEWagg!AB7</f>
        <v>13.125184327942478</v>
      </c>
      <c r="AA7">
        <f>NEWagg!AC7</f>
        <v>13.536554113452862</v>
      </c>
      <c r="AB7">
        <f>NEWagg!AD7</f>
        <v>13.979206194949636</v>
      </c>
      <c r="AC7">
        <f>NEWagg!AE7</f>
        <v>14.32795047215833</v>
      </c>
      <c r="AD7">
        <f>NEWagg!AF7</f>
        <v>14.645641271785365</v>
      </c>
      <c r="AE7">
        <f>NEWagg!AG7</f>
        <v>15.203296222069953</v>
      </c>
      <c r="AF7">
        <f>NEWagg!AH7</f>
        <v>15.665689399803734</v>
      </c>
      <c r="AG7">
        <f>NEWagg!AI7</f>
        <v>16.239176395104092</v>
      </c>
      <c r="AH7">
        <f>NEWagg!AJ7</f>
        <v>16.711395693923428</v>
      </c>
      <c r="AI7">
        <f>NEWagg!AK7</f>
        <v>17.318446487825607</v>
      </c>
      <c r="AJ7">
        <f>NEWagg!AL7</f>
        <v>17.598548329989377</v>
      </c>
      <c r="AK7">
        <f>NEWagg!AM7</f>
        <v>17.845313571181705</v>
      </c>
      <c r="AL7">
        <f>NEWagg!AN7</f>
        <v>18.038837711311086</v>
      </c>
      <c r="AM7">
        <f>NEWagg!AO7</f>
        <v>18.037654943366718</v>
      </c>
      <c r="AN7">
        <f>NEWagg!AP7</f>
        <v>18.397820926048926</v>
      </c>
      <c r="AO7">
        <f>NEWagg!AQ7</f>
        <v>18.5436095484154</v>
      </c>
      <c r="AP7">
        <f>NEWagg!AR7</f>
        <v>18.031976808029341</v>
      </c>
      <c r="AQ7">
        <f>NEWagg!AS7</f>
        <v>18.226438453555172</v>
      </c>
      <c r="AR7">
        <f>NEWagg!AT7</f>
        <v>18.085418722597812</v>
      </c>
      <c r="AS7">
        <f>NEWagg!AU7</f>
        <v>18.338838624583488</v>
      </c>
    </row>
    <row r="8" spans="9:45" x14ac:dyDescent="0.3">
      <c r="I8" t="str">
        <f>NEWagg!K8</f>
        <v>Observational study</v>
      </c>
      <c r="AD8">
        <f>NEWagg!AF8</f>
        <v>57.575757575757578</v>
      </c>
      <c r="AE8">
        <f>NEWagg!AG8</f>
        <v>60.869565217391312</v>
      </c>
      <c r="AF8">
        <f>NEWagg!AH8</f>
        <v>46.478873239436616</v>
      </c>
      <c r="AG8">
        <f>NEWagg!AI8</f>
        <v>50.091041514930815</v>
      </c>
      <c r="AH8">
        <f>NEWagg!AJ8</f>
        <v>49.898562229866805</v>
      </c>
      <c r="AI8">
        <f>NEWagg!AK8</f>
        <v>50.437613019891501</v>
      </c>
      <c r="AJ8">
        <f>NEWagg!AL8</f>
        <v>51.0977522216414</v>
      </c>
      <c r="AK8">
        <f>NEWagg!AM8</f>
        <v>51.36562818896693</v>
      </c>
      <c r="AL8">
        <f>NEWagg!AN8</f>
        <v>50.733009973295552</v>
      </c>
      <c r="AM8">
        <f>NEWagg!AO8</f>
        <v>50.323898744269478</v>
      </c>
      <c r="AN8">
        <f>NEWagg!AP8</f>
        <v>49.735449735449734</v>
      </c>
      <c r="AO8">
        <f>NEWagg!AQ8</f>
        <v>48.010473451517363</v>
      </c>
      <c r="AP8">
        <f>NEWagg!AR8</f>
        <v>48.154445236658802</v>
      </c>
      <c r="AQ8">
        <f>NEWagg!AS8</f>
        <v>48.499510044096034</v>
      </c>
      <c r="AR8">
        <f>NEWagg!AT8</f>
        <v>48.480402431356111</v>
      </c>
      <c r="AS8">
        <f>NEWagg!AU8</f>
        <v>50.198222829801779</v>
      </c>
    </row>
    <row r="9" spans="9:45" x14ac:dyDescent="0.3">
      <c r="I9" t="str">
        <f>NEWagg!K9</f>
        <v>Systematic review</v>
      </c>
      <c r="Q9">
        <f>NEWagg!S9</f>
        <v>7.0866141732283463</v>
      </c>
      <c r="R9">
        <f>NEWagg!T9</f>
        <v>3.9024390243902438</v>
      </c>
      <c r="S9">
        <f>NEWagg!U9</f>
        <v>6.1594202898550732</v>
      </c>
      <c r="T9">
        <f>NEWagg!V9</f>
        <v>5.3352559480894008</v>
      </c>
      <c r="U9">
        <f>NEWagg!W9</f>
        <v>6.7698259187620886</v>
      </c>
      <c r="V9">
        <f>NEWagg!X9</f>
        <v>7.9242032730404821</v>
      </c>
      <c r="W9">
        <f>NEWagg!Y9</f>
        <v>9.9342585829072316</v>
      </c>
      <c r="X9">
        <f>NEWagg!Z9</f>
        <v>10.035419126328216</v>
      </c>
      <c r="Y9">
        <f>NEWagg!AA9</f>
        <v>10.637230306071249</v>
      </c>
      <c r="Z9">
        <f>NEWagg!AB9</f>
        <v>10.851149657119805</v>
      </c>
      <c r="AA9">
        <f>NEWagg!AC9</f>
        <v>11.546578233343382</v>
      </c>
      <c r="AB9">
        <f>NEWagg!AD9</f>
        <v>12.368566685113448</v>
      </c>
      <c r="AC9">
        <f>NEWagg!AE9</f>
        <v>12.914961346066395</v>
      </c>
      <c r="AD9">
        <f>NEWagg!AF9</f>
        <v>13.678795961135453</v>
      </c>
      <c r="AE9">
        <f>NEWagg!AG9</f>
        <v>13.723076923076924</v>
      </c>
      <c r="AF9">
        <f>NEWagg!AH9</f>
        <v>15.630679752817159</v>
      </c>
      <c r="AG9">
        <f>NEWagg!AI9</f>
        <v>16.999012833168806</v>
      </c>
      <c r="AH9">
        <f>NEWagg!AJ9</f>
        <v>17.726929846618052</v>
      </c>
      <c r="AI9">
        <f>NEWagg!AK9</f>
        <v>19.481654047757718</v>
      </c>
      <c r="AJ9">
        <f>NEWagg!AL9</f>
        <v>19.634464751958227</v>
      </c>
      <c r="AK9">
        <f>NEWagg!AM9</f>
        <v>20.243930240510657</v>
      </c>
      <c r="AL9">
        <f>NEWagg!AN9</f>
        <v>20.988829334268395</v>
      </c>
      <c r="AM9">
        <f>NEWagg!AO9</f>
        <v>21.942765354863251</v>
      </c>
      <c r="AN9">
        <f>NEWagg!AP9</f>
        <v>22.2074700394815</v>
      </c>
      <c r="AO9">
        <f>NEWagg!AQ9</f>
        <v>22.582573606336869</v>
      </c>
      <c r="AP9">
        <f>NEWagg!AR9</f>
        <v>22.77823675203588</v>
      </c>
      <c r="AQ9">
        <f>NEWagg!AS9</f>
        <v>23.555264634374414</v>
      </c>
      <c r="AR9">
        <f>NEWagg!AT9</f>
        <v>24.451741861793259</v>
      </c>
      <c r="AS9">
        <f>NEWagg!AU9</f>
        <v>25.52181781620752</v>
      </c>
    </row>
    <row r="12" spans="9:45" x14ac:dyDescent="0.3">
      <c r="W12" t="s">
        <v>20</v>
      </c>
    </row>
    <row r="39" spans="9:12" x14ac:dyDescent="0.3">
      <c r="I39" t="s">
        <v>10</v>
      </c>
      <c r="J39" t="s">
        <v>11</v>
      </c>
      <c r="K39" t="s">
        <v>12</v>
      </c>
    </row>
    <row r="40" spans="9:12" x14ac:dyDescent="0.3">
      <c r="I40" t="str">
        <f t="shared" ref="I40:I45" si="0">I2</f>
        <v>Randomized controlled trial</v>
      </c>
      <c r="J40">
        <f>[1]RCT!$B$38</f>
        <v>668641</v>
      </c>
      <c r="K40" t="str">
        <f>[1]RCT!$C$38 &amp;" ("&amp;[1]RCT!$C$40&amp;"-"&amp;[1]RCT!$C$39&amp;")"</f>
        <v>348180 (2091-16539)</v>
      </c>
    </row>
    <row r="41" spans="9:12" x14ac:dyDescent="0.3">
      <c r="I41" t="str">
        <f t="shared" si="0"/>
        <v>Clinical trial</v>
      </c>
      <c r="J41">
        <f>[1]CT!$B$38</f>
        <v>333103</v>
      </c>
      <c r="K41" t="str">
        <f>[1]CT!$C$38 &amp;" ("&amp;[1]CT!$C$40&amp;"-"&amp;[1]CT!$C$39&amp;")"</f>
        <v>109310 (746-5380)</v>
      </c>
    </row>
    <row r="42" spans="9:12" x14ac:dyDescent="0.3">
      <c r="I42" t="str">
        <f t="shared" si="0"/>
        <v>Meta-analysis</v>
      </c>
      <c r="J42">
        <f>[1]META!$B$38</f>
        <v>258279</v>
      </c>
      <c r="K42" t="str">
        <f>[1]META!$C$38 &amp;" ("&amp;[1]META!$C$40&amp;"-"&amp;[1]META!$C$39&amp;")"</f>
        <v>95012 (30-9418)</v>
      </c>
    </row>
    <row r="43" spans="9:12" x14ac:dyDescent="0.3">
      <c r="I43" t="str">
        <f t="shared" si="0"/>
        <v>Review</v>
      </c>
      <c r="J43">
        <f>[1]REVIEW!$B$38</f>
        <v>2766251</v>
      </c>
      <c r="K43" t="str">
        <f>[1]REVIEW!$C$38 &amp;" ("&amp;[1]REVIEW!$C$40&amp;"-"&amp;[1]REVIEW!$C$39&amp;")"</f>
        <v>27795 (181-2504)</v>
      </c>
    </row>
    <row r="44" spans="9:12" x14ac:dyDescent="0.3">
      <c r="I44" t="str">
        <f t="shared" si="0"/>
        <v>Clinically Useful Journals</v>
      </c>
      <c r="J44">
        <f>[1]CCJ!$B$38</f>
        <v>2125833</v>
      </c>
      <c r="K44" t="str">
        <f>[1]CCJ!$C$38 &amp;" ("&amp;[1]CCJ!$C$40&amp;"-"&amp;[1]CCJ!$C$39&amp;")"</f>
        <v>614361 (5369-26185)</v>
      </c>
    </row>
    <row r="45" spans="9:12" x14ac:dyDescent="0.3">
      <c r="I45" t="str">
        <f t="shared" si="0"/>
        <v>All MEDLINE</v>
      </c>
      <c r="J45">
        <f>[1]ALL!$B$38</f>
        <v>22734796</v>
      </c>
      <c r="K45" t="str">
        <f>[1]ALL!$C$38 &amp;" ("&amp;[1]ALL!$C$40&amp;"-"&amp;[1]ALL!$C$39&amp;")"</f>
        <v>3500485 (20882-206278)</v>
      </c>
    </row>
    <row r="46" spans="9:12" x14ac:dyDescent="0.3">
      <c r="I46" t="s">
        <v>13</v>
      </c>
      <c r="J46">
        <v>215849</v>
      </c>
      <c r="K46" t="s">
        <v>19</v>
      </c>
    </row>
    <row r="47" spans="9:12" ht="18" customHeight="1" x14ac:dyDescent="0.3">
      <c r="I47" t="s">
        <v>15</v>
      </c>
      <c r="J47">
        <v>343422</v>
      </c>
      <c r="K47" t="s">
        <v>18</v>
      </c>
      <c r="L47" s="1" t="s">
        <v>17</v>
      </c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2C4D9-8136-4D86-812B-9D1196D24A25}">
  <dimension ref="A1:AU40"/>
  <sheetViews>
    <sheetView zoomScaleNormal="100" workbookViewId="0">
      <selection activeCell="F1" sqref="F1"/>
    </sheetView>
  </sheetViews>
  <sheetFormatPr defaultRowHeight="17.25" x14ac:dyDescent="0.3"/>
  <sheetData>
    <row r="1" spans="1:47" x14ac:dyDescent="0.3">
      <c r="A1" t="s">
        <v>0</v>
      </c>
      <c r="B1" t="s">
        <v>9</v>
      </c>
      <c r="C1" t="s">
        <v>2</v>
      </c>
      <c r="D1" t="s">
        <v>3</v>
      </c>
      <c r="E1" t="s">
        <v>4</v>
      </c>
      <c r="F1" t="s">
        <v>23</v>
      </c>
      <c r="G1" t="s">
        <v>5</v>
      </c>
      <c r="H1" t="s">
        <v>14</v>
      </c>
      <c r="I1" t="s">
        <v>16</v>
      </c>
      <c r="K1" t="str" cm="1">
        <f t="array" ref="K1:AU9">TRANSPOSE(A1:I37)</f>
        <v>Year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  <c r="AS1">
        <v>2023</v>
      </c>
      <c r="AT1">
        <v>2024</v>
      </c>
      <c r="AU1">
        <v>2025</v>
      </c>
    </row>
    <row r="2" spans="1:47" x14ac:dyDescent="0.3">
      <c r="A2">
        <v>1990</v>
      </c>
      <c r="B2">
        <f>RCT!D2</f>
        <v>34.022128213472172</v>
      </c>
      <c r="C2">
        <f>CT!D2</f>
        <v>18.33824975417896</v>
      </c>
      <c r="D2">
        <f>META!D2</f>
        <v>14.018691588785046</v>
      </c>
      <c r="E2">
        <f>REVIEW!D2</f>
        <v>0.74556164270708902</v>
      </c>
      <c r="F2">
        <f>CCJ!D2</f>
        <v>17.081861856129301</v>
      </c>
      <c r="G2">
        <f>ALL!D2</f>
        <v>7.4922142969904844</v>
      </c>
      <c r="H2" t="e">
        <f>OBS!D2</f>
        <v>#DIV/0!</v>
      </c>
      <c r="I2">
        <f>SYSREV!D2</f>
        <v>0</v>
      </c>
      <c r="K2" t="str">
        <v>Randomized controlled trial</v>
      </c>
      <c r="L2">
        <v>34.022128213472172</v>
      </c>
      <c r="M2">
        <v>37.302423603793464</v>
      </c>
      <c r="N2">
        <v>38.157341186369379</v>
      </c>
      <c r="O2">
        <v>39.421711630308508</v>
      </c>
      <c r="P2">
        <v>40.414333706606939</v>
      </c>
      <c r="Q2">
        <v>41.617195496417601</v>
      </c>
      <c r="R2">
        <v>43.335761107064826</v>
      </c>
      <c r="S2">
        <v>45.245835026412031</v>
      </c>
      <c r="T2">
        <v>46.355998436889415</v>
      </c>
      <c r="U2">
        <v>47.740524781341108</v>
      </c>
      <c r="V2">
        <v>47.753650318232872</v>
      </c>
      <c r="W2">
        <v>48.385146804835919</v>
      </c>
      <c r="X2">
        <v>50.354186225142946</v>
      </c>
      <c r="Y2">
        <v>51.886066204772909</v>
      </c>
      <c r="Z2">
        <v>51.003853173798419</v>
      </c>
      <c r="AA2">
        <v>53.009390559021874</v>
      </c>
      <c r="AB2">
        <v>52.73166136818557</v>
      </c>
      <c r="AC2">
        <v>52.505889912186767</v>
      </c>
      <c r="AD2">
        <v>53.065154038301422</v>
      </c>
      <c r="AE2">
        <v>53.786312161496795</v>
      </c>
      <c r="AF2">
        <v>52.828064487075565</v>
      </c>
      <c r="AG2">
        <v>51.620129610368828</v>
      </c>
      <c r="AH2">
        <v>52.36165352590082</v>
      </c>
      <c r="AI2">
        <v>51.193958772705628</v>
      </c>
      <c r="AJ2">
        <v>52.048931724742197</v>
      </c>
      <c r="AK2">
        <v>52.62459601973125</v>
      </c>
      <c r="AL2">
        <v>52.930772223990942</v>
      </c>
      <c r="AM2">
        <v>53.457598178713717</v>
      </c>
      <c r="AN2">
        <v>55.143724468762876</v>
      </c>
      <c r="AO2">
        <v>55.267429132223612</v>
      </c>
      <c r="AP2">
        <v>56.058056373580143</v>
      </c>
      <c r="AQ2">
        <v>55.933579086205143</v>
      </c>
      <c r="AR2">
        <v>55.555944178237901</v>
      </c>
      <c r="AS2">
        <v>55.500315656565661</v>
      </c>
      <c r="AT2">
        <v>57.778185824458319</v>
      </c>
      <c r="AU2">
        <v>58.286713286713287</v>
      </c>
    </row>
    <row r="3" spans="1:47" x14ac:dyDescent="0.3">
      <c r="A3">
        <v>1991</v>
      </c>
      <c r="B3">
        <f>RCT!D3</f>
        <v>37.302423603793464</v>
      </c>
      <c r="C3">
        <f>CT!D3</f>
        <v>20.600961538461537</v>
      </c>
      <c r="D3">
        <f>META!D3</f>
        <v>13.059701492537313</v>
      </c>
      <c r="E3">
        <f>REVIEW!D3</f>
        <v>0.74762808349146104</v>
      </c>
      <c r="F3">
        <f>CCJ!D3</f>
        <v>18.481627695110841</v>
      </c>
      <c r="G3">
        <f>ALL!D3</f>
        <v>8.0870050195203582</v>
      </c>
      <c r="H3" t="e">
        <f>OBS!D3</f>
        <v>#DIV/0!</v>
      </c>
      <c r="I3">
        <f>SYSREV!D3</f>
        <v>0</v>
      </c>
      <c r="K3" t="str">
        <v>Clinical trial</v>
      </c>
      <c r="L3">
        <v>18.33824975417896</v>
      </c>
      <c r="M3">
        <v>20.600961538461537</v>
      </c>
      <c r="N3">
        <v>20.714285714285715</v>
      </c>
      <c r="O3">
        <v>23.345041880572818</v>
      </c>
      <c r="P3">
        <v>25.196757899682837</v>
      </c>
      <c r="Q3">
        <v>24.576089289547113</v>
      </c>
      <c r="R3">
        <v>25.424688561721403</v>
      </c>
      <c r="S3">
        <v>25.036375982151522</v>
      </c>
      <c r="T3">
        <v>25.852574630470489</v>
      </c>
      <c r="U3">
        <v>27.126008690254501</v>
      </c>
      <c r="V3">
        <v>29.246428237930711</v>
      </c>
      <c r="W3">
        <v>29.368904831296938</v>
      </c>
      <c r="X3">
        <v>30.400172117039588</v>
      </c>
      <c r="Y3">
        <v>31.843674886495148</v>
      </c>
      <c r="Z3">
        <v>31.128940756949508</v>
      </c>
      <c r="AA3">
        <v>31.231057872708906</v>
      </c>
      <c r="AB3">
        <v>33.220202020202024</v>
      </c>
      <c r="AC3">
        <v>34.986389928547126</v>
      </c>
      <c r="AD3">
        <v>35.697137580794092</v>
      </c>
      <c r="AE3">
        <v>35.2018149163437</v>
      </c>
      <c r="AF3">
        <v>36.416131135326438</v>
      </c>
      <c r="AG3">
        <v>37.063453025086076</v>
      </c>
      <c r="AH3">
        <v>37.143069049914708</v>
      </c>
      <c r="AI3">
        <v>38.472540045766593</v>
      </c>
      <c r="AJ3">
        <v>38.624584203604854</v>
      </c>
      <c r="AK3">
        <v>39.906103286384976</v>
      </c>
      <c r="AL3">
        <v>40.04805766920304</v>
      </c>
      <c r="AM3">
        <v>39.516979540181396</v>
      </c>
      <c r="AN3">
        <v>38.798786229988494</v>
      </c>
      <c r="AO3">
        <v>37.728069271209151</v>
      </c>
      <c r="AP3">
        <v>35.514367458639136</v>
      </c>
      <c r="AQ3">
        <v>34.7206015817451</v>
      </c>
      <c r="AR3">
        <v>35.374627127566235</v>
      </c>
      <c r="AS3">
        <v>34.96056277979109</v>
      </c>
      <c r="AT3">
        <v>31.050333256722588</v>
      </c>
      <c r="AU3">
        <v>30.512640449438202</v>
      </c>
    </row>
    <row r="4" spans="1:47" x14ac:dyDescent="0.3">
      <c r="A4">
        <f>A2+2</f>
        <v>1992</v>
      </c>
      <c r="B4">
        <f>RCT!D4</f>
        <v>38.157341186369379</v>
      </c>
      <c r="C4">
        <f>CT!D4</f>
        <v>20.714285714285715</v>
      </c>
      <c r="D4">
        <f>META!D4</f>
        <v>13.486842105263158</v>
      </c>
      <c r="E4">
        <f>REVIEW!D4</f>
        <v>0.79196515353324448</v>
      </c>
      <c r="F4">
        <f>CCJ!D4</f>
        <v>19.917976368016518</v>
      </c>
      <c r="G4">
        <f>ALL!D4</f>
        <v>8.7406741760882749</v>
      </c>
      <c r="H4" t="e">
        <f>OBS!D4</f>
        <v>#DIV/0!</v>
      </c>
      <c r="I4">
        <f>SYSREV!D4</f>
        <v>0</v>
      </c>
      <c r="K4" t="str">
        <v>Meta-analysis</v>
      </c>
      <c r="L4">
        <v>14.018691588785046</v>
      </c>
      <c r="M4">
        <v>13.059701492537313</v>
      </c>
      <c r="N4">
        <v>13.486842105263158</v>
      </c>
      <c r="O4">
        <v>21.532846715328464</v>
      </c>
      <c r="P4">
        <v>17.816091954022991</v>
      </c>
      <c r="Q4">
        <v>22.025316455696203</v>
      </c>
      <c r="R4">
        <v>20.898876404494381</v>
      </c>
      <c r="S4">
        <v>21.167883211678831</v>
      </c>
      <c r="T4">
        <v>18.367346938775512</v>
      </c>
      <c r="U4">
        <v>18.208516886930983</v>
      </c>
      <c r="V4">
        <v>21.815889029003781</v>
      </c>
      <c r="W4">
        <v>18.931475029036005</v>
      </c>
      <c r="X4">
        <v>20.672601384767557</v>
      </c>
      <c r="Y4">
        <v>25.121555915721235</v>
      </c>
      <c r="Z4">
        <v>22.17873450750163</v>
      </c>
      <c r="AA4">
        <v>23.762861342479177</v>
      </c>
      <c r="AB4">
        <v>23.560855263157894</v>
      </c>
      <c r="AC4">
        <v>26.841721371261851</v>
      </c>
      <c r="AD4">
        <v>27.968596663395484</v>
      </c>
      <c r="AE4">
        <v>29.906798245614034</v>
      </c>
      <c r="AF4">
        <v>31.707317073170731</v>
      </c>
      <c r="AG4">
        <v>32.793103448275865</v>
      </c>
      <c r="AH4">
        <v>34.001811359813686</v>
      </c>
      <c r="AI4">
        <v>36.025560444165095</v>
      </c>
      <c r="AJ4">
        <v>37.02838663312972</v>
      </c>
      <c r="AK4">
        <v>38.040229420793281</v>
      </c>
      <c r="AL4">
        <v>37.190336974919219</v>
      </c>
      <c r="AM4">
        <v>37.814574367204031</v>
      </c>
      <c r="AN4">
        <v>38.211437998350291</v>
      </c>
      <c r="AO4">
        <v>38.101087023275809</v>
      </c>
      <c r="AP4">
        <v>38.234994913530009</v>
      </c>
      <c r="AQ4">
        <v>38.177177309334155</v>
      </c>
      <c r="AR4">
        <v>38.665236051502141</v>
      </c>
      <c r="AS4">
        <v>38.860472356891876</v>
      </c>
      <c r="AT4">
        <v>40.001698946653072</v>
      </c>
      <c r="AU4">
        <v>41.018046562887449</v>
      </c>
    </row>
    <row r="5" spans="1:47" x14ac:dyDescent="0.3">
      <c r="A5">
        <f t="shared" ref="A5:A36" si="0">A3+2</f>
        <v>1993</v>
      </c>
      <c r="B5">
        <f>RCT!D5</f>
        <v>39.421711630308508</v>
      </c>
      <c r="C5">
        <f>CT!D5</f>
        <v>23.345041880572818</v>
      </c>
      <c r="D5">
        <f>META!D5</f>
        <v>21.532846715328464</v>
      </c>
      <c r="E5">
        <f>REVIEW!D5</f>
        <v>0.71374387973243225</v>
      </c>
      <c r="F5">
        <f>CCJ!D5</f>
        <v>20.397014279532669</v>
      </c>
      <c r="G5">
        <f>ALL!D5</f>
        <v>9.3137690724187685</v>
      </c>
      <c r="H5" t="e">
        <f>OBS!D5</f>
        <v>#DIV/0!</v>
      </c>
      <c r="I5">
        <f>SYSREV!D5</f>
        <v>0</v>
      </c>
      <c r="K5" t="str">
        <v>Review</v>
      </c>
      <c r="L5">
        <v>0.74556164270708902</v>
      </c>
      <c r="M5">
        <v>0.74762808349146104</v>
      </c>
      <c r="N5">
        <v>0.79196515353324448</v>
      </c>
      <c r="O5">
        <v>0.71374387973243225</v>
      </c>
      <c r="P5">
        <v>0.67620286085825743</v>
      </c>
      <c r="Q5">
        <v>0.77999818605073012</v>
      </c>
      <c r="R5">
        <v>0.8684166151424878</v>
      </c>
      <c r="S5">
        <v>0.80828358603201433</v>
      </c>
      <c r="T5">
        <v>0.72692793931731992</v>
      </c>
      <c r="U5">
        <v>0.57890525721278296</v>
      </c>
      <c r="V5">
        <v>0.58907128586434876</v>
      </c>
      <c r="W5">
        <v>0.61254831995242343</v>
      </c>
      <c r="X5">
        <v>0.60838297254104312</v>
      </c>
      <c r="Y5">
        <v>0.82874315659060094</v>
      </c>
      <c r="Z5">
        <v>0.85103108648815018</v>
      </c>
      <c r="AA5">
        <v>0.66062308106456347</v>
      </c>
      <c r="AB5">
        <v>0.5767059751635587</v>
      </c>
      <c r="AC5">
        <v>0.6334629742842649</v>
      </c>
      <c r="AD5">
        <v>0.60370408267676257</v>
      </c>
      <c r="AE5">
        <v>0.66180341430397838</v>
      </c>
      <c r="AF5">
        <v>0.73191307344082313</v>
      </c>
      <c r="AG5">
        <v>0.7814161768821718</v>
      </c>
      <c r="AH5">
        <v>0.85359162657212795</v>
      </c>
      <c r="AI5">
        <v>0.94824539257763185</v>
      </c>
      <c r="AJ5">
        <v>0.96976390463180939</v>
      </c>
      <c r="AK5">
        <v>1.0365251727541955</v>
      </c>
      <c r="AL5">
        <v>1.1055230009689476</v>
      </c>
      <c r="AM5">
        <v>1.0958704615580657</v>
      </c>
      <c r="AN5">
        <v>1.0833713228392909</v>
      </c>
      <c r="AO5">
        <v>1.1087149341727682</v>
      </c>
      <c r="AP5">
        <v>1.1758733814693871</v>
      </c>
      <c r="AQ5">
        <v>1.3836239575435938</v>
      </c>
      <c r="AR5">
        <v>1.8311187813992262</v>
      </c>
      <c r="AS5">
        <v>1.8749804852155993</v>
      </c>
      <c r="AT5">
        <v>1.2476601819413389</v>
      </c>
      <c r="AU5">
        <v>0.98786172302013586</v>
      </c>
    </row>
    <row r="6" spans="1:47" x14ac:dyDescent="0.3">
      <c r="A6">
        <f t="shared" si="0"/>
        <v>1994</v>
      </c>
      <c r="B6">
        <f>RCT!D6</f>
        <v>40.414333706606939</v>
      </c>
      <c r="C6">
        <f>CT!D6</f>
        <v>25.196757899682837</v>
      </c>
      <c r="D6">
        <f>META!D6</f>
        <v>17.816091954022991</v>
      </c>
      <c r="E6">
        <f>REVIEW!D6</f>
        <v>0.67620286085825743</v>
      </c>
      <c r="F6">
        <f>CCJ!D6</f>
        <v>22.02908283183098</v>
      </c>
      <c r="G6">
        <f>ALL!D6</f>
        <v>9.8484268417320546</v>
      </c>
      <c r="H6" t="e">
        <f>OBS!D6</f>
        <v>#DIV/0!</v>
      </c>
      <c r="I6">
        <f>SYSREV!D6</f>
        <v>0</v>
      </c>
      <c r="K6" t="str">
        <v>Clinically Useful Journals</v>
      </c>
      <c r="L6">
        <v>17.081861856129301</v>
      </c>
      <c r="M6">
        <v>18.481627695110841</v>
      </c>
      <c r="N6">
        <v>19.917976368016518</v>
      </c>
      <c r="O6">
        <v>20.397014279532669</v>
      </c>
      <c r="P6">
        <v>22.02908283183098</v>
      </c>
      <c r="Q6">
        <v>22.788981800295129</v>
      </c>
      <c r="R6">
        <v>23.489670983634543</v>
      </c>
      <c r="S6">
        <v>24.347396641738396</v>
      </c>
      <c r="T6">
        <v>24.75206800420456</v>
      </c>
      <c r="U6">
        <v>25.12456293706294</v>
      </c>
      <c r="V6">
        <v>24.647010405014669</v>
      </c>
      <c r="W6">
        <v>26.35683290359097</v>
      </c>
      <c r="X6">
        <v>26.425378161553066</v>
      </c>
      <c r="Y6">
        <v>26.72712723392905</v>
      </c>
      <c r="Z6">
        <v>27.541566416490106</v>
      </c>
      <c r="AA6">
        <v>28.061489513667944</v>
      </c>
      <c r="AB6">
        <v>27.702219040801719</v>
      </c>
      <c r="AC6">
        <v>28.003961762984531</v>
      </c>
      <c r="AD6">
        <v>28.368213083565053</v>
      </c>
      <c r="AE6">
        <v>29.250547845142439</v>
      </c>
      <c r="AF6">
        <v>29.870477640127973</v>
      </c>
      <c r="AG6">
        <v>30.849690777090615</v>
      </c>
      <c r="AH6">
        <v>31.297126143773312</v>
      </c>
      <c r="AI6">
        <v>32.296949260547485</v>
      </c>
      <c r="AJ6">
        <v>32.438746203844936</v>
      </c>
      <c r="AK6">
        <v>33.117611646234671</v>
      </c>
      <c r="AL6">
        <v>33.476342572542229</v>
      </c>
      <c r="AM6">
        <v>32.484309552534199</v>
      </c>
      <c r="AN6">
        <v>32.404129793510322</v>
      </c>
      <c r="AO6">
        <v>32.320939857152389</v>
      </c>
      <c r="AP6">
        <v>31.814090400428164</v>
      </c>
      <c r="AQ6">
        <v>31.787556904400603</v>
      </c>
      <c r="AR6">
        <v>31.794229737352612</v>
      </c>
      <c r="AS6">
        <v>31.298849046289316</v>
      </c>
      <c r="AT6">
        <v>31.131419633287955</v>
      </c>
      <c r="AU6">
        <v>31.699519286059296</v>
      </c>
    </row>
    <row r="7" spans="1:47" x14ac:dyDescent="0.3">
      <c r="A7">
        <f t="shared" si="0"/>
        <v>1995</v>
      </c>
      <c r="B7">
        <f>RCT!D7</f>
        <v>41.617195496417601</v>
      </c>
      <c r="C7">
        <f>CT!D7</f>
        <v>24.576089289547113</v>
      </c>
      <c r="D7">
        <f>META!D7</f>
        <v>22.025316455696203</v>
      </c>
      <c r="E7">
        <f>REVIEW!D7</f>
        <v>0.77999818605073012</v>
      </c>
      <c r="F7">
        <f>CCJ!D7</f>
        <v>22.788981800295129</v>
      </c>
      <c r="G7">
        <f>ALL!D7</f>
        <v>10.328659721908281</v>
      </c>
      <c r="H7" t="e">
        <f>OBS!D7</f>
        <v>#DIV/0!</v>
      </c>
      <c r="I7">
        <f>SYSREV!D7</f>
        <v>8.3333333333333321</v>
      </c>
      <c r="K7" t="str">
        <v>All MEDLINE</v>
      </c>
      <c r="L7">
        <v>7.4922142969904844</v>
      </c>
      <c r="M7">
        <v>8.0870050195203582</v>
      </c>
      <c r="N7">
        <v>8.7406741760882749</v>
      </c>
      <c r="O7">
        <v>9.3137690724187685</v>
      </c>
      <c r="P7">
        <v>9.8484268417320546</v>
      </c>
      <c r="Q7">
        <v>10.328659721908281</v>
      </c>
      <c r="R7">
        <v>10.885077675899092</v>
      </c>
      <c r="S7">
        <v>11.278772142190517</v>
      </c>
      <c r="T7">
        <v>11.337926491820825</v>
      </c>
      <c r="U7">
        <v>11.72828551146122</v>
      </c>
      <c r="V7">
        <v>11.322342125238199</v>
      </c>
      <c r="W7">
        <v>11.594853456667458</v>
      </c>
      <c r="X7">
        <v>11.862182353110848</v>
      </c>
      <c r="Y7">
        <v>12.377194341007494</v>
      </c>
      <c r="Z7">
        <v>12.676840607112061</v>
      </c>
      <c r="AA7">
        <v>13.102711092290559</v>
      </c>
      <c r="AB7">
        <v>13.125184327942478</v>
      </c>
      <c r="AC7">
        <v>13.536554113452862</v>
      </c>
      <c r="AD7">
        <v>13.979206194949636</v>
      </c>
      <c r="AE7">
        <v>14.32795047215833</v>
      </c>
      <c r="AF7">
        <v>14.645641271785365</v>
      </c>
      <c r="AG7">
        <v>15.203296222069953</v>
      </c>
      <c r="AH7">
        <v>15.665689399803734</v>
      </c>
      <c r="AI7">
        <v>16.239176395104092</v>
      </c>
      <c r="AJ7">
        <v>16.711395693923428</v>
      </c>
      <c r="AK7">
        <v>17.318446487825607</v>
      </c>
      <c r="AL7">
        <v>17.598548329989377</v>
      </c>
      <c r="AM7">
        <v>17.845313571181705</v>
      </c>
      <c r="AN7">
        <v>18.038837711311086</v>
      </c>
      <c r="AO7">
        <v>18.037654943366718</v>
      </c>
      <c r="AP7">
        <v>18.397820926048926</v>
      </c>
      <c r="AQ7">
        <v>18.5436095484154</v>
      </c>
      <c r="AR7">
        <v>18.031976808029341</v>
      </c>
      <c r="AS7">
        <v>18.226438453555172</v>
      </c>
      <c r="AT7">
        <v>18.085418722597812</v>
      </c>
      <c r="AU7">
        <v>18.338838624583488</v>
      </c>
    </row>
    <row r="8" spans="1:47" x14ac:dyDescent="0.3">
      <c r="A8">
        <f t="shared" si="0"/>
        <v>1996</v>
      </c>
      <c r="B8">
        <f>RCT!D8</f>
        <v>43.335761107064826</v>
      </c>
      <c r="C8">
        <f>CT!D8</f>
        <v>25.424688561721403</v>
      </c>
      <c r="D8">
        <f>META!D8</f>
        <v>20.898876404494381</v>
      </c>
      <c r="E8">
        <f>REVIEW!D8</f>
        <v>0.8684166151424878</v>
      </c>
      <c r="F8">
        <f>CCJ!D8</f>
        <v>23.489670983634543</v>
      </c>
      <c r="G8">
        <f>ALL!D8</f>
        <v>10.885077675899092</v>
      </c>
      <c r="H8" t="e">
        <f>OBS!D8</f>
        <v>#DIV/0!</v>
      </c>
      <c r="I8">
        <f>SYSREV!D8</f>
        <v>5.7971014492753623</v>
      </c>
      <c r="K8" t="str">
        <v>Observational study</v>
      </c>
      <c r="L8" t="e">
        <v>#DIV/0!</v>
      </c>
      <c r="M8" t="e">
        <v>#DIV/0!</v>
      </c>
      <c r="N8" t="e">
        <v>#DIV/0!</v>
      </c>
      <c r="O8" t="e">
        <v>#DIV/0!</v>
      </c>
      <c r="P8" t="e">
        <v>#DIV/0!</v>
      </c>
      <c r="Q8" t="e">
        <v>#DIV/0!</v>
      </c>
      <c r="R8" t="e">
        <v>#DIV/0!</v>
      </c>
      <c r="S8" t="e">
        <v>#DIV/0!</v>
      </c>
      <c r="T8" t="e">
        <v>#DIV/0!</v>
      </c>
      <c r="U8" t="e">
        <v>#DIV/0!</v>
      </c>
      <c r="V8" t="e">
        <v>#DIV/0!</v>
      </c>
      <c r="W8" t="e">
        <v>#DIV/0!</v>
      </c>
      <c r="X8">
        <v>100</v>
      </c>
      <c r="Y8" t="e">
        <v>#DIV/0!</v>
      </c>
      <c r="Z8" t="e">
        <v>#DIV/0!</v>
      </c>
      <c r="AA8">
        <v>0</v>
      </c>
      <c r="AB8">
        <v>0</v>
      </c>
      <c r="AC8">
        <v>0</v>
      </c>
      <c r="AD8">
        <v>0</v>
      </c>
      <c r="AE8">
        <v>33.333333333333329</v>
      </c>
      <c r="AF8">
        <v>57.575757575757578</v>
      </c>
      <c r="AG8">
        <v>60.869565217391312</v>
      </c>
      <c r="AH8">
        <v>46.478873239436616</v>
      </c>
      <c r="AI8">
        <v>50.091041514930815</v>
      </c>
      <c r="AJ8">
        <v>49.898562229866805</v>
      </c>
      <c r="AK8">
        <v>50.437613019891501</v>
      </c>
      <c r="AL8">
        <v>51.0977522216414</v>
      </c>
      <c r="AM8">
        <v>51.36562818896693</v>
      </c>
      <c r="AN8">
        <v>50.733009973295552</v>
      </c>
      <c r="AO8">
        <v>50.323898744269478</v>
      </c>
      <c r="AP8">
        <v>49.735449735449734</v>
      </c>
      <c r="AQ8">
        <v>48.010473451517363</v>
      </c>
      <c r="AR8">
        <v>48.154445236658802</v>
      </c>
      <c r="AS8">
        <v>48.499510044096034</v>
      </c>
      <c r="AT8">
        <v>48.480402431356111</v>
      </c>
      <c r="AU8">
        <v>50.198222829801779</v>
      </c>
    </row>
    <row r="9" spans="1:47" x14ac:dyDescent="0.3">
      <c r="A9">
        <f t="shared" si="0"/>
        <v>1997</v>
      </c>
      <c r="B9">
        <f>RCT!D9</f>
        <v>45.245835026412031</v>
      </c>
      <c r="C9">
        <f>CT!D9</f>
        <v>25.036375982151522</v>
      </c>
      <c r="D9">
        <f>META!D9</f>
        <v>21.167883211678831</v>
      </c>
      <c r="E9">
        <f>REVIEW!D9</f>
        <v>0.80828358603201433</v>
      </c>
      <c r="F9">
        <f>CCJ!D9</f>
        <v>24.347396641738396</v>
      </c>
      <c r="G9">
        <f>ALL!D9</f>
        <v>11.278772142190517</v>
      </c>
      <c r="H9" t="e">
        <f>OBS!D9</f>
        <v>#DIV/0!</v>
      </c>
      <c r="I9">
        <f>SYSREV!D9</f>
        <v>7.0866141732283463</v>
      </c>
      <c r="K9" t="str">
        <v>Systematic review</v>
      </c>
      <c r="L9">
        <v>0</v>
      </c>
      <c r="M9">
        <v>0</v>
      </c>
      <c r="N9">
        <v>0</v>
      </c>
      <c r="O9">
        <v>0</v>
      </c>
      <c r="P9">
        <v>0</v>
      </c>
      <c r="Q9">
        <v>8.3333333333333321</v>
      </c>
      <c r="R9">
        <v>5.7971014492753623</v>
      </c>
      <c r="S9">
        <v>7.0866141732283463</v>
      </c>
      <c r="T9">
        <v>3.9024390243902438</v>
      </c>
      <c r="U9">
        <v>6.1594202898550732</v>
      </c>
      <c r="V9">
        <v>5.3352559480894008</v>
      </c>
      <c r="W9">
        <v>6.7698259187620886</v>
      </c>
      <c r="X9">
        <v>7.9242032730404821</v>
      </c>
      <c r="Y9">
        <v>9.9342585829072316</v>
      </c>
      <c r="Z9">
        <v>10.035419126328216</v>
      </c>
      <c r="AA9">
        <v>10.637230306071249</v>
      </c>
      <c r="AB9">
        <v>10.851149657119805</v>
      </c>
      <c r="AC9">
        <v>11.546578233343382</v>
      </c>
      <c r="AD9">
        <v>12.368566685113448</v>
      </c>
      <c r="AE9">
        <v>12.914961346066395</v>
      </c>
      <c r="AF9">
        <v>13.678795961135453</v>
      </c>
      <c r="AG9">
        <v>13.723076923076924</v>
      </c>
      <c r="AH9">
        <v>15.630679752817159</v>
      </c>
      <c r="AI9">
        <v>16.999012833168806</v>
      </c>
      <c r="AJ9">
        <v>17.726929846618052</v>
      </c>
      <c r="AK9">
        <v>19.481654047757718</v>
      </c>
      <c r="AL9">
        <v>19.634464751958227</v>
      </c>
      <c r="AM9">
        <v>20.243930240510657</v>
      </c>
      <c r="AN9">
        <v>20.988829334268395</v>
      </c>
      <c r="AO9">
        <v>21.942765354863251</v>
      </c>
      <c r="AP9">
        <v>22.2074700394815</v>
      </c>
      <c r="AQ9">
        <v>22.582573606336869</v>
      </c>
      <c r="AR9">
        <v>22.77823675203588</v>
      </c>
      <c r="AS9">
        <v>23.555264634374414</v>
      </c>
      <c r="AT9">
        <v>24.451741861793259</v>
      </c>
      <c r="AU9">
        <v>25.52181781620752</v>
      </c>
    </row>
    <row r="10" spans="1:47" x14ac:dyDescent="0.3">
      <c r="A10">
        <f t="shared" si="0"/>
        <v>1998</v>
      </c>
      <c r="B10">
        <f>RCT!D10</f>
        <v>46.355998436889415</v>
      </c>
      <c r="C10">
        <f>CT!D10</f>
        <v>25.852574630470489</v>
      </c>
      <c r="D10">
        <f>META!D10</f>
        <v>18.367346938775512</v>
      </c>
      <c r="E10">
        <f>REVIEW!D10</f>
        <v>0.72692793931731992</v>
      </c>
      <c r="F10">
        <f>CCJ!D10</f>
        <v>24.75206800420456</v>
      </c>
      <c r="G10">
        <f>ALL!D10</f>
        <v>11.337926491820825</v>
      </c>
      <c r="H10" t="e">
        <f>OBS!D10</f>
        <v>#DIV/0!</v>
      </c>
      <c r="I10">
        <f>SYSREV!D10</f>
        <v>3.9024390243902438</v>
      </c>
    </row>
    <row r="11" spans="1:47" x14ac:dyDescent="0.3">
      <c r="A11">
        <f t="shared" si="0"/>
        <v>1999</v>
      </c>
      <c r="B11">
        <f>RCT!D11</f>
        <v>47.740524781341108</v>
      </c>
      <c r="C11">
        <f>CT!D11</f>
        <v>27.126008690254501</v>
      </c>
      <c r="D11">
        <f>META!D11</f>
        <v>18.208516886930983</v>
      </c>
      <c r="E11">
        <f>REVIEW!D11</f>
        <v>0.57890525721278296</v>
      </c>
      <c r="F11">
        <f>CCJ!D11</f>
        <v>25.12456293706294</v>
      </c>
      <c r="G11">
        <f>ALL!D11</f>
        <v>11.72828551146122</v>
      </c>
      <c r="H11" t="e">
        <f>OBS!D11</f>
        <v>#DIV/0!</v>
      </c>
      <c r="I11">
        <f>SYSREV!D11</f>
        <v>6.1594202898550732</v>
      </c>
    </row>
    <row r="12" spans="1:47" x14ac:dyDescent="0.3">
      <c r="A12">
        <f t="shared" si="0"/>
        <v>2000</v>
      </c>
      <c r="B12">
        <f>RCT!D12</f>
        <v>47.753650318232872</v>
      </c>
      <c r="C12">
        <f>CT!D12</f>
        <v>29.246428237930711</v>
      </c>
      <c r="D12">
        <f>META!D12</f>
        <v>21.815889029003781</v>
      </c>
      <c r="E12">
        <f>REVIEW!D12</f>
        <v>0.58907128586434876</v>
      </c>
      <c r="F12">
        <f>CCJ!D12</f>
        <v>24.647010405014669</v>
      </c>
      <c r="G12">
        <f>ALL!D12</f>
        <v>11.322342125238199</v>
      </c>
      <c r="H12" t="e">
        <f>OBS!D12</f>
        <v>#DIV/0!</v>
      </c>
      <c r="I12">
        <f>SYSREV!D12</f>
        <v>5.3352559480894008</v>
      </c>
    </row>
    <row r="13" spans="1:47" x14ac:dyDescent="0.3">
      <c r="A13">
        <f t="shared" si="0"/>
        <v>2001</v>
      </c>
      <c r="B13">
        <f>RCT!D13</f>
        <v>48.385146804835919</v>
      </c>
      <c r="C13">
        <f>CT!D13</f>
        <v>29.368904831296938</v>
      </c>
      <c r="D13">
        <f>META!D13</f>
        <v>18.931475029036005</v>
      </c>
      <c r="E13">
        <f>REVIEW!D13</f>
        <v>0.61254831995242343</v>
      </c>
      <c r="F13">
        <f>CCJ!D13</f>
        <v>26.35683290359097</v>
      </c>
      <c r="G13">
        <f>ALL!D13</f>
        <v>11.594853456667458</v>
      </c>
      <c r="H13" t="e">
        <f>OBS!D13</f>
        <v>#DIV/0!</v>
      </c>
      <c r="I13">
        <f>SYSREV!D13</f>
        <v>6.7698259187620886</v>
      </c>
    </row>
    <row r="14" spans="1:47" x14ac:dyDescent="0.3">
      <c r="A14">
        <f t="shared" si="0"/>
        <v>2002</v>
      </c>
      <c r="B14">
        <f>RCT!D14</f>
        <v>50.354186225142946</v>
      </c>
      <c r="C14">
        <f>CT!D14</f>
        <v>30.400172117039588</v>
      </c>
      <c r="D14">
        <f>META!D14</f>
        <v>20.672601384767557</v>
      </c>
      <c r="E14">
        <f>REVIEW!D14</f>
        <v>0.60838297254104312</v>
      </c>
      <c r="F14">
        <f>CCJ!D14</f>
        <v>26.425378161553066</v>
      </c>
      <c r="G14">
        <f>ALL!D14</f>
        <v>11.862182353110848</v>
      </c>
      <c r="H14">
        <f>OBS!D14</f>
        <v>100</v>
      </c>
      <c r="I14">
        <f>SYSREV!D14</f>
        <v>7.9242032730404821</v>
      </c>
    </row>
    <row r="15" spans="1:47" x14ac:dyDescent="0.3">
      <c r="A15">
        <f t="shared" si="0"/>
        <v>2003</v>
      </c>
      <c r="B15">
        <f>RCT!D15</f>
        <v>51.886066204772909</v>
      </c>
      <c r="C15">
        <f>CT!D15</f>
        <v>31.843674886495148</v>
      </c>
      <c r="D15">
        <f>META!D15</f>
        <v>25.121555915721235</v>
      </c>
      <c r="E15">
        <f>REVIEW!D15</f>
        <v>0.82874315659060094</v>
      </c>
      <c r="F15">
        <f>CCJ!D15</f>
        <v>26.72712723392905</v>
      </c>
      <c r="G15">
        <f>ALL!D15</f>
        <v>12.377194341007494</v>
      </c>
      <c r="H15" t="e">
        <f>OBS!D15</f>
        <v>#DIV/0!</v>
      </c>
      <c r="I15">
        <f>SYSREV!D15</f>
        <v>9.9342585829072316</v>
      </c>
    </row>
    <row r="16" spans="1:47" x14ac:dyDescent="0.3">
      <c r="A16">
        <f t="shared" si="0"/>
        <v>2004</v>
      </c>
      <c r="B16">
        <f>RCT!D16</f>
        <v>51.003853173798419</v>
      </c>
      <c r="C16">
        <f>CT!D16</f>
        <v>31.128940756949508</v>
      </c>
      <c r="D16">
        <f>META!D16</f>
        <v>22.17873450750163</v>
      </c>
      <c r="E16">
        <f>REVIEW!D16</f>
        <v>0.85103108648815018</v>
      </c>
      <c r="F16">
        <f>CCJ!D16</f>
        <v>27.541566416490106</v>
      </c>
      <c r="G16">
        <f>ALL!D16</f>
        <v>12.676840607112061</v>
      </c>
      <c r="H16" t="e">
        <f>OBS!D16</f>
        <v>#DIV/0!</v>
      </c>
      <c r="I16">
        <f>SYSREV!D16</f>
        <v>10.035419126328216</v>
      </c>
    </row>
    <row r="17" spans="1:9" x14ac:dyDescent="0.3">
      <c r="A17">
        <f t="shared" si="0"/>
        <v>2005</v>
      </c>
      <c r="B17">
        <f>RCT!D17</f>
        <v>53.009390559021874</v>
      </c>
      <c r="C17">
        <f>CT!D17</f>
        <v>31.231057872708906</v>
      </c>
      <c r="D17">
        <f>META!D17</f>
        <v>23.762861342479177</v>
      </c>
      <c r="E17">
        <f>REVIEW!D17</f>
        <v>0.66062308106456347</v>
      </c>
      <c r="F17">
        <f>CCJ!D17</f>
        <v>28.061489513667944</v>
      </c>
      <c r="G17">
        <f>ALL!D17</f>
        <v>13.102711092290559</v>
      </c>
      <c r="H17">
        <f>OBS!D17</f>
        <v>0</v>
      </c>
      <c r="I17">
        <f>SYSREV!D17</f>
        <v>10.637230306071249</v>
      </c>
    </row>
    <row r="18" spans="1:9" x14ac:dyDescent="0.3">
      <c r="A18">
        <f t="shared" si="0"/>
        <v>2006</v>
      </c>
      <c r="B18">
        <f>RCT!D18</f>
        <v>52.73166136818557</v>
      </c>
      <c r="C18">
        <f>CT!D18</f>
        <v>33.220202020202024</v>
      </c>
      <c r="D18">
        <f>META!D18</f>
        <v>23.560855263157894</v>
      </c>
      <c r="E18">
        <f>REVIEW!D18</f>
        <v>0.5767059751635587</v>
      </c>
      <c r="F18">
        <f>CCJ!D18</f>
        <v>27.702219040801719</v>
      </c>
      <c r="G18">
        <f>ALL!D18</f>
        <v>13.125184327942478</v>
      </c>
      <c r="H18">
        <f>OBS!D18</f>
        <v>0</v>
      </c>
      <c r="I18">
        <f>SYSREV!D18</f>
        <v>10.851149657119805</v>
      </c>
    </row>
    <row r="19" spans="1:9" x14ac:dyDescent="0.3">
      <c r="A19">
        <f t="shared" si="0"/>
        <v>2007</v>
      </c>
      <c r="B19">
        <f>RCT!D19</f>
        <v>52.505889912186767</v>
      </c>
      <c r="C19">
        <f>CT!D19</f>
        <v>34.986389928547126</v>
      </c>
      <c r="D19">
        <f>META!D19</f>
        <v>26.841721371261851</v>
      </c>
      <c r="E19">
        <f>REVIEW!D19</f>
        <v>0.6334629742842649</v>
      </c>
      <c r="F19">
        <f>CCJ!D19</f>
        <v>28.003961762984531</v>
      </c>
      <c r="G19">
        <f>ALL!D19</f>
        <v>13.536554113452862</v>
      </c>
      <c r="H19">
        <f>OBS!D19</f>
        <v>0</v>
      </c>
      <c r="I19">
        <f>SYSREV!D19</f>
        <v>11.546578233343382</v>
      </c>
    </row>
    <row r="20" spans="1:9" x14ac:dyDescent="0.3">
      <c r="A20">
        <f t="shared" si="0"/>
        <v>2008</v>
      </c>
      <c r="B20">
        <f>RCT!D20</f>
        <v>53.065154038301422</v>
      </c>
      <c r="C20">
        <f>CT!D20</f>
        <v>35.697137580794092</v>
      </c>
      <c r="D20">
        <f>META!D20</f>
        <v>27.968596663395484</v>
      </c>
      <c r="E20">
        <f>REVIEW!D20</f>
        <v>0.60370408267676257</v>
      </c>
      <c r="F20">
        <f>CCJ!D20</f>
        <v>28.368213083565053</v>
      </c>
      <c r="G20">
        <f>ALL!D20</f>
        <v>13.979206194949636</v>
      </c>
      <c r="H20">
        <f>OBS!D20</f>
        <v>0</v>
      </c>
      <c r="I20">
        <f>SYSREV!D20</f>
        <v>12.368566685113448</v>
      </c>
    </row>
    <row r="21" spans="1:9" x14ac:dyDescent="0.3">
      <c r="A21">
        <f t="shared" si="0"/>
        <v>2009</v>
      </c>
      <c r="B21">
        <f>RCT!D21</f>
        <v>53.786312161496795</v>
      </c>
      <c r="C21">
        <f>CT!D21</f>
        <v>35.2018149163437</v>
      </c>
      <c r="D21">
        <f>META!D21</f>
        <v>29.906798245614034</v>
      </c>
      <c r="E21">
        <f>REVIEW!D21</f>
        <v>0.66180341430397838</v>
      </c>
      <c r="F21">
        <f>CCJ!D21</f>
        <v>29.250547845142439</v>
      </c>
      <c r="G21">
        <f>ALL!D21</f>
        <v>14.32795047215833</v>
      </c>
      <c r="H21">
        <f>OBS!D21</f>
        <v>33.333333333333329</v>
      </c>
      <c r="I21">
        <f>SYSREV!D21</f>
        <v>12.914961346066395</v>
      </c>
    </row>
    <row r="22" spans="1:9" x14ac:dyDescent="0.3">
      <c r="A22">
        <f t="shared" si="0"/>
        <v>2010</v>
      </c>
      <c r="B22">
        <f>RCT!D22</f>
        <v>52.828064487075565</v>
      </c>
      <c r="C22">
        <f>CT!D22</f>
        <v>36.416131135326438</v>
      </c>
      <c r="D22">
        <f>META!D22</f>
        <v>31.707317073170731</v>
      </c>
      <c r="E22">
        <f>REVIEW!D22</f>
        <v>0.73191307344082313</v>
      </c>
      <c r="F22">
        <f>CCJ!D22</f>
        <v>29.870477640127973</v>
      </c>
      <c r="G22">
        <f>ALL!D22</f>
        <v>14.645641271785365</v>
      </c>
      <c r="H22">
        <f>OBS!D22</f>
        <v>57.575757575757578</v>
      </c>
      <c r="I22">
        <f>SYSREV!D22</f>
        <v>13.678795961135453</v>
      </c>
    </row>
    <row r="23" spans="1:9" x14ac:dyDescent="0.3">
      <c r="A23">
        <f t="shared" si="0"/>
        <v>2011</v>
      </c>
      <c r="B23">
        <f>RCT!D23</f>
        <v>51.620129610368828</v>
      </c>
      <c r="C23">
        <f>CT!D23</f>
        <v>37.063453025086076</v>
      </c>
      <c r="D23">
        <f>META!D23</f>
        <v>32.793103448275865</v>
      </c>
      <c r="E23">
        <f>REVIEW!D23</f>
        <v>0.7814161768821718</v>
      </c>
      <c r="F23">
        <f>CCJ!D23</f>
        <v>30.849690777090615</v>
      </c>
      <c r="G23">
        <f>ALL!D23</f>
        <v>15.203296222069953</v>
      </c>
      <c r="H23">
        <f>OBS!D23</f>
        <v>60.869565217391312</v>
      </c>
      <c r="I23">
        <f>SYSREV!D23</f>
        <v>13.723076923076924</v>
      </c>
    </row>
    <row r="24" spans="1:9" x14ac:dyDescent="0.3">
      <c r="A24">
        <f>A22+2</f>
        <v>2012</v>
      </c>
      <c r="B24">
        <f>RCT!D24</f>
        <v>52.36165352590082</v>
      </c>
      <c r="C24">
        <f>CT!D24</f>
        <v>37.143069049914708</v>
      </c>
      <c r="D24">
        <f>META!D24</f>
        <v>34.001811359813686</v>
      </c>
      <c r="E24">
        <f>REVIEW!D24</f>
        <v>0.85359162657212795</v>
      </c>
      <c r="F24">
        <f>CCJ!D24</f>
        <v>31.297126143773312</v>
      </c>
      <c r="G24">
        <f>ALL!D24</f>
        <v>15.665689399803734</v>
      </c>
      <c r="H24">
        <f>OBS!D24</f>
        <v>46.478873239436616</v>
      </c>
      <c r="I24">
        <f>SYSREV!D24</f>
        <v>15.630679752817159</v>
      </c>
    </row>
    <row r="25" spans="1:9" x14ac:dyDescent="0.3">
      <c r="A25">
        <f t="shared" si="0"/>
        <v>2013</v>
      </c>
      <c r="B25">
        <f>RCT!D25</f>
        <v>51.193958772705628</v>
      </c>
      <c r="C25">
        <f>CT!D25</f>
        <v>38.472540045766593</v>
      </c>
      <c r="D25">
        <f>META!D25</f>
        <v>36.025560444165095</v>
      </c>
      <c r="E25">
        <f>REVIEW!D25</f>
        <v>0.94824539257763185</v>
      </c>
      <c r="F25">
        <f>CCJ!D25</f>
        <v>32.296949260547485</v>
      </c>
      <c r="G25">
        <f>ALL!D25</f>
        <v>16.239176395104092</v>
      </c>
      <c r="H25">
        <f>OBS!D25</f>
        <v>50.091041514930815</v>
      </c>
      <c r="I25">
        <f>SYSREV!D25</f>
        <v>16.999012833168806</v>
      </c>
    </row>
    <row r="26" spans="1:9" x14ac:dyDescent="0.3">
      <c r="A26">
        <f t="shared" si="0"/>
        <v>2014</v>
      </c>
      <c r="B26">
        <f>RCT!D26</f>
        <v>52.048931724742197</v>
      </c>
      <c r="C26">
        <f>CT!D26</f>
        <v>38.624584203604854</v>
      </c>
      <c r="D26">
        <f>META!D26</f>
        <v>37.02838663312972</v>
      </c>
      <c r="E26">
        <f>REVIEW!D26</f>
        <v>0.96976390463180939</v>
      </c>
      <c r="F26">
        <f>CCJ!D26</f>
        <v>32.438746203844936</v>
      </c>
      <c r="G26">
        <f>ALL!D26</f>
        <v>16.711395693923428</v>
      </c>
      <c r="H26">
        <f>OBS!D26</f>
        <v>49.898562229866805</v>
      </c>
      <c r="I26">
        <f>SYSREV!D26</f>
        <v>17.726929846618052</v>
      </c>
    </row>
    <row r="27" spans="1:9" x14ac:dyDescent="0.3">
      <c r="A27">
        <f t="shared" si="0"/>
        <v>2015</v>
      </c>
      <c r="B27">
        <f>RCT!D27</f>
        <v>52.62459601973125</v>
      </c>
      <c r="C27">
        <f>CT!D27</f>
        <v>39.906103286384976</v>
      </c>
      <c r="D27">
        <f>META!D27</f>
        <v>38.040229420793281</v>
      </c>
      <c r="E27">
        <f>REVIEW!D27</f>
        <v>1.0365251727541955</v>
      </c>
      <c r="F27">
        <f>CCJ!D27</f>
        <v>33.117611646234671</v>
      </c>
      <c r="G27">
        <f>ALL!D27</f>
        <v>17.318446487825607</v>
      </c>
      <c r="H27">
        <f>OBS!D27</f>
        <v>50.437613019891501</v>
      </c>
      <c r="I27">
        <f>SYSREV!D27</f>
        <v>19.481654047757718</v>
      </c>
    </row>
    <row r="28" spans="1:9" x14ac:dyDescent="0.3">
      <c r="A28">
        <f t="shared" si="0"/>
        <v>2016</v>
      </c>
      <c r="B28">
        <f>RCT!D28</f>
        <v>52.930772223990942</v>
      </c>
      <c r="C28">
        <f>CT!D28</f>
        <v>40.04805766920304</v>
      </c>
      <c r="D28">
        <f>META!D28</f>
        <v>37.190336974919219</v>
      </c>
      <c r="E28">
        <f>REVIEW!D28</f>
        <v>1.1055230009689476</v>
      </c>
      <c r="F28">
        <f>CCJ!D28</f>
        <v>33.476342572542229</v>
      </c>
      <c r="G28">
        <f>ALL!D28</f>
        <v>17.598548329989377</v>
      </c>
      <c r="H28">
        <f>OBS!D28</f>
        <v>51.0977522216414</v>
      </c>
      <c r="I28">
        <f>SYSREV!D28</f>
        <v>19.634464751958227</v>
      </c>
    </row>
    <row r="29" spans="1:9" x14ac:dyDescent="0.3">
      <c r="A29">
        <f t="shared" si="0"/>
        <v>2017</v>
      </c>
      <c r="B29">
        <f>RCT!D29</f>
        <v>53.457598178713717</v>
      </c>
      <c r="C29">
        <f>CT!D29</f>
        <v>39.516979540181396</v>
      </c>
      <c r="D29">
        <f>META!D29</f>
        <v>37.814574367204031</v>
      </c>
      <c r="E29">
        <f>REVIEW!D29</f>
        <v>1.0958704615580657</v>
      </c>
      <c r="F29">
        <f>CCJ!D29</f>
        <v>32.484309552534199</v>
      </c>
      <c r="G29">
        <f>ALL!D29</f>
        <v>17.845313571181705</v>
      </c>
      <c r="H29">
        <f>OBS!D29</f>
        <v>51.36562818896693</v>
      </c>
      <c r="I29">
        <f>SYSREV!D29</f>
        <v>20.243930240510657</v>
      </c>
    </row>
    <row r="30" spans="1:9" x14ac:dyDescent="0.3">
      <c r="A30">
        <f t="shared" si="0"/>
        <v>2018</v>
      </c>
      <c r="B30">
        <f>RCT!D30</f>
        <v>55.143724468762876</v>
      </c>
      <c r="C30">
        <f>CT!D30</f>
        <v>38.798786229988494</v>
      </c>
      <c r="D30">
        <f>META!D30</f>
        <v>38.211437998350291</v>
      </c>
      <c r="E30">
        <f>REVIEW!D30</f>
        <v>1.0833713228392909</v>
      </c>
      <c r="F30">
        <f>CCJ!D30</f>
        <v>32.404129793510322</v>
      </c>
      <c r="G30">
        <f>ALL!D30</f>
        <v>18.038837711311086</v>
      </c>
      <c r="H30">
        <f>OBS!D30</f>
        <v>50.733009973295552</v>
      </c>
      <c r="I30">
        <f>SYSREV!D30</f>
        <v>20.988829334268395</v>
      </c>
    </row>
    <row r="31" spans="1:9" x14ac:dyDescent="0.3">
      <c r="A31">
        <f t="shared" si="0"/>
        <v>2019</v>
      </c>
      <c r="B31">
        <f>RCT!D31</f>
        <v>55.267429132223612</v>
      </c>
      <c r="C31">
        <f>CT!D31</f>
        <v>37.728069271209151</v>
      </c>
      <c r="D31">
        <f>META!D31</f>
        <v>38.101087023275809</v>
      </c>
      <c r="E31">
        <f>REVIEW!D31</f>
        <v>1.1087149341727682</v>
      </c>
      <c r="F31">
        <f>CCJ!D31</f>
        <v>32.320939857152389</v>
      </c>
      <c r="G31">
        <f>ALL!D31</f>
        <v>18.037654943366718</v>
      </c>
      <c r="H31">
        <f>OBS!D31</f>
        <v>50.323898744269478</v>
      </c>
      <c r="I31">
        <f>SYSREV!D31</f>
        <v>21.942765354863251</v>
      </c>
    </row>
    <row r="32" spans="1:9" x14ac:dyDescent="0.3">
      <c r="A32">
        <f t="shared" si="0"/>
        <v>2020</v>
      </c>
      <c r="B32">
        <f>RCT!D32</f>
        <v>56.058056373580143</v>
      </c>
      <c r="C32">
        <f>CT!D32</f>
        <v>35.514367458639136</v>
      </c>
      <c r="D32">
        <f>META!D32</f>
        <v>38.234994913530009</v>
      </c>
      <c r="E32">
        <f>REVIEW!D32</f>
        <v>1.1758733814693871</v>
      </c>
      <c r="F32">
        <f>CCJ!D32</f>
        <v>31.814090400428164</v>
      </c>
      <c r="G32">
        <f>ALL!D32</f>
        <v>18.397820926048926</v>
      </c>
      <c r="H32">
        <f>OBS!D32</f>
        <v>49.735449735449734</v>
      </c>
      <c r="I32">
        <f>SYSREV!D32</f>
        <v>22.2074700394815</v>
      </c>
    </row>
    <row r="33" spans="1:9" x14ac:dyDescent="0.3">
      <c r="A33">
        <f t="shared" si="0"/>
        <v>2021</v>
      </c>
      <c r="B33">
        <f>RCT!D33</f>
        <v>55.933579086205143</v>
      </c>
      <c r="C33">
        <f>CT!D33</f>
        <v>34.7206015817451</v>
      </c>
      <c r="D33">
        <f>META!D33</f>
        <v>38.177177309334155</v>
      </c>
      <c r="E33">
        <f>REVIEW!D33</f>
        <v>1.3836239575435938</v>
      </c>
      <c r="F33">
        <f>CCJ!D33</f>
        <v>31.787556904400603</v>
      </c>
      <c r="G33">
        <f>ALL!D33</f>
        <v>18.5436095484154</v>
      </c>
      <c r="H33">
        <f>OBS!D33</f>
        <v>48.010473451517363</v>
      </c>
      <c r="I33">
        <f>SYSREV!D33</f>
        <v>22.582573606336869</v>
      </c>
    </row>
    <row r="34" spans="1:9" x14ac:dyDescent="0.3">
      <c r="A34">
        <f t="shared" si="0"/>
        <v>2022</v>
      </c>
      <c r="B34">
        <f>RCT!D34</f>
        <v>55.555944178237901</v>
      </c>
      <c r="C34">
        <f>CT!D34</f>
        <v>35.374627127566235</v>
      </c>
      <c r="D34">
        <f>META!D34</f>
        <v>38.665236051502141</v>
      </c>
      <c r="E34">
        <f>REVIEW!D34</f>
        <v>1.8311187813992262</v>
      </c>
      <c r="F34">
        <f>CCJ!D34</f>
        <v>31.794229737352612</v>
      </c>
      <c r="G34">
        <f>ALL!D34</f>
        <v>18.031976808029341</v>
      </c>
      <c r="H34">
        <f>OBS!D34</f>
        <v>48.154445236658802</v>
      </c>
      <c r="I34">
        <f>SYSREV!D34</f>
        <v>22.77823675203588</v>
      </c>
    </row>
    <row r="35" spans="1:9" x14ac:dyDescent="0.3">
      <c r="A35">
        <f t="shared" si="0"/>
        <v>2023</v>
      </c>
      <c r="B35">
        <f>RCT!D35</f>
        <v>55.500315656565661</v>
      </c>
      <c r="C35">
        <f>CT!D35</f>
        <v>34.96056277979109</v>
      </c>
      <c r="D35">
        <f>META!D35</f>
        <v>38.860472356891876</v>
      </c>
      <c r="E35">
        <f>REVIEW!D35</f>
        <v>1.8749804852155993</v>
      </c>
      <c r="F35">
        <f>CCJ!D35</f>
        <v>31.298849046289316</v>
      </c>
      <c r="G35">
        <f>ALL!D35</f>
        <v>18.226438453555172</v>
      </c>
      <c r="H35">
        <f>OBS!D35</f>
        <v>48.499510044096034</v>
      </c>
      <c r="I35">
        <f>SYSREV!D35</f>
        <v>23.555264634374414</v>
      </c>
    </row>
    <row r="36" spans="1:9" x14ac:dyDescent="0.3">
      <c r="A36">
        <f t="shared" si="0"/>
        <v>2024</v>
      </c>
      <c r="B36">
        <f>RCT!D36</f>
        <v>57.778185824458319</v>
      </c>
      <c r="C36">
        <f>CT!D36</f>
        <v>31.050333256722588</v>
      </c>
      <c r="D36">
        <f>META!D36</f>
        <v>40.001698946653072</v>
      </c>
      <c r="E36">
        <f>REVIEW!D36</f>
        <v>1.2476601819413389</v>
      </c>
      <c r="F36">
        <f>CCJ!D36</f>
        <v>31.131419633287955</v>
      </c>
      <c r="G36">
        <f>ALL!D36</f>
        <v>18.085418722597812</v>
      </c>
      <c r="H36">
        <f>OBS!D36</f>
        <v>48.480402431356111</v>
      </c>
      <c r="I36">
        <f>SYSREV!D36</f>
        <v>24.451741861793259</v>
      </c>
    </row>
    <row r="37" spans="1:9" x14ac:dyDescent="0.3">
      <c r="A37">
        <v>2025</v>
      </c>
      <c r="B37">
        <f>RCT!D37</f>
        <v>58.286713286713287</v>
      </c>
      <c r="C37">
        <f>CT!D37</f>
        <v>30.512640449438202</v>
      </c>
      <c r="D37">
        <f>META!D37</f>
        <v>41.018046562887449</v>
      </c>
      <c r="E37">
        <f>REVIEW!D37</f>
        <v>0.98786172302013586</v>
      </c>
      <c r="F37">
        <f>CCJ!D37</f>
        <v>31.699519286059296</v>
      </c>
      <c r="G37">
        <f>ALL!D37</f>
        <v>18.338838624583488</v>
      </c>
      <c r="H37">
        <f>OBS!D37</f>
        <v>50.198222829801779</v>
      </c>
      <c r="I37">
        <f>SYSREV!D37</f>
        <v>25.52181781620752</v>
      </c>
    </row>
    <row r="38" spans="1:9" x14ac:dyDescent="0.3">
      <c r="A38" t="s">
        <v>8</v>
      </c>
    </row>
    <row r="39" spans="1:9" x14ac:dyDescent="0.3">
      <c r="A39" t="s">
        <v>6</v>
      </c>
    </row>
    <row r="40" spans="1:9" x14ac:dyDescent="0.3">
      <c r="A40" t="s">
        <v>7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ED7C73-130E-4CAC-8AA2-6A6DAB0B66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RCT</vt:lpstr>
      <vt:lpstr>CT</vt:lpstr>
      <vt:lpstr>META</vt:lpstr>
      <vt:lpstr>REVIEW</vt:lpstr>
      <vt:lpstr>CCJ</vt:lpstr>
      <vt:lpstr>ALL</vt:lpstr>
      <vt:lpstr>OBS</vt:lpstr>
      <vt:lpstr>SYSREV</vt:lpstr>
      <vt:lpstr>aggregate</vt:lpstr>
      <vt:lpstr>Sheet1</vt:lpstr>
      <vt:lpstr>NEWagg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진혁 최</dc:creator>
  <cp:lastModifiedBy>JinHyeok Choi</cp:lastModifiedBy>
  <dcterms:created xsi:type="dcterms:W3CDTF">2025-09-20T09:37:29Z</dcterms:created>
  <dcterms:modified xsi:type="dcterms:W3CDTF">2025-12-10T21:22:59Z</dcterms:modified>
</cp:coreProperties>
</file>