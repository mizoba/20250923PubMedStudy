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1\20251128Fig1PMCabs\"/>
    </mc:Choice>
  </mc:AlternateContent>
  <xr:revisionPtr revIDLastSave="0" documentId="13_ncr:1_{FFAE6781-DA03-4DCF-9515-5AD4A4BC99B8}" xr6:coauthVersionLast="47" xr6:coauthVersionMax="47" xr10:uidLastSave="{00000000-0000-0000-0000-000000000000}"/>
  <bookViews>
    <workbookView xWindow="1170" yWindow="1170" windowWidth="21600" windowHeight="11295" firstSheet="4" activeTab="9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9" r:id="rId7"/>
    <sheet name="SYSREV" sheetId="10" r:id="rId8"/>
    <sheet name="aggregate" sheetId="8" r:id="rId9"/>
    <sheet name="Sheet1" sheetId="7" r:id="rId10"/>
    <sheet name="NEWagg" sheetId="11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7" l="1"/>
  <c r="C1" i="9"/>
  <c r="B1" i="9"/>
  <c r="K45" i="7"/>
  <c r="C38" i="10"/>
  <c r="C39" i="10"/>
  <c r="C40" i="10"/>
  <c r="B38" i="10"/>
  <c r="B39" i="10"/>
  <c r="B40" i="10"/>
  <c r="C38" i="9"/>
  <c r="C39" i="9"/>
  <c r="C40" i="9"/>
  <c r="B38" i="9"/>
  <c r="B39" i="9"/>
  <c r="B40" i="9"/>
  <c r="A6" i="11"/>
  <c r="A8" i="11" s="1"/>
  <c r="A10" i="11" s="1"/>
  <c r="A12" i="11" s="1"/>
  <c r="A14" i="11" s="1"/>
  <c r="A16" i="11" s="1"/>
  <c r="A18" i="11" s="1"/>
  <c r="A20" i="11" s="1"/>
  <c r="A22" i="11" s="1"/>
  <c r="A24" i="11" s="1"/>
  <c r="A26" i="11" s="1"/>
  <c r="A28" i="11" s="1"/>
  <c r="A30" i="11" s="1"/>
  <c r="A32" i="11" s="1"/>
  <c r="A34" i="11" s="1"/>
  <c r="A36" i="11" s="1"/>
  <c r="A5" i="11"/>
  <c r="A7" i="11" s="1"/>
  <c r="A9" i="11" s="1"/>
  <c r="A11" i="11" s="1"/>
  <c r="A13" i="11" s="1"/>
  <c r="A15" i="11" s="1"/>
  <c r="A17" i="11" s="1"/>
  <c r="A19" i="11" s="1"/>
  <c r="A21" i="11" s="1"/>
  <c r="A23" i="11" s="1"/>
  <c r="A25" i="11" s="1"/>
  <c r="A27" i="11" s="1"/>
  <c r="A29" i="11" s="1"/>
  <c r="A31" i="11" s="1"/>
  <c r="A33" i="11" s="1"/>
  <c r="A35" i="11" s="1"/>
  <c r="A4" i="1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C2" i="10"/>
  <c r="B2" i="10"/>
  <c r="C1" i="10"/>
  <c r="B1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" i="9"/>
  <c r="C2" i="9"/>
  <c r="B2" i="9"/>
  <c r="D40" i="9" l="1"/>
  <c r="D19" i="9"/>
  <c r="H19" i="11" s="1"/>
  <c r="D39" i="10"/>
  <c r="D9" i="9"/>
  <c r="H9" i="11" s="1"/>
  <c r="D25" i="9"/>
  <c r="H25" i="11" s="1"/>
  <c r="D17" i="9"/>
  <c r="H17" i="11" s="1"/>
  <c r="D36" i="9"/>
  <c r="H36" i="11" s="1"/>
  <c r="D28" i="9"/>
  <c r="H28" i="11" s="1"/>
  <c r="D31" i="10"/>
  <c r="I31" i="11" s="1"/>
  <c r="D23" i="10"/>
  <c r="I23" i="11" s="1"/>
  <c r="D15" i="10"/>
  <c r="I15" i="11" s="1"/>
  <c r="D7" i="10"/>
  <c r="I7" i="11" s="1"/>
  <c r="D2" i="9"/>
  <c r="H2" i="11" s="1"/>
  <c r="D32" i="9"/>
  <c r="H32" i="11" s="1"/>
  <c r="D16" i="9"/>
  <c r="H16" i="11" s="1"/>
  <c r="D8" i="9"/>
  <c r="H8" i="11" s="1"/>
  <c r="D30" i="10"/>
  <c r="I30" i="11" s="1"/>
  <c r="D22" i="10"/>
  <c r="I22" i="11" s="1"/>
  <c r="D6" i="10"/>
  <c r="I6" i="11" s="1"/>
  <c r="D38" i="9"/>
  <c r="D32" i="10"/>
  <c r="I32" i="11" s="1"/>
  <c r="D24" i="10"/>
  <c r="I24" i="11" s="1"/>
  <c r="D16" i="10"/>
  <c r="I16" i="11" s="1"/>
  <c r="D8" i="10"/>
  <c r="I8" i="11" s="1"/>
  <c r="D24" i="9"/>
  <c r="H24" i="11" s="1"/>
  <c r="D35" i="9"/>
  <c r="H35" i="11" s="1"/>
  <c r="D11" i="9"/>
  <c r="H11" i="11" s="1"/>
  <c r="D3" i="9"/>
  <c r="H3" i="11" s="1"/>
  <c r="D34" i="9"/>
  <c r="H34" i="11" s="1"/>
  <c r="D10" i="9"/>
  <c r="H10" i="11" s="1"/>
  <c r="D5" i="9"/>
  <c r="H5" i="11" s="1"/>
  <c r="D27" i="9"/>
  <c r="H27" i="11" s="1"/>
  <c r="D26" i="9"/>
  <c r="H26" i="11" s="1"/>
  <c r="D18" i="9"/>
  <c r="H18" i="11" s="1"/>
  <c r="D37" i="9"/>
  <c r="H37" i="11" s="1"/>
  <c r="D29" i="9"/>
  <c r="H29" i="11" s="1"/>
  <c r="D21" i="9"/>
  <c r="H21" i="11" s="1"/>
  <c r="D13" i="9"/>
  <c r="H13" i="11" s="1"/>
  <c r="D33" i="9"/>
  <c r="H33" i="11" s="1"/>
  <c r="D20" i="9"/>
  <c r="H20" i="11" s="1"/>
  <c r="D12" i="9"/>
  <c r="H12" i="11" s="1"/>
  <c r="D4" i="9"/>
  <c r="H4" i="11" s="1"/>
  <c r="D14" i="10"/>
  <c r="I14" i="11" s="1"/>
  <c r="D37" i="10"/>
  <c r="I37" i="11" s="1"/>
  <c r="D29" i="10"/>
  <c r="I29" i="11" s="1"/>
  <c r="D21" i="10"/>
  <c r="I21" i="11" s="1"/>
  <c r="D13" i="10"/>
  <c r="I13" i="11" s="1"/>
  <c r="D5" i="10"/>
  <c r="I5" i="11" s="1"/>
  <c r="D40" i="10"/>
  <c r="D33" i="10"/>
  <c r="I33" i="11" s="1"/>
  <c r="D25" i="10"/>
  <c r="I25" i="11" s="1"/>
  <c r="D17" i="10"/>
  <c r="I17" i="11" s="1"/>
  <c r="D9" i="10"/>
  <c r="I9" i="11" s="1"/>
  <c r="D36" i="10"/>
  <c r="I36" i="11" s="1"/>
  <c r="D28" i="10"/>
  <c r="I28" i="11" s="1"/>
  <c r="D20" i="10"/>
  <c r="I20" i="11" s="1"/>
  <c r="D12" i="10"/>
  <c r="I12" i="11" s="1"/>
  <c r="D4" i="10"/>
  <c r="I4" i="11" s="1"/>
  <c r="D35" i="10"/>
  <c r="I35" i="11" s="1"/>
  <c r="D27" i="10"/>
  <c r="I27" i="11" s="1"/>
  <c r="D19" i="10"/>
  <c r="I19" i="11" s="1"/>
  <c r="D11" i="10"/>
  <c r="I11" i="11" s="1"/>
  <c r="D3" i="10"/>
  <c r="I3" i="11" s="1"/>
  <c r="D39" i="9"/>
  <c r="D38" i="10"/>
  <c r="D31" i="9"/>
  <c r="H31" i="11" s="1"/>
  <c r="D23" i="9"/>
  <c r="H23" i="11" s="1"/>
  <c r="D15" i="9"/>
  <c r="H15" i="11" s="1"/>
  <c r="D7" i="9"/>
  <c r="H7" i="11" s="1"/>
  <c r="D34" i="10"/>
  <c r="I34" i="11" s="1"/>
  <c r="D26" i="10"/>
  <c r="I26" i="11" s="1"/>
  <c r="D18" i="10"/>
  <c r="I18" i="11" s="1"/>
  <c r="D10" i="10"/>
  <c r="I10" i="11" s="1"/>
  <c r="D30" i="9"/>
  <c r="H30" i="11" s="1"/>
  <c r="D22" i="9"/>
  <c r="H22" i="11" s="1"/>
  <c r="D14" i="9"/>
  <c r="H14" i="11" s="1"/>
  <c r="D6" i="9"/>
  <c r="H6" i="11" s="1"/>
  <c r="D2" i="10"/>
  <c r="I2" i="11" s="1"/>
  <c r="J45" i="7"/>
  <c r="J44" i="7"/>
  <c r="J43" i="7"/>
  <c r="J42" i="7"/>
  <c r="J41" i="7"/>
  <c r="J40" i="7"/>
  <c r="K44" i="7"/>
  <c r="K43" i="7"/>
  <c r="K42" i="7"/>
  <c r="K41" i="7"/>
  <c r="C1" i="6"/>
  <c r="B1" i="6"/>
  <c r="C1" i="5"/>
  <c r="B1" i="5"/>
  <c r="C1" i="4"/>
  <c r="B1" i="4"/>
  <c r="C1" i="3"/>
  <c r="B1" i="3"/>
  <c r="C1" i="2"/>
  <c r="B1" i="2"/>
  <c r="B1" i="1"/>
  <c r="C1" i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C2" i="6"/>
  <c r="B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C2" i="5"/>
  <c r="B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C2" i="4"/>
  <c r="B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C2" i="3"/>
  <c r="B2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C2" i="1"/>
  <c r="B2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B38" i="2"/>
  <c r="B39" i="2"/>
  <c r="B4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2" i="2"/>
  <c r="G38" i="8"/>
  <c r="F38" i="8"/>
  <c r="E38" i="8"/>
  <c r="B38" i="8"/>
  <c r="D38" i="8"/>
  <c r="C38" i="8"/>
  <c r="A7" i="8"/>
  <c r="A9" i="8" s="1"/>
  <c r="A11" i="8" s="1"/>
  <c r="A13" i="8" s="1"/>
  <c r="A15" i="8" s="1"/>
  <c r="A17" i="8" s="1"/>
  <c r="A19" i="8" s="1"/>
  <c r="A21" i="8" s="1"/>
  <c r="A23" i="8" s="1"/>
  <c r="A25" i="8" s="1"/>
  <c r="A27" i="8" s="1"/>
  <c r="A29" i="8" s="1"/>
  <c r="A31" i="8" s="1"/>
  <c r="A33" i="8" s="1"/>
  <c r="A35" i="8" s="1"/>
  <c r="A6" i="8"/>
  <c r="A8" i="8" s="1"/>
  <c r="A10" i="8" s="1"/>
  <c r="A12" i="8" s="1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5" i="8"/>
  <c r="A4" i="8"/>
  <c r="A5" i="6"/>
  <c r="A7" i="6" s="1"/>
  <c r="A9" i="6" s="1"/>
  <c r="A11" i="6" s="1"/>
  <c r="A13" i="6" s="1"/>
  <c r="A15" i="6" s="1"/>
  <c r="A17" i="6" s="1"/>
  <c r="A19" i="6" s="1"/>
  <c r="A21" i="6" s="1"/>
  <c r="A23" i="6" s="1"/>
  <c r="A25" i="6" s="1"/>
  <c r="A27" i="6" s="1"/>
  <c r="A29" i="6" s="1"/>
  <c r="A31" i="6" s="1"/>
  <c r="A33" i="6" s="1"/>
  <c r="A35" i="6" s="1"/>
  <c r="A4" i="6"/>
  <c r="A6" i="6" s="1"/>
  <c r="A8" i="6" s="1"/>
  <c r="A10" i="6" s="1"/>
  <c r="A12" i="6" s="1"/>
  <c r="A14" i="6" s="1"/>
  <c r="A16" i="6" s="1"/>
  <c r="A18" i="6" s="1"/>
  <c r="A20" i="6" s="1"/>
  <c r="A22" i="6" s="1"/>
  <c r="A24" i="6" s="1"/>
  <c r="A26" i="6" s="1"/>
  <c r="A28" i="6" s="1"/>
  <c r="A30" i="6" s="1"/>
  <c r="A32" i="6" s="1"/>
  <c r="A34" i="6" s="1"/>
  <c r="A36" i="6" s="1"/>
  <c r="A5" i="5"/>
  <c r="A7" i="5" s="1"/>
  <c r="A9" i="5" s="1"/>
  <c r="A11" i="5" s="1"/>
  <c r="A13" i="5" s="1"/>
  <c r="A15" i="5" s="1"/>
  <c r="A17" i="5" s="1"/>
  <c r="A19" i="5" s="1"/>
  <c r="A21" i="5" s="1"/>
  <c r="A23" i="5" s="1"/>
  <c r="A25" i="5" s="1"/>
  <c r="A27" i="5" s="1"/>
  <c r="A29" i="5" s="1"/>
  <c r="A31" i="5" s="1"/>
  <c r="A33" i="5" s="1"/>
  <c r="A35" i="5" s="1"/>
  <c r="A4" i="5"/>
  <c r="A6" i="5" s="1"/>
  <c r="A8" i="5" s="1"/>
  <c r="A10" i="5" s="1"/>
  <c r="A12" i="5" s="1"/>
  <c r="A14" i="5" s="1"/>
  <c r="A16" i="5" s="1"/>
  <c r="A18" i="5" s="1"/>
  <c r="A20" i="5" s="1"/>
  <c r="A22" i="5" s="1"/>
  <c r="A24" i="5" s="1"/>
  <c r="A26" i="5" s="1"/>
  <c r="A28" i="5" s="1"/>
  <c r="A30" i="5" s="1"/>
  <c r="A32" i="5" s="1"/>
  <c r="A34" i="5" s="1"/>
  <c r="A36" i="5" s="1"/>
  <c r="A5" i="4"/>
  <c r="A7" i="4" s="1"/>
  <c r="A9" i="4" s="1"/>
  <c r="A11" i="4" s="1"/>
  <c r="A13" i="4" s="1"/>
  <c r="A15" i="4" s="1"/>
  <c r="A17" i="4" s="1"/>
  <c r="A19" i="4" s="1"/>
  <c r="A21" i="4" s="1"/>
  <c r="A23" i="4" s="1"/>
  <c r="A25" i="4" s="1"/>
  <c r="A27" i="4" s="1"/>
  <c r="A29" i="4" s="1"/>
  <c r="A31" i="4" s="1"/>
  <c r="A33" i="4" s="1"/>
  <c r="A35" i="4" s="1"/>
  <c r="A4" i="4"/>
  <c r="A6" i="4" s="1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5" i="3"/>
  <c r="A7" i="3" s="1"/>
  <c r="A9" i="3" s="1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4" i="3"/>
  <c r="A6" i="3" s="1"/>
  <c r="A8" i="3" s="1"/>
  <c r="A10" i="3" s="1"/>
  <c r="A12" i="3" s="1"/>
  <c r="A14" i="3" s="1"/>
  <c r="A16" i="3" s="1"/>
  <c r="A18" i="3" s="1"/>
  <c r="A20" i="3" s="1"/>
  <c r="A22" i="3" s="1"/>
  <c r="A24" i="3" s="1"/>
  <c r="A26" i="3" s="1"/>
  <c r="A28" i="3" s="1"/>
  <c r="A30" i="3" s="1"/>
  <c r="A32" i="3" s="1"/>
  <c r="A34" i="3" s="1"/>
  <c r="A36" i="3" s="1"/>
  <c r="A5" i="2"/>
  <c r="A7" i="2" s="1"/>
  <c r="A9" i="2" s="1"/>
  <c r="A11" i="2" s="1"/>
  <c r="A13" i="2" s="1"/>
  <c r="A15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4" i="2"/>
  <c r="A6" i="2" s="1"/>
  <c r="A8" i="2" s="1"/>
  <c r="A10" i="2" s="1"/>
  <c r="A12" i="2" s="1"/>
  <c r="A14" i="2" s="1"/>
  <c r="A16" i="2" s="1"/>
  <c r="A18" i="2" s="1"/>
  <c r="A20" i="2" s="1"/>
  <c r="A22" i="2" s="1"/>
  <c r="A24" i="2" s="1"/>
  <c r="A26" i="2" s="1"/>
  <c r="A28" i="2" s="1"/>
  <c r="A30" i="2" s="1"/>
  <c r="A32" i="2" s="1"/>
  <c r="A34" i="2" s="1"/>
  <c r="A36" i="2" s="1"/>
  <c r="A5" i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4" i="1"/>
  <c r="A6" i="1" s="1"/>
  <c r="A8" i="1" s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  <c r="A32" i="1" s="1"/>
  <c r="A34" i="1" s="1"/>
  <c r="A36" i="1" s="1"/>
  <c r="D14" i="6" l="1"/>
  <c r="G14" i="11" s="1"/>
  <c r="D8" i="6"/>
  <c r="G8" i="11" s="1"/>
  <c r="D7" i="6"/>
  <c r="G7" i="11" s="1"/>
  <c r="D13" i="6"/>
  <c r="G13" i="11" s="1"/>
  <c r="D11" i="6"/>
  <c r="G11" i="11" s="1"/>
  <c r="D3" i="6"/>
  <c r="G3" i="11" s="1"/>
  <c r="D10" i="6"/>
  <c r="G10" i="11" s="1"/>
  <c r="D12" i="6"/>
  <c r="G12" i="11" s="1"/>
  <c r="D9" i="6"/>
  <c r="G9" i="11" s="1"/>
  <c r="D15" i="6"/>
  <c r="G15" i="11" s="1"/>
  <c r="D16" i="6"/>
  <c r="G16" i="11" s="1"/>
  <c r="D17" i="6"/>
  <c r="G17" i="11" s="1"/>
  <c r="D18" i="6"/>
  <c r="G18" i="11" s="1"/>
  <c r="D2" i="6"/>
  <c r="G2" i="11" s="1"/>
  <c r="D2" i="5"/>
  <c r="F2" i="11" s="1"/>
  <c r="D35" i="4"/>
  <c r="E35" i="11" s="1"/>
  <c r="D30" i="6"/>
  <c r="G30" i="11" s="1"/>
  <c r="D31" i="6"/>
  <c r="G31" i="11" s="1"/>
  <c r="D32" i="6"/>
  <c r="G32" i="11" s="1"/>
  <c r="D33" i="6"/>
  <c r="G33" i="11" s="1"/>
  <c r="D34" i="6"/>
  <c r="G34" i="11" s="1"/>
  <c r="D35" i="6"/>
  <c r="G35" i="11" s="1"/>
  <c r="D36" i="6"/>
  <c r="G36" i="11" s="1"/>
  <c r="D37" i="6"/>
  <c r="G37" i="11" s="1"/>
  <c r="D36" i="4"/>
  <c r="E36" i="11" s="1"/>
  <c r="D19" i="6"/>
  <c r="G19" i="11" s="1"/>
  <c r="D21" i="6"/>
  <c r="G21" i="11" s="1"/>
  <c r="D22" i="6"/>
  <c r="G22" i="11" s="1"/>
  <c r="D20" i="6"/>
  <c r="G20" i="11" s="1"/>
  <c r="D23" i="6"/>
  <c r="G23" i="11" s="1"/>
  <c r="D24" i="6"/>
  <c r="G24" i="11" s="1"/>
  <c r="D25" i="6"/>
  <c r="G25" i="11" s="1"/>
  <c r="D26" i="6"/>
  <c r="G26" i="11" s="1"/>
  <c r="D27" i="6"/>
  <c r="G27" i="11" s="1"/>
  <c r="D6" i="3"/>
  <c r="D6" i="11" s="1"/>
  <c r="D8" i="3"/>
  <c r="D8" i="11" s="1"/>
  <c r="D13" i="3"/>
  <c r="D13" i="11" s="1"/>
  <c r="D17" i="3"/>
  <c r="D17" i="11" s="1"/>
  <c r="D22" i="3"/>
  <c r="D22" i="11" s="1"/>
  <c r="D3" i="3"/>
  <c r="D3" i="11" s="1"/>
  <c r="D9" i="3"/>
  <c r="D9" i="11" s="1"/>
  <c r="D10" i="3"/>
  <c r="D10" i="11" s="1"/>
  <c r="D18" i="3"/>
  <c r="D18" i="11" s="1"/>
  <c r="D24" i="3"/>
  <c r="D24" i="11" s="1"/>
  <c r="D5" i="3"/>
  <c r="D5" i="11" s="1"/>
  <c r="D12" i="3"/>
  <c r="D12" i="11" s="1"/>
  <c r="D16" i="3"/>
  <c r="D16" i="11" s="1"/>
  <c r="D21" i="3"/>
  <c r="D21" i="11" s="1"/>
  <c r="D25" i="3"/>
  <c r="D25" i="11" s="1"/>
  <c r="D4" i="3"/>
  <c r="D4" i="11" s="1"/>
  <c r="D15" i="3"/>
  <c r="D15" i="11" s="1"/>
  <c r="D19" i="3"/>
  <c r="D19" i="11" s="1"/>
  <c r="D23" i="3"/>
  <c r="D23" i="11" s="1"/>
  <c r="D11" i="3"/>
  <c r="D11" i="11" s="1"/>
  <c r="D7" i="3"/>
  <c r="D7" i="11" s="1"/>
  <c r="D14" i="3"/>
  <c r="D14" i="11" s="1"/>
  <c r="D20" i="3"/>
  <c r="D20" i="11" s="1"/>
  <c r="D4" i="6"/>
  <c r="G4" i="11" s="1"/>
  <c r="D5" i="6"/>
  <c r="G5" i="11" s="1"/>
  <c r="D6" i="6"/>
  <c r="G6" i="11" s="1"/>
  <c r="D28" i="6"/>
  <c r="G28" i="11" s="1"/>
  <c r="D29" i="6"/>
  <c r="G29" i="11" s="1"/>
  <c r="D6" i="4"/>
  <c r="E6" i="11" s="1"/>
  <c r="D10" i="4"/>
  <c r="E10" i="11" s="1"/>
  <c r="D13" i="4"/>
  <c r="E13" i="11" s="1"/>
  <c r="D17" i="4"/>
  <c r="E17" i="11" s="1"/>
  <c r="D20" i="4"/>
  <c r="E20" i="11" s="1"/>
  <c r="D23" i="4"/>
  <c r="E23" i="11" s="1"/>
  <c r="D26" i="4"/>
  <c r="E26" i="11" s="1"/>
  <c r="D29" i="4"/>
  <c r="E29" i="11" s="1"/>
  <c r="D32" i="4"/>
  <c r="E32" i="11" s="1"/>
  <c r="D7" i="4"/>
  <c r="E7" i="11" s="1"/>
  <c r="D11" i="4"/>
  <c r="E11" i="11" s="1"/>
  <c r="D14" i="4"/>
  <c r="E14" i="11" s="1"/>
  <c r="D18" i="4"/>
  <c r="E18" i="11" s="1"/>
  <c r="D21" i="4"/>
  <c r="E21" i="11" s="1"/>
  <c r="D24" i="4"/>
  <c r="E24" i="11" s="1"/>
  <c r="D27" i="4"/>
  <c r="E27" i="11" s="1"/>
  <c r="D30" i="4"/>
  <c r="E30" i="11" s="1"/>
  <c r="D33" i="4"/>
  <c r="E33" i="11" s="1"/>
  <c r="D3" i="4"/>
  <c r="E3" i="11" s="1"/>
  <c r="D4" i="4"/>
  <c r="E4" i="11" s="1"/>
  <c r="D5" i="4"/>
  <c r="E5" i="11" s="1"/>
  <c r="D8" i="4"/>
  <c r="E8" i="11" s="1"/>
  <c r="D9" i="4"/>
  <c r="E9" i="11" s="1"/>
  <c r="D12" i="4"/>
  <c r="E12" i="11" s="1"/>
  <c r="D15" i="4"/>
  <c r="E15" i="11" s="1"/>
  <c r="D16" i="4"/>
  <c r="E16" i="11" s="1"/>
  <c r="D19" i="4"/>
  <c r="E19" i="11" s="1"/>
  <c r="D22" i="4"/>
  <c r="E22" i="11" s="1"/>
  <c r="D25" i="4"/>
  <c r="E25" i="11" s="1"/>
  <c r="D28" i="4"/>
  <c r="E28" i="11" s="1"/>
  <c r="D31" i="4"/>
  <c r="E31" i="11" s="1"/>
  <c r="D34" i="4"/>
  <c r="E34" i="11" s="1"/>
  <c r="D2" i="4"/>
  <c r="E2" i="11" s="1"/>
  <c r="D30" i="3"/>
  <c r="D30" i="11" s="1"/>
  <c r="D31" i="3"/>
  <c r="D31" i="11" s="1"/>
  <c r="D32" i="3"/>
  <c r="D32" i="11" s="1"/>
  <c r="D33" i="3"/>
  <c r="D33" i="11" s="1"/>
  <c r="D34" i="3"/>
  <c r="D34" i="11" s="1"/>
  <c r="D35" i="3"/>
  <c r="D35" i="11" s="1"/>
  <c r="D36" i="3"/>
  <c r="D36" i="11" s="1"/>
  <c r="D3" i="5"/>
  <c r="F3" i="11" s="1"/>
  <c r="D4" i="5"/>
  <c r="F4" i="11" s="1"/>
  <c r="D5" i="5"/>
  <c r="F5" i="11" s="1"/>
  <c r="D6" i="5"/>
  <c r="F6" i="11" s="1"/>
  <c r="D7" i="5"/>
  <c r="F7" i="11" s="1"/>
  <c r="D8" i="5"/>
  <c r="F8" i="11" s="1"/>
  <c r="D9" i="5"/>
  <c r="F9" i="11" s="1"/>
  <c r="D10" i="5"/>
  <c r="F10" i="11" s="1"/>
  <c r="D11" i="5"/>
  <c r="F11" i="11" s="1"/>
  <c r="D12" i="5"/>
  <c r="F12" i="11" s="1"/>
  <c r="D13" i="5"/>
  <c r="F13" i="11" s="1"/>
  <c r="D14" i="5"/>
  <c r="F14" i="11" s="1"/>
  <c r="D15" i="5"/>
  <c r="F15" i="11" s="1"/>
  <c r="D16" i="5"/>
  <c r="F16" i="11" s="1"/>
  <c r="D17" i="5"/>
  <c r="F17" i="11" s="1"/>
  <c r="D18" i="5"/>
  <c r="F18" i="11" s="1"/>
  <c r="D19" i="5"/>
  <c r="F19" i="11" s="1"/>
  <c r="D20" i="5"/>
  <c r="F20" i="11" s="1"/>
  <c r="D21" i="5"/>
  <c r="F21" i="11" s="1"/>
  <c r="D22" i="5"/>
  <c r="F22" i="11" s="1"/>
  <c r="D23" i="5"/>
  <c r="F23" i="11" s="1"/>
  <c r="D24" i="5"/>
  <c r="F24" i="11" s="1"/>
  <c r="D25" i="5"/>
  <c r="F25" i="11" s="1"/>
  <c r="D26" i="5"/>
  <c r="F26" i="11" s="1"/>
  <c r="D37" i="4"/>
  <c r="E37" i="11" s="1"/>
  <c r="D26" i="3"/>
  <c r="D26" i="11" s="1"/>
  <c r="D27" i="3"/>
  <c r="D27" i="11" s="1"/>
  <c r="D28" i="3"/>
  <c r="D28" i="11" s="1"/>
  <c r="D29" i="3"/>
  <c r="D29" i="11" s="1"/>
  <c r="D27" i="5"/>
  <c r="F27" i="11" s="1"/>
  <c r="D28" i="5"/>
  <c r="F28" i="11" s="1"/>
  <c r="D29" i="5"/>
  <c r="F29" i="11" s="1"/>
  <c r="D30" i="5"/>
  <c r="F30" i="11" s="1"/>
  <c r="D31" i="5"/>
  <c r="F31" i="11" s="1"/>
  <c r="D32" i="5"/>
  <c r="F32" i="11" s="1"/>
  <c r="D33" i="5"/>
  <c r="F33" i="11" s="1"/>
  <c r="D34" i="5"/>
  <c r="F34" i="11" s="1"/>
  <c r="D35" i="5"/>
  <c r="F35" i="11" s="1"/>
  <c r="D36" i="5"/>
  <c r="F36" i="11" s="1"/>
  <c r="D37" i="5"/>
  <c r="F37" i="11" s="1"/>
  <c r="D37" i="3"/>
  <c r="D37" i="11" s="1"/>
  <c r="D2" i="3"/>
  <c r="D2" i="11" s="1"/>
  <c r="D3" i="2"/>
  <c r="C3" i="11" s="1"/>
  <c r="D5" i="2"/>
  <c r="C5" i="11" s="1"/>
  <c r="D7" i="2"/>
  <c r="C7" i="11" s="1"/>
  <c r="D8" i="2"/>
  <c r="C8" i="11" s="1"/>
  <c r="D9" i="2"/>
  <c r="C9" i="11" s="1"/>
  <c r="D13" i="2"/>
  <c r="C13" i="11" s="1"/>
  <c r="D16" i="2"/>
  <c r="C16" i="11" s="1"/>
  <c r="D19" i="2"/>
  <c r="C19" i="11" s="1"/>
  <c r="D22" i="2"/>
  <c r="C22" i="11" s="1"/>
  <c r="D25" i="2"/>
  <c r="C25" i="11" s="1"/>
  <c r="D27" i="2"/>
  <c r="C27" i="11" s="1"/>
  <c r="D28" i="2"/>
  <c r="C28" i="11" s="1"/>
  <c r="D29" i="2"/>
  <c r="C29" i="11" s="1"/>
  <c r="D30" i="2"/>
  <c r="C30" i="11" s="1"/>
  <c r="D31" i="2"/>
  <c r="C31" i="11" s="1"/>
  <c r="D32" i="2"/>
  <c r="C32" i="11" s="1"/>
  <c r="D33" i="2"/>
  <c r="C33" i="11" s="1"/>
  <c r="D34" i="2"/>
  <c r="C34" i="11" s="1"/>
  <c r="D35" i="2"/>
  <c r="C35" i="11" s="1"/>
  <c r="D36" i="2"/>
  <c r="C36" i="11" s="1"/>
  <c r="D37" i="2"/>
  <c r="C37" i="11" s="1"/>
  <c r="D4" i="2"/>
  <c r="C4" i="11" s="1"/>
  <c r="D10" i="2"/>
  <c r="C10" i="11" s="1"/>
  <c r="D12" i="2"/>
  <c r="C12" i="11" s="1"/>
  <c r="D18" i="2"/>
  <c r="C18" i="11" s="1"/>
  <c r="D21" i="2"/>
  <c r="C21" i="11" s="1"/>
  <c r="D24" i="2"/>
  <c r="C24" i="11" s="1"/>
  <c r="D6" i="2"/>
  <c r="C6" i="11" s="1"/>
  <c r="D11" i="2"/>
  <c r="C11" i="11" s="1"/>
  <c r="D14" i="2"/>
  <c r="C14" i="11" s="1"/>
  <c r="D17" i="2"/>
  <c r="C17" i="11" s="1"/>
  <c r="D20" i="2"/>
  <c r="C20" i="11" s="1"/>
  <c r="D23" i="2"/>
  <c r="C23" i="11" s="1"/>
  <c r="D26" i="2"/>
  <c r="C26" i="11" s="1"/>
  <c r="D2" i="2"/>
  <c r="C2" i="11" s="1"/>
  <c r="D3" i="1"/>
  <c r="B3" i="11" s="1"/>
  <c r="D17" i="1"/>
  <c r="B17" i="11" s="1"/>
  <c r="D19" i="1"/>
  <c r="B19" i="11" s="1"/>
  <c r="D20" i="1"/>
  <c r="B20" i="11" s="1"/>
  <c r="D21" i="1"/>
  <c r="B21" i="11" s="1"/>
  <c r="D22" i="1"/>
  <c r="B22" i="11" s="1"/>
  <c r="D27" i="1"/>
  <c r="B27" i="11" s="1"/>
  <c r="D30" i="1"/>
  <c r="B30" i="11" s="1"/>
  <c r="D31" i="1"/>
  <c r="B31" i="11" s="1"/>
  <c r="D34" i="1"/>
  <c r="B34" i="11" s="1"/>
  <c r="D6" i="1"/>
  <c r="B6" i="11" s="1"/>
  <c r="D4" i="1"/>
  <c r="B4" i="11" s="1"/>
  <c r="D29" i="1"/>
  <c r="B29" i="11" s="1"/>
  <c r="D35" i="1"/>
  <c r="B35" i="11" s="1"/>
  <c r="D37" i="1"/>
  <c r="B37" i="11" s="1"/>
  <c r="D11" i="1"/>
  <c r="B11" i="11" s="1"/>
  <c r="D32" i="1"/>
  <c r="B32" i="11" s="1"/>
  <c r="D36" i="1"/>
  <c r="B36" i="11" s="1"/>
  <c r="D5" i="1"/>
  <c r="B5" i="11" s="1"/>
  <c r="D8" i="1"/>
  <c r="B8" i="11" s="1"/>
  <c r="D12" i="1"/>
  <c r="B12" i="11" s="1"/>
  <c r="D7" i="1"/>
  <c r="B7" i="11" s="1"/>
  <c r="D13" i="1"/>
  <c r="B13" i="11" s="1"/>
  <c r="D26" i="1"/>
  <c r="B26" i="11" s="1"/>
  <c r="D10" i="1"/>
  <c r="B10" i="11" s="1"/>
  <c r="D33" i="1"/>
  <c r="B33" i="11" s="1"/>
  <c r="D25" i="1"/>
  <c r="B25" i="11" s="1"/>
  <c r="D9" i="1"/>
  <c r="B9" i="11" s="1"/>
  <c r="D24" i="1"/>
  <c r="B24" i="11" s="1"/>
  <c r="D16" i="1"/>
  <c r="B16" i="11" s="1"/>
  <c r="D14" i="1"/>
  <c r="B14" i="11" s="1"/>
  <c r="D28" i="1"/>
  <c r="B28" i="11" s="1"/>
  <c r="D18" i="1"/>
  <c r="B18" i="11" s="1"/>
  <c r="D23" i="1"/>
  <c r="B23" i="11" s="1"/>
  <c r="D15" i="1"/>
  <c r="B15" i="11" s="1"/>
  <c r="D2" i="1"/>
  <c r="B2" i="11" s="1"/>
  <c r="G7" i="8" l="1"/>
  <c r="G13" i="8"/>
  <c r="G14" i="8"/>
  <c r="G8" i="8"/>
  <c r="B3" i="8"/>
  <c r="C6" i="8"/>
  <c r="C36" i="8"/>
  <c r="C28" i="8"/>
  <c r="C8" i="8"/>
  <c r="F35" i="8"/>
  <c r="F27" i="8"/>
  <c r="F24" i="8"/>
  <c r="F16" i="8"/>
  <c r="F8" i="8"/>
  <c r="D34" i="8"/>
  <c r="E28" i="8"/>
  <c r="E8" i="8"/>
  <c r="E21" i="8"/>
  <c r="E23" i="8"/>
  <c r="G6" i="8"/>
  <c r="D19" i="8"/>
  <c r="D24" i="8"/>
  <c r="D8" i="8"/>
  <c r="G22" i="8"/>
  <c r="G33" i="8"/>
  <c r="G17" i="8"/>
  <c r="B18" i="8"/>
  <c r="B10" i="8"/>
  <c r="B32" i="8"/>
  <c r="B31" i="8"/>
  <c r="B28" i="8"/>
  <c r="B26" i="8"/>
  <c r="B11" i="8"/>
  <c r="B30" i="8"/>
  <c r="C7" i="8"/>
  <c r="F34" i="8"/>
  <c r="D29" i="8"/>
  <c r="F23" i="8"/>
  <c r="F15" i="8"/>
  <c r="F7" i="8"/>
  <c r="D33" i="8"/>
  <c r="E25" i="8"/>
  <c r="E5" i="8"/>
  <c r="E18" i="8"/>
  <c r="E20" i="8"/>
  <c r="G5" i="8"/>
  <c r="D15" i="8"/>
  <c r="D18" i="8"/>
  <c r="D6" i="8"/>
  <c r="G21" i="8"/>
  <c r="G32" i="8"/>
  <c r="G16" i="8"/>
  <c r="C24" i="8"/>
  <c r="C35" i="8"/>
  <c r="C27" i="8"/>
  <c r="B14" i="8"/>
  <c r="B13" i="8"/>
  <c r="B37" i="8"/>
  <c r="B27" i="8"/>
  <c r="C26" i="8"/>
  <c r="C21" i="8"/>
  <c r="C34" i="8"/>
  <c r="C25" i="8"/>
  <c r="C5" i="8"/>
  <c r="D28" i="8"/>
  <c r="F22" i="8"/>
  <c r="F14" i="8"/>
  <c r="F6" i="8"/>
  <c r="D32" i="8"/>
  <c r="E22" i="8"/>
  <c r="E4" i="8"/>
  <c r="E14" i="8"/>
  <c r="E17" i="8"/>
  <c r="D4" i="8"/>
  <c r="D10" i="8"/>
  <c r="G27" i="8"/>
  <c r="G19" i="8"/>
  <c r="G31" i="8"/>
  <c r="G15" i="8"/>
  <c r="B22" i="8"/>
  <c r="C23" i="8"/>
  <c r="C18" i="8"/>
  <c r="C22" i="8"/>
  <c r="C3" i="8"/>
  <c r="D27" i="8"/>
  <c r="F21" i="8"/>
  <c r="F13" i="8"/>
  <c r="F5" i="8"/>
  <c r="D31" i="8"/>
  <c r="E19" i="8"/>
  <c r="E11" i="8"/>
  <c r="E13" i="8"/>
  <c r="D20" i="8"/>
  <c r="D25" i="8"/>
  <c r="D9" i="8"/>
  <c r="G26" i="8"/>
  <c r="E36" i="8"/>
  <c r="G30" i="8"/>
  <c r="G9" i="8"/>
  <c r="B16" i="8"/>
  <c r="B7" i="8"/>
  <c r="C33" i="8"/>
  <c r="B24" i="8"/>
  <c r="B12" i="8"/>
  <c r="B29" i="8"/>
  <c r="B21" i="8"/>
  <c r="C20" i="8"/>
  <c r="C12" i="8"/>
  <c r="C32" i="8"/>
  <c r="C19" i="8"/>
  <c r="D26" i="8"/>
  <c r="F20" i="8"/>
  <c r="F4" i="8"/>
  <c r="D30" i="8"/>
  <c r="E16" i="8"/>
  <c r="E33" i="8"/>
  <c r="E7" i="8"/>
  <c r="E10" i="8"/>
  <c r="D14" i="8"/>
  <c r="D21" i="8"/>
  <c r="D3" i="8"/>
  <c r="G25" i="8"/>
  <c r="G37" i="8"/>
  <c r="E35" i="8"/>
  <c r="G12" i="8"/>
  <c r="F31" i="8"/>
  <c r="E37" i="8"/>
  <c r="F19" i="8"/>
  <c r="F11" i="8"/>
  <c r="F3" i="8"/>
  <c r="E2" i="8"/>
  <c r="E15" i="8"/>
  <c r="E30" i="8"/>
  <c r="E32" i="8"/>
  <c r="E6" i="8"/>
  <c r="D7" i="8"/>
  <c r="D16" i="8"/>
  <c r="D22" i="8"/>
  <c r="G24" i="8"/>
  <c r="G36" i="8"/>
  <c r="F2" i="8"/>
  <c r="G10" i="8"/>
  <c r="F30" i="8"/>
  <c r="B15" i="8"/>
  <c r="B25" i="8"/>
  <c r="B5" i="8"/>
  <c r="B6" i="8"/>
  <c r="B19" i="8"/>
  <c r="C14" i="8"/>
  <c r="C4" i="8"/>
  <c r="C30" i="8"/>
  <c r="C13" i="8"/>
  <c r="F37" i="8"/>
  <c r="F29" i="8"/>
  <c r="F26" i="8"/>
  <c r="F18" i="8"/>
  <c r="F10" i="8"/>
  <c r="D36" i="8"/>
  <c r="E34" i="8"/>
  <c r="E12" i="8"/>
  <c r="E27" i="8"/>
  <c r="E29" i="8"/>
  <c r="G29" i="8"/>
  <c r="D11" i="8"/>
  <c r="D12" i="8"/>
  <c r="D17" i="8"/>
  <c r="G23" i="8"/>
  <c r="G35" i="8"/>
  <c r="G2" i="8"/>
  <c r="G3" i="8"/>
  <c r="B35" i="8"/>
  <c r="F12" i="8"/>
  <c r="B9" i="8"/>
  <c r="B8" i="8"/>
  <c r="B4" i="8"/>
  <c r="B20" i="8"/>
  <c r="C17" i="8"/>
  <c r="C10" i="8"/>
  <c r="C31" i="8"/>
  <c r="C16" i="8"/>
  <c r="D37" i="8"/>
  <c r="B23" i="8"/>
  <c r="B33" i="8"/>
  <c r="B36" i="8"/>
  <c r="B34" i="8"/>
  <c r="B17" i="8"/>
  <c r="C11" i="8"/>
  <c r="C37" i="8"/>
  <c r="C29" i="8"/>
  <c r="C9" i="8"/>
  <c r="F36" i="8"/>
  <c r="F28" i="8"/>
  <c r="F25" i="8"/>
  <c r="F17" i="8"/>
  <c r="F9" i="8"/>
  <c r="D35" i="8"/>
  <c r="E31" i="8"/>
  <c r="E9" i="8"/>
  <c r="E24" i="8"/>
  <c r="E26" i="8"/>
  <c r="G28" i="8"/>
  <c r="D23" i="8"/>
  <c r="D5" i="8"/>
  <c r="D13" i="8"/>
  <c r="G20" i="8"/>
  <c r="G34" i="8"/>
  <c r="G18" i="8"/>
  <c r="G11" i="8"/>
  <c r="G4" i="8"/>
  <c r="D39" i="6"/>
  <c r="D40" i="6"/>
  <c r="E3" i="8"/>
  <c r="D39" i="4"/>
  <c r="D40" i="4"/>
  <c r="F32" i="8"/>
  <c r="D40" i="5"/>
  <c r="F33" i="8"/>
  <c r="D39" i="5"/>
  <c r="D2" i="8"/>
  <c r="D40" i="3"/>
  <c r="D39" i="3"/>
  <c r="D15" i="2"/>
  <c r="C15" i="11" s="1"/>
  <c r="K1" i="11" s="1" a="1"/>
  <c r="C2" i="8"/>
  <c r="D40" i="1"/>
  <c r="D39" i="1"/>
  <c r="B2" i="8"/>
  <c r="K1" i="11" l="1"/>
  <c r="I1" i="7" s="1"/>
  <c r="AS9" i="7"/>
  <c r="AK9" i="7"/>
  <c r="AC9" i="7"/>
  <c r="U9" i="7"/>
  <c r="AQ8" i="7"/>
  <c r="AI8" i="7"/>
  <c r="AR7" i="7"/>
  <c r="AJ7" i="7"/>
  <c r="AB7" i="7"/>
  <c r="T7" i="7"/>
  <c r="L7" i="7"/>
  <c r="AO6" i="7"/>
  <c r="AG6" i="7"/>
  <c r="Y6" i="7"/>
  <c r="Q6" i="7"/>
  <c r="I6" i="7"/>
  <c r="AL5" i="7"/>
  <c r="AD5" i="7"/>
  <c r="V5" i="7"/>
  <c r="N5" i="7"/>
  <c r="AQ4" i="7"/>
  <c r="AI4" i="7"/>
  <c r="AA4" i="7"/>
  <c r="S4" i="7"/>
  <c r="K4" i="7"/>
  <c r="AN3" i="7"/>
  <c r="AF3" i="7"/>
  <c r="X3" i="7"/>
  <c r="P3" i="7"/>
  <c r="AS2" i="7"/>
  <c r="AK2" i="7"/>
  <c r="AC2" i="7"/>
  <c r="U2" i="7"/>
  <c r="M2" i="7"/>
  <c r="AP1" i="7"/>
  <c r="AH1" i="7"/>
  <c r="Z1" i="7"/>
  <c r="R1" i="7"/>
  <c r="J1" i="7"/>
  <c r="AR9" i="7"/>
  <c r="AJ9" i="7"/>
  <c r="AB9" i="7"/>
  <c r="T9" i="7"/>
  <c r="AP8" i="7"/>
  <c r="AH8" i="7"/>
  <c r="AQ7" i="7"/>
  <c r="AI7" i="7"/>
  <c r="AA7" i="7"/>
  <c r="S7" i="7"/>
  <c r="K7" i="7"/>
  <c r="AN6" i="7"/>
  <c r="AF6" i="7"/>
  <c r="X6" i="7"/>
  <c r="P6" i="7"/>
  <c r="AS5" i="7"/>
  <c r="AK5" i="7"/>
  <c r="AC5" i="7"/>
  <c r="U5" i="7"/>
  <c r="M5" i="7"/>
  <c r="AP4" i="7"/>
  <c r="AH4" i="7"/>
  <c r="Z4" i="7"/>
  <c r="R4" i="7"/>
  <c r="J4" i="7"/>
  <c r="AM3" i="7"/>
  <c r="AE3" i="7"/>
  <c r="W3" i="7"/>
  <c r="O3" i="7"/>
  <c r="AR2" i="7"/>
  <c r="AJ2" i="7"/>
  <c r="AB2" i="7"/>
  <c r="T2" i="7"/>
  <c r="L2" i="7"/>
  <c r="AO1" i="7"/>
  <c r="AG1" i="7"/>
  <c r="Y1" i="7"/>
  <c r="Q1" i="7"/>
  <c r="AQ9" i="7"/>
  <c r="AI9" i="7"/>
  <c r="AA9" i="7"/>
  <c r="S9" i="7"/>
  <c r="AO8" i="7"/>
  <c r="AG8" i="7"/>
  <c r="AP7" i="7"/>
  <c r="AH7" i="7"/>
  <c r="Z7" i="7"/>
  <c r="R7" i="7"/>
  <c r="J7" i="7"/>
  <c r="AM6" i="7"/>
  <c r="AE6" i="7"/>
  <c r="W6" i="7"/>
  <c r="O6" i="7"/>
  <c r="AR5" i="7"/>
  <c r="AJ5" i="7"/>
  <c r="AB5" i="7"/>
  <c r="T5" i="7"/>
  <c r="L5" i="7"/>
  <c r="AO4" i="7"/>
  <c r="AG4" i="7"/>
  <c r="Y4" i="7"/>
  <c r="Q4" i="7"/>
  <c r="I4" i="7"/>
  <c r="AL3" i="7"/>
  <c r="AD3" i="7"/>
  <c r="V3" i="7"/>
  <c r="N3" i="7"/>
  <c r="AQ2" i="7"/>
  <c r="AI2" i="7"/>
  <c r="AA2" i="7"/>
  <c r="S2" i="7"/>
  <c r="K2" i="7"/>
  <c r="AN1" i="7"/>
  <c r="AF1" i="7"/>
  <c r="X1" i="7"/>
  <c r="P1" i="7"/>
  <c r="AP9" i="7"/>
  <c r="AH9" i="7"/>
  <c r="Z9" i="7"/>
  <c r="R9" i="7"/>
  <c r="AN8" i="7"/>
  <c r="AF8" i="7"/>
  <c r="AO7" i="7"/>
  <c r="AG7" i="7"/>
  <c r="Y7" i="7"/>
  <c r="Q7" i="7"/>
  <c r="I7" i="7"/>
  <c r="AL6" i="7"/>
  <c r="AD6" i="7"/>
  <c r="V6" i="7"/>
  <c r="N6" i="7"/>
  <c r="AQ5" i="7"/>
  <c r="AI5" i="7"/>
  <c r="AA5" i="7"/>
  <c r="S5" i="7"/>
  <c r="K5" i="7"/>
  <c r="AN4" i="7"/>
  <c r="AF4" i="7"/>
  <c r="X4" i="7"/>
  <c r="P4" i="7"/>
  <c r="AS3" i="7"/>
  <c r="AK3" i="7"/>
  <c r="AC3" i="7"/>
  <c r="U3" i="7"/>
  <c r="M3" i="7"/>
  <c r="AP2" i="7"/>
  <c r="AH2" i="7"/>
  <c r="Z2" i="7"/>
  <c r="R2" i="7"/>
  <c r="J2" i="7"/>
  <c r="AM1" i="7"/>
  <c r="AE1" i="7"/>
  <c r="W1" i="7"/>
  <c r="O1" i="7"/>
  <c r="AO9" i="7"/>
  <c r="AG9" i="7"/>
  <c r="Y9" i="7"/>
  <c r="Q9" i="7"/>
  <c r="AM8" i="7"/>
  <c r="AE8" i="7"/>
  <c r="AN7" i="7"/>
  <c r="AF7" i="7"/>
  <c r="X7" i="7"/>
  <c r="P7" i="7"/>
  <c r="AS6" i="7"/>
  <c r="AK6" i="7"/>
  <c r="AC6" i="7"/>
  <c r="U6" i="7"/>
  <c r="M6" i="7"/>
  <c r="AP5" i="7"/>
  <c r="AH5" i="7"/>
  <c r="Z5" i="7"/>
  <c r="R5" i="7"/>
  <c r="J5" i="7"/>
  <c r="AM4" i="7"/>
  <c r="AE4" i="7"/>
  <c r="W4" i="7"/>
  <c r="O4" i="7"/>
  <c r="AR3" i="7"/>
  <c r="AJ3" i="7"/>
  <c r="AB3" i="7"/>
  <c r="T3" i="7"/>
  <c r="L3" i="7"/>
  <c r="AO2" i="7"/>
  <c r="AG2" i="7"/>
  <c r="Y2" i="7"/>
  <c r="Q2" i="7"/>
  <c r="I2" i="7"/>
  <c r="AL1" i="7"/>
  <c r="AD1" i="7"/>
  <c r="V1" i="7"/>
  <c r="N1" i="7"/>
  <c r="AN9" i="7"/>
  <c r="AF9" i="7"/>
  <c r="X9" i="7"/>
  <c r="I9" i="7"/>
  <c r="AL8" i="7"/>
  <c r="AD8" i="7"/>
  <c r="AM7" i="7"/>
  <c r="AE7" i="7"/>
  <c r="W7" i="7"/>
  <c r="O7" i="7"/>
  <c r="AR6" i="7"/>
  <c r="AJ6" i="7"/>
  <c r="AB6" i="7"/>
  <c r="T6" i="7"/>
  <c r="L6" i="7"/>
  <c r="AO5" i="7"/>
  <c r="AG5" i="7"/>
  <c r="Y5" i="7"/>
  <c r="Q5" i="7"/>
  <c r="I5" i="7"/>
  <c r="AL4" i="7"/>
  <c r="AD4" i="7"/>
  <c r="V4" i="7"/>
  <c r="N4" i="7"/>
  <c r="AQ3" i="7"/>
  <c r="AI3" i="7"/>
  <c r="AA3" i="7"/>
  <c r="S3" i="7"/>
  <c r="K3" i="7"/>
  <c r="AN2" i="7"/>
  <c r="AF2" i="7"/>
  <c r="X2" i="7"/>
  <c r="P2" i="7"/>
  <c r="AS1" i="7"/>
  <c r="AK1" i="7"/>
  <c r="AC1" i="7"/>
  <c r="U1" i="7"/>
  <c r="M1" i="7"/>
  <c r="AM9" i="7"/>
  <c r="AE9" i="7"/>
  <c r="W9" i="7"/>
  <c r="AS8" i="7"/>
  <c r="AK8" i="7"/>
  <c r="I8" i="7"/>
  <c r="AL7" i="7"/>
  <c r="AD7" i="7"/>
  <c r="V7" i="7"/>
  <c r="N7" i="7"/>
  <c r="AQ6" i="7"/>
  <c r="AI6" i="7"/>
  <c r="AA6" i="7"/>
  <c r="S6" i="7"/>
  <c r="K6" i="7"/>
  <c r="AN5" i="7"/>
  <c r="AF5" i="7"/>
  <c r="X5" i="7"/>
  <c r="P5" i="7"/>
  <c r="AS4" i="7"/>
  <c r="AK4" i="7"/>
  <c r="AC4" i="7"/>
  <c r="U4" i="7"/>
  <c r="M4" i="7"/>
  <c r="AP3" i="7"/>
  <c r="AH3" i="7"/>
  <c r="Z3" i="7"/>
  <c r="R3" i="7"/>
  <c r="J3" i="7"/>
  <c r="AM2" i="7"/>
  <c r="AE2" i="7"/>
  <c r="W2" i="7"/>
  <c r="O2" i="7"/>
  <c r="AR1" i="7"/>
  <c r="AJ1" i="7"/>
  <c r="AB1" i="7"/>
  <c r="T1" i="7"/>
  <c r="L1" i="7"/>
  <c r="AL9" i="7"/>
  <c r="AD9" i="7"/>
  <c r="V9" i="7"/>
  <c r="AR8" i="7"/>
  <c r="AJ8" i="7"/>
  <c r="AS7" i="7"/>
  <c r="AK7" i="7"/>
  <c r="AC7" i="7"/>
  <c r="U7" i="7"/>
  <c r="M7" i="7"/>
  <c r="AP6" i="7"/>
  <c r="AH6" i="7"/>
  <c r="Z6" i="7"/>
  <c r="R6" i="7"/>
  <c r="J6" i="7"/>
  <c r="AM5" i="7"/>
  <c r="AE5" i="7"/>
  <c r="W5" i="7"/>
  <c r="O5" i="7"/>
  <c r="AR4" i="7"/>
  <c r="AJ4" i="7"/>
  <c r="AB4" i="7"/>
  <c r="T4" i="7"/>
  <c r="L4" i="7"/>
  <c r="AO3" i="7"/>
  <c r="AG3" i="7"/>
  <c r="Y3" i="7"/>
  <c r="Q3" i="7"/>
  <c r="I3" i="7"/>
  <c r="AL2" i="7"/>
  <c r="AD2" i="7"/>
  <c r="V2" i="7"/>
  <c r="N2" i="7"/>
  <c r="AQ1" i="7"/>
  <c r="AI1" i="7"/>
  <c r="AA1" i="7"/>
  <c r="S1" i="7"/>
  <c r="K1" i="7"/>
  <c r="D40" i="2"/>
  <c r="C40" i="8" s="1"/>
  <c r="F40" i="8"/>
  <c r="E40" i="8"/>
  <c r="E39" i="8"/>
  <c r="D39" i="8"/>
  <c r="D40" i="8"/>
  <c r="G40" i="8"/>
  <c r="B39" i="8"/>
  <c r="G39" i="8"/>
  <c r="F39" i="8"/>
  <c r="B40" i="8"/>
  <c r="C15" i="8"/>
  <c r="I1" i="8" s="1" a="1"/>
  <c r="D39" i="2"/>
  <c r="C39" i="8" l="1"/>
  <c r="AO1" i="8"/>
  <c r="K1" i="8"/>
  <c r="AJ4" i="8"/>
  <c r="Z7" i="8"/>
  <c r="R2" i="8"/>
  <c r="T6" i="8"/>
  <c r="W5" i="8"/>
  <c r="Z2" i="8"/>
  <c r="AK5" i="8"/>
  <c r="V4" i="8"/>
  <c r="O4" i="8"/>
  <c r="AP2" i="8"/>
  <c r="Q6" i="8"/>
  <c r="R1" i="8"/>
  <c r="N4" i="8"/>
  <c r="U2" i="8"/>
  <c r="AD7" i="8"/>
  <c r="I1" i="8"/>
  <c r="J6" i="8"/>
  <c r="M3" i="8"/>
  <c r="Q2" i="8"/>
  <c r="J7" i="8"/>
  <c r="W3" i="8"/>
  <c r="AQ5" i="8"/>
  <c r="AH7" i="8"/>
  <c r="U4" i="8"/>
  <c r="L2" i="8"/>
  <c r="AG2" i="8"/>
  <c r="AC4" i="8"/>
  <c r="AA7" i="8"/>
  <c r="AD1" i="8"/>
  <c r="W1" i="8"/>
  <c r="R7" i="8"/>
  <c r="T3" i="8"/>
  <c r="AI4" i="8"/>
  <c r="N7" i="8"/>
  <c r="K4" i="8"/>
  <c r="R5" i="8"/>
  <c r="V2" i="8"/>
  <c r="Q1" i="8"/>
  <c r="O5" i="8"/>
  <c r="Q4" i="8"/>
  <c r="AR4" i="8"/>
  <c r="AC7" i="8"/>
  <c r="M5" i="8"/>
  <c r="T5" i="8"/>
  <c r="K7" i="8"/>
  <c r="M6" i="8"/>
  <c r="AF3" i="8"/>
  <c r="Z6" i="8"/>
  <c r="AJ3" i="8"/>
  <c r="AQ1" i="8"/>
  <c r="AN7" i="8"/>
  <c r="AC2" i="8"/>
  <c r="AL4" i="8"/>
  <c r="AM1" i="8"/>
  <c r="I5" i="8"/>
  <c r="Z3" i="8"/>
  <c r="AK4" i="8"/>
  <c r="AL3" i="8"/>
  <c r="AH3" i="8"/>
  <c r="I4" i="8"/>
  <c r="AF6" i="8"/>
  <c r="V1" i="8"/>
  <c r="AJ6" i="8"/>
  <c r="AD6" i="8"/>
  <c r="AG6" i="8"/>
  <c r="AF4" i="8"/>
  <c r="AO6" i="8"/>
  <c r="Y7" i="8"/>
  <c r="V5" i="8"/>
  <c r="AR3" i="8"/>
  <c r="Y4" i="8"/>
  <c r="AG3" i="8"/>
  <c r="AO4" i="8"/>
  <c r="AO5" i="8"/>
  <c r="N2" i="8"/>
  <c r="S7" i="8"/>
  <c r="AG4" i="8"/>
  <c r="Y5" i="8"/>
  <c r="AD5" i="8"/>
  <c r="N6" i="8"/>
  <c r="AJ2" i="8"/>
  <c r="P2" i="8"/>
  <c r="S5" i="8"/>
  <c r="Y6" i="8"/>
  <c r="AR5" i="8"/>
  <c r="AO3" i="8"/>
  <c r="AA2" i="8"/>
  <c r="AL6" i="8"/>
  <c r="AH4" i="8"/>
  <c r="K3" i="8"/>
  <c r="N3" i="8"/>
  <c r="J3" i="8"/>
  <c r="AQ6" i="8"/>
  <c r="AN6" i="8"/>
  <c r="AF2" i="8"/>
  <c r="AH1" i="8"/>
  <c r="AM7" i="8"/>
  <c r="AP1" i="8"/>
  <c r="AR1" i="8"/>
  <c r="AS7" i="8"/>
  <c r="T7" i="8"/>
  <c r="AD3" i="8"/>
  <c r="P6" i="8"/>
  <c r="P4" i="8"/>
  <c r="AS6" i="8"/>
  <c r="U7" i="8"/>
  <c r="X5" i="8"/>
  <c r="M7" i="8"/>
  <c r="AR6" i="8"/>
  <c r="AE1" i="8"/>
  <c r="T4" i="8"/>
  <c r="O3" i="8"/>
  <c r="Y2" i="8"/>
  <c r="J5" i="8"/>
  <c r="AK1" i="8"/>
  <c r="AQ4" i="8"/>
  <c r="I7" i="8"/>
  <c r="N5" i="8"/>
  <c r="AJ1" i="8"/>
  <c r="AB2" i="8"/>
  <c r="N1" i="8"/>
  <c r="AF7" i="8"/>
  <c r="P3" i="8"/>
  <c r="X2" i="8"/>
  <c r="P7" i="8"/>
  <c r="X3" i="8"/>
  <c r="L5" i="8"/>
  <c r="AL7" i="8"/>
  <c r="AG1" i="8"/>
  <c r="I6" i="8"/>
  <c r="AR2" i="8"/>
  <c r="AP3" i="8"/>
  <c r="AI6" i="8"/>
  <c r="R4" i="8"/>
  <c r="AS1" i="8"/>
  <c r="L1" i="8"/>
  <c r="AE5" i="8"/>
  <c r="AP5" i="8"/>
  <c r="AI3" i="8"/>
  <c r="AK7" i="8"/>
  <c r="AC1" i="8"/>
  <c r="W2" i="8"/>
  <c r="S1" i="8"/>
  <c r="AN1" i="8"/>
  <c r="AG5" i="8"/>
  <c r="AH5" i="8"/>
  <c r="L7" i="8"/>
  <c r="R3" i="8"/>
  <c r="T2" i="8"/>
  <c r="W7" i="8"/>
  <c r="O2" i="8"/>
  <c r="AJ7" i="8"/>
  <c r="X6" i="8"/>
  <c r="Y1" i="8"/>
  <c r="AB1" i="8"/>
  <c r="AS5" i="8"/>
  <c r="AA6" i="8"/>
  <c r="M4" i="8"/>
  <c r="AA3" i="8"/>
  <c r="AE7" i="8"/>
  <c r="AP7" i="8"/>
  <c r="V3" i="8"/>
  <c r="U5" i="8"/>
  <c r="AM2" i="8"/>
  <c r="AB4" i="8"/>
  <c r="M1" i="8"/>
  <c r="AR7" i="8"/>
  <c r="X1" i="8"/>
  <c r="S4" i="8"/>
  <c r="U6" i="8"/>
  <c r="AF5" i="8"/>
  <c r="O7" i="8"/>
  <c r="AC5" i="8"/>
  <c r="P5" i="8"/>
  <c r="V6" i="8"/>
  <c r="AA4" i="8"/>
  <c r="T1" i="8"/>
  <c r="AP6" i="8"/>
  <c r="O6" i="8"/>
  <c r="AC6" i="8"/>
  <c r="Q7" i="8"/>
  <c r="AK6" i="8"/>
  <c r="AN3" i="8"/>
  <c r="J2" i="8"/>
  <c r="AN5" i="8"/>
  <c r="AG7" i="8"/>
  <c r="AN4" i="8"/>
  <c r="Q3" i="8"/>
  <c r="AH6" i="8"/>
  <c r="AQ7" i="8"/>
  <c r="AL1" i="8"/>
  <c r="P1" i="8"/>
  <c r="AB7" i="8"/>
  <c r="AI2" i="8"/>
  <c r="AM5" i="8"/>
  <c r="R6" i="8"/>
  <c r="AI5" i="8"/>
  <c r="AB6" i="8"/>
  <c r="X4" i="8"/>
  <c r="W4" i="8"/>
  <c r="AH2" i="8"/>
  <c r="AO2" i="8"/>
  <c r="S2" i="8"/>
  <c r="M2" i="8"/>
  <c r="L3" i="8"/>
  <c r="O1" i="8"/>
  <c r="Y3" i="8"/>
  <c r="AM3" i="8"/>
  <c r="AN2" i="8"/>
  <c r="AA1" i="8"/>
  <c r="AQ3" i="8"/>
  <c r="AC3" i="8"/>
  <c r="U1" i="8"/>
  <c r="I3" i="8"/>
  <c r="W6" i="8"/>
  <c r="V7" i="8"/>
  <c r="S6" i="8"/>
  <c r="AI1" i="8"/>
  <c r="Q5" i="8"/>
  <c r="J4" i="8"/>
  <c r="K5" i="8"/>
  <c r="AE6" i="8"/>
  <c r="AO7" i="8"/>
  <c r="AK2" i="8"/>
  <c r="AP4" i="8"/>
  <c r="AB3" i="8"/>
  <c r="AI7" i="8"/>
  <c r="S3" i="8"/>
  <c r="AM4" i="8"/>
  <c r="AF1" i="8"/>
  <c r="AE2" i="8"/>
  <c r="AQ2" i="8"/>
  <c r="K2" i="8"/>
  <c r="U3" i="8"/>
  <c r="Z1" i="8"/>
  <c r="AK3" i="8"/>
  <c r="AA5" i="8"/>
  <c r="I2" i="8"/>
  <c r="AE3" i="8"/>
  <c r="L6" i="8"/>
  <c r="AS2" i="8"/>
  <c r="AE4" i="8"/>
  <c r="J1" i="8"/>
  <c r="AS4" i="8"/>
  <c r="Z4" i="8"/>
  <c r="AD4" i="8"/>
  <c r="AS3" i="8"/>
  <c r="AL5" i="8"/>
  <c r="X7" i="8"/>
  <c r="Z5" i="8"/>
  <c r="AL2" i="8"/>
  <c r="AJ5" i="8"/>
  <c r="AD2" i="8"/>
  <c r="K6" i="8"/>
  <c r="L4" i="8"/>
  <c r="AM6" i="8"/>
  <c r="AB5" i="8"/>
  <c r="I44" i="7" l="1"/>
  <c r="I42" i="7"/>
  <c r="I43" i="7"/>
  <c r="I40" i="7"/>
  <c r="I41" i="7"/>
  <c r="I4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<sst xmlns="http://schemas.openxmlformats.org/spreadsheetml/2006/main" count="71" uniqueCount="24">
  <si>
    <t>Year</t>
    <phoneticPr fontId="1" type="noConversion"/>
  </si>
  <si>
    <t>Percentage</t>
    <phoneticPr fontId="1" type="noConversion"/>
  </si>
  <si>
    <t>Clinical trial</t>
    <phoneticPr fontId="1" type="noConversion"/>
  </si>
  <si>
    <t>Meta-analysis</t>
    <phoneticPr fontId="1" type="noConversion"/>
  </si>
  <si>
    <t>Review</t>
    <phoneticPr fontId="1" type="noConversion"/>
  </si>
  <si>
    <t>All MEDLINE</t>
    <phoneticPr fontId="1" type="noConversion"/>
  </si>
  <si>
    <t>MAX</t>
    <phoneticPr fontId="1" type="noConversion"/>
  </si>
  <si>
    <t>MIN</t>
    <phoneticPr fontId="1" type="noConversion"/>
  </si>
  <si>
    <t>SUM</t>
    <phoneticPr fontId="1" type="noConversion"/>
  </si>
  <si>
    <t>Randomized controlled trial</t>
    <phoneticPr fontId="1" type="noConversion"/>
  </si>
  <si>
    <t>Article Category</t>
  </si>
  <si>
    <t>Abstracts, No</t>
  </si>
  <si>
    <t>Abstracts Reporting P Values, No. (range per year)</t>
  </si>
  <si>
    <t>Observational study</t>
  </si>
  <si>
    <t>Observational study</t>
    <phoneticPr fontId="1" type="noConversion"/>
  </si>
  <si>
    <t>Systematic review</t>
  </si>
  <si>
    <t>Systematic review</t>
    <phoneticPr fontId="1" type="noConversion"/>
  </si>
  <si>
    <t xml:space="preserve">
</t>
    <phoneticPr fontId="1" type="noConversion"/>
  </si>
  <si>
    <t>71913 (9-8563)</t>
    <phoneticPr fontId="1" type="noConversion"/>
  </si>
  <si>
    <t>107193 (19-11186)</t>
    <phoneticPr fontId="1" type="noConversion"/>
  </si>
  <si>
    <t>HasPvalue same or lower than n=5 excluded</t>
    <phoneticPr fontId="1" type="noConversion"/>
  </si>
  <si>
    <t>Clinical useful journal</t>
    <phoneticPr fontId="1" type="noConversion"/>
  </si>
  <si>
    <t>All PubMed</t>
    <phoneticPr fontId="1" type="noConversion"/>
  </si>
  <si>
    <t>Clinically Useful Journals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</si>
</sst>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Randomized controlled trial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>
                <a:softEdge rad="0"/>
              </a:effectLst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Sheet1!$J$2:$AS$2</c:f>
              <c:numCache>
                <c:formatCode>General</c:formatCode>
                <c:ptCount val="36"/>
                <c:pt idx="0">
                  <c:v>27.27272727272727</c:v>
                </c:pt>
                <c:pt idx="1">
                  <c:v>50</c:v>
                </c:pt>
                <c:pt idx="2">
                  <c:v>37.5</c:v>
                </c:pt>
                <c:pt idx="3">
                  <c:v>48.275862068965516</c:v>
                </c:pt>
                <c:pt idx="4">
                  <c:v>50</c:v>
                </c:pt>
                <c:pt idx="5">
                  <c:v>51.724137931034484</c:v>
                </c:pt>
                <c:pt idx="6">
                  <c:v>41.860465116279073</c:v>
                </c:pt>
                <c:pt idx="7">
                  <c:v>60.714285714285708</c:v>
                </c:pt>
                <c:pt idx="8">
                  <c:v>58.139534883720934</c:v>
                </c:pt>
                <c:pt idx="9">
                  <c:v>43.243243243243242</c:v>
                </c:pt>
                <c:pt idx="10">
                  <c:v>46.666666666666664</c:v>
                </c:pt>
                <c:pt idx="11">
                  <c:v>52.307692307692314</c:v>
                </c:pt>
                <c:pt idx="12">
                  <c:v>45.333333333333329</c:v>
                </c:pt>
                <c:pt idx="13">
                  <c:v>47.368421052631575</c:v>
                </c:pt>
                <c:pt idx="14">
                  <c:v>44.375</c:v>
                </c:pt>
                <c:pt idx="15">
                  <c:v>47.179487179487175</c:v>
                </c:pt>
                <c:pt idx="16">
                  <c:v>46.768060836501903</c:v>
                </c:pt>
                <c:pt idx="17">
                  <c:v>44.306418219461698</c:v>
                </c:pt>
                <c:pt idx="18">
                  <c:v>43.873517786561266</c:v>
                </c:pt>
                <c:pt idx="19">
                  <c:v>40.68582020389249</c:v>
                </c:pt>
                <c:pt idx="20">
                  <c:v>41.164383561643838</c:v>
                </c:pt>
                <c:pt idx="21">
                  <c:v>39.049485546300829</c:v>
                </c:pt>
                <c:pt idx="22">
                  <c:v>38.877835256665335</c:v>
                </c:pt>
                <c:pt idx="23">
                  <c:v>40.034762456546929</c:v>
                </c:pt>
                <c:pt idx="24">
                  <c:v>41.674528301886795</c:v>
                </c:pt>
                <c:pt idx="25">
                  <c:v>41.744680851063833</c:v>
                </c:pt>
                <c:pt idx="26">
                  <c:v>44.022169437846401</c:v>
                </c:pt>
                <c:pt idx="27">
                  <c:v>43.878854223681813</c:v>
                </c:pt>
                <c:pt idx="28">
                  <c:v>48.906485671191554</c:v>
                </c:pt>
                <c:pt idx="29">
                  <c:v>51.014492753623188</c:v>
                </c:pt>
                <c:pt idx="30">
                  <c:v>51.840796019900495</c:v>
                </c:pt>
                <c:pt idx="31">
                  <c:v>53.277476589452931</c:v>
                </c:pt>
                <c:pt idx="32">
                  <c:v>53.958398013039435</c:v>
                </c:pt>
                <c:pt idx="33">
                  <c:v>54.21656686626747</c:v>
                </c:pt>
                <c:pt idx="34">
                  <c:v>58.101207056638813</c:v>
                </c:pt>
                <c:pt idx="35">
                  <c:v>57.904308897593737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3-7049-B02C-E52CFC1D189F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Clinical trial</c:v>
                </c:pt>
              </c:strCache>
            </c:strRef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Sheet1!$J$3:$AS$3</c:f>
              <c:numCache>
                <c:formatCode>General</c:formatCode>
                <c:ptCount val="36"/>
                <c:pt idx="0">
                  <c:v>10</c:v>
                </c:pt>
                <c:pt idx="1">
                  <c:v>10.714285714285714</c:v>
                </c:pt>
                <c:pt idx="2">
                  <c:v>6.666666666666667</c:v>
                </c:pt>
                <c:pt idx="3">
                  <c:v>20.930232558139537</c:v>
                </c:pt>
                <c:pt idx="4">
                  <c:v>23.333333333333332</c:v>
                </c:pt>
                <c:pt idx="5">
                  <c:v>17.1875</c:v>
                </c:pt>
                <c:pt idx="6">
                  <c:v>12.903225806451612</c:v>
                </c:pt>
                <c:pt idx="7">
                  <c:v>20.588235294117645</c:v>
                </c:pt>
                <c:pt idx="8">
                  <c:v>22.105263157894736</c:v>
                </c:pt>
                <c:pt idx="9">
                  <c:v>22.330097087378643</c:v>
                </c:pt>
                <c:pt idx="10">
                  <c:v>25.97402597402597</c:v>
                </c:pt>
                <c:pt idx="11">
                  <c:v>30.952380952380953</c:v>
                </c:pt>
                <c:pt idx="12">
                  <c:v>12.222222222222221</c:v>
                </c:pt>
                <c:pt idx="13">
                  <c:v>24.770642201834864</c:v>
                </c:pt>
                <c:pt idx="14">
                  <c:v>28.640776699029125</c:v>
                </c:pt>
                <c:pt idx="15">
                  <c:v>29.230769230769234</c:v>
                </c:pt>
                <c:pt idx="16">
                  <c:v>43.511450381679388</c:v>
                </c:pt>
                <c:pt idx="17">
                  <c:v>34.810126582278485</c:v>
                </c:pt>
                <c:pt idx="18">
                  <c:v>40.109890109890109</c:v>
                </c:pt>
                <c:pt idx="19">
                  <c:v>43.18181818181818</c:v>
                </c:pt>
                <c:pt idx="20">
                  <c:v>34.254143646408842</c:v>
                </c:pt>
                <c:pt idx="21">
                  <c:v>37.08086785009862</c:v>
                </c:pt>
                <c:pt idx="22">
                  <c:v>37.341040462427742</c:v>
                </c:pt>
                <c:pt idx="23">
                  <c:v>35.307692307692307</c:v>
                </c:pt>
                <c:pt idx="24">
                  <c:v>37.250859106529212</c:v>
                </c:pt>
                <c:pt idx="25">
                  <c:v>39.121482498284145</c:v>
                </c:pt>
                <c:pt idx="26">
                  <c:v>41.717376605814735</c:v>
                </c:pt>
                <c:pt idx="27">
                  <c:v>41.441441441441441</c:v>
                </c:pt>
                <c:pt idx="28">
                  <c:v>37.946183415705661</c:v>
                </c:pt>
                <c:pt idx="29">
                  <c:v>38.443506797937175</c:v>
                </c:pt>
                <c:pt idx="30">
                  <c:v>39.082855653986456</c:v>
                </c:pt>
                <c:pt idx="31">
                  <c:v>38.511749347258487</c:v>
                </c:pt>
                <c:pt idx="32">
                  <c:v>41.342756183745585</c:v>
                </c:pt>
                <c:pt idx="33">
                  <c:v>44.098205854579788</c:v>
                </c:pt>
                <c:pt idx="34">
                  <c:v>46.136618141097422</c:v>
                </c:pt>
                <c:pt idx="35">
                  <c:v>51.330203442879494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3-7049-B02C-E52CFC1D189F}"/>
            </c:ext>
          </c:extLst>
        </c:ser>
        <c:ser>
          <c:idx val="2"/>
          <c:order val="2"/>
          <c:tx>
            <c:strRef>
              <c:f>Sheet1!$I$4</c:f>
              <c:strCache>
                <c:ptCount val="1"/>
                <c:pt idx="0">
                  <c:v>Meta-analysis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Sheet1!$J$4:$AS$4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36.363636363636367</c:v>
                </c:pt>
                <c:pt idx="11">
                  <c:v>16.666666666666664</c:v>
                </c:pt>
                <c:pt idx="12">
                  <c:v>30.76923076923077</c:v>
                </c:pt>
                <c:pt idx="13">
                  <c:v>23.52941176470588</c:v>
                </c:pt>
                <c:pt idx="14">
                  <c:v>21.875</c:v>
                </c:pt>
                <c:pt idx="15">
                  <c:v>22.916666666666664</c:v>
                </c:pt>
                <c:pt idx="16">
                  <c:v>28.125</c:v>
                </c:pt>
                <c:pt idx="17">
                  <c:v>21.276595744680851</c:v>
                </c:pt>
                <c:pt idx="18">
                  <c:v>28.767123287671232</c:v>
                </c:pt>
                <c:pt idx="19">
                  <c:v>34.597156398104268</c:v>
                </c:pt>
                <c:pt idx="20">
                  <c:v>30.124223602484474</c:v>
                </c:pt>
                <c:pt idx="21">
                  <c:v>34.874759152215802</c:v>
                </c:pt>
                <c:pt idx="22">
                  <c:v>33.253012048192772</c:v>
                </c:pt>
                <c:pt idx="23">
                  <c:v>36.714285714285715</c:v>
                </c:pt>
                <c:pt idx="24">
                  <c:v>39.523551705468329</c:v>
                </c:pt>
                <c:pt idx="25">
                  <c:v>39.33946488294314</c:v>
                </c:pt>
                <c:pt idx="26">
                  <c:v>39.719789842381786</c:v>
                </c:pt>
                <c:pt idx="27">
                  <c:v>42.430345753608592</c:v>
                </c:pt>
                <c:pt idx="28">
                  <c:v>43.252476938845234</c:v>
                </c:pt>
                <c:pt idx="29">
                  <c:v>40.738743596656782</c:v>
                </c:pt>
                <c:pt idx="30">
                  <c:v>40.247810296945097</c:v>
                </c:pt>
                <c:pt idx="31">
                  <c:v>38.356164383561641</c:v>
                </c:pt>
                <c:pt idx="32">
                  <c:v>40.999551099805473</c:v>
                </c:pt>
                <c:pt idx="33">
                  <c:v>42.85278878390735</c:v>
                </c:pt>
                <c:pt idx="34">
                  <c:v>43.597291727995291</c:v>
                </c:pt>
                <c:pt idx="35">
                  <c:v>43.211311253147393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3-7049-B02C-E52CFC1D189F}"/>
            </c:ext>
          </c:extLst>
        </c:ser>
        <c:ser>
          <c:idx val="3"/>
          <c:order val="3"/>
          <c:tx>
            <c:strRef>
              <c:f>Sheet1!$I$5</c:f>
              <c:strCache>
                <c:ptCount val="1"/>
                <c:pt idx="0">
                  <c:v>Review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Sheet1!$J$5:$AS$5</c:f>
              <c:numCache>
                <c:formatCode>General</c:formatCode>
                <c:ptCount val="36"/>
                <c:pt idx="0">
                  <c:v>0.6097560975609756</c:v>
                </c:pt>
                <c:pt idx="1">
                  <c:v>0.61728395061728392</c:v>
                </c:pt>
                <c:pt idx="2">
                  <c:v>0</c:v>
                </c:pt>
                <c:pt idx="3">
                  <c:v>1.0309278350515463</c:v>
                </c:pt>
                <c:pt idx="4">
                  <c:v>0.4098360655737705</c:v>
                </c:pt>
                <c:pt idx="5">
                  <c:v>0.48543689320388345</c:v>
                </c:pt>
                <c:pt idx="6">
                  <c:v>0</c:v>
                </c:pt>
                <c:pt idx="7">
                  <c:v>2.0905923344947737</c:v>
                </c:pt>
                <c:pt idx="8">
                  <c:v>0.3115264797507788</c:v>
                </c:pt>
                <c:pt idx="9">
                  <c:v>0.81300813008130091</c:v>
                </c:pt>
                <c:pt idx="10">
                  <c:v>0.46296296296296291</c:v>
                </c:pt>
                <c:pt idx="11">
                  <c:v>0.56497175141242939</c:v>
                </c:pt>
                <c:pt idx="12">
                  <c:v>0</c:v>
                </c:pt>
                <c:pt idx="13">
                  <c:v>0.32786885245901637</c:v>
                </c:pt>
                <c:pt idx="14">
                  <c:v>0.75093867334167708</c:v>
                </c:pt>
                <c:pt idx="15">
                  <c:v>0.22346368715083798</c:v>
                </c:pt>
                <c:pt idx="16">
                  <c:v>0.6531678641410843</c:v>
                </c:pt>
                <c:pt idx="17">
                  <c:v>0.52785923753665687</c:v>
                </c:pt>
                <c:pt idx="18">
                  <c:v>0.62230732407850642</c:v>
                </c:pt>
                <c:pt idx="19">
                  <c:v>0.39032006245120998</c:v>
                </c:pt>
                <c:pt idx="20">
                  <c:v>0.72426280393171238</c:v>
                </c:pt>
                <c:pt idx="21">
                  <c:v>0.79635949943117168</c:v>
                </c:pt>
                <c:pt idx="22">
                  <c:v>0.61016949152542377</c:v>
                </c:pt>
                <c:pt idx="23">
                  <c:v>0.77961589655828112</c:v>
                </c:pt>
                <c:pt idx="24">
                  <c:v>0.87131764566415748</c:v>
                </c:pt>
                <c:pt idx="25">
                  <c:v>1.1093925009333832</c:v>
                </c:pt>
                <c:pt idx="26">
                  <c:v>1.2807741568236801</c:v>
                </c:pt>
                <c:pt idx="27">
                  <c:v>1.1302995924198496</c:v>
                </c:pt>
                <c:pt idx="28">
                  <c:v>1.4444917660420216</c:v>
                </c:pt>
                <c:pt idx="29">
                  <c:v>1.4611984282907662</c:v>
                </c:pt>
                <c:pt idx="30">
                  <c:v>1.2918139787870546</c:v>
                </c:pt>
                <c:pt idx="31">
                  <c:v>1.4474590276821373</c:v>
                </c:pt>
                <c:pt idx="32">
                  <c:v>2.0819887962413195</c:v>
                </c:pt>
                <c:pt idx="33">
                  <c:v>2.3129155467534304</c:v>
                </c:pt>
                <c:pt idx="34">
                  <c:v>2.1722420366498585</c:v>
                </c:pt>
                <c:pt idx="35">
                  <c:v>2.3218418808624679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3-7049-B02C-E52CFC1D189F}"/>
            </c:ext>
          </c:extLst>
        </c:ser>
        <c:ser>
          <c:idx val="4"/>
          <c:order val="4"/>
          <c:tx>
            <c:strRef>
              <c:f>Sheet1!$I$6</c:f>
              <c:strCache>
                <c:ptCount val="1"/>
                <c:pt idx="0">
                  <c:v>Clinically Useful Journals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Sheet1!$J$6:$AS$6</c:f>
              <c:numCache>
                <c:formatCode>General</c:formatCode>
                <c:ptCount val="36"/>
                <c:pt idx="0">
                  <c:v>15.384615384615385</c:v>
                </c:pt>
                <c:pt idx="1">
                  <c:v>19.736842105263158</c:v>
                </c:pt>
                <c:pt idx="2">
                  <c:v>21.024258760107816</c:v>
                </c:pt>
                <c:pt idx="3">
                  <c:v>21.633554083885208</c:v>
                </c:pt>
                <c:pt idx="4">
                  <c:v>26.376146788990823</c:v>
                </c:pt>
                <c:pt idx="5">
                  <c:v>23.46153846153846</c:v>
                </c:pt>
                <c:pt idx="6">
                  <c:v>22.626582278481013</c:v>
                </c:pt>
                <c:pt idx="7">
                  <c:v>25.177304964539005</c:v>
                </c:pt>
                <c:pt idx="8">
                  <c:v>27.014925373134329</c:v>
                </c:pt>
                <c:pt idx="9">
                  <c:v>24.537607891491987</c:v>
                </c:pt>
                <c:pt idx="10">
                  <c:v>26.020408163265309</c:v>
                </c:pt>
                <c:pt idx="11">
                  <c:v>25.380710659898476</c:v>
                </c:pt>
                <c:pt idx="12">
                  <c:v>23.586429725363487</c:v>
                </c:pt>
                <c:pt idx="13">
                  <c:v>24.693042291950889</c:v>
                </c:pt>
                <c:pt idx="14">
                  <c:v>26.819923371647509</c:v>
                </c:pt>
                <c:pt idx="15">
                  <c:v>27.936507936507937</c:v>
                </c:pt>
                <c:pt idx="16">
                  <c:v>27.633587786259543</c:v>
                </c:pt>
                <c:pt idx="17">
                  <c:v>28.90995260663507</c:v>
                </c:pt>
                <c:pt idx="18">
                  <c:v>31.989424983476539</c:v>
                </c:pt>
                <c:pt idx="19">
                  <c:v>35.425311203319502</c:v>
                </c:pt>
                <c:pt idx="20">
                  <c:v>37.00144161460836</c:v>
                </c:pt>
                <c:pt idx="21">
                  <c:v>34.965986394557824</c:v>
                </c:pt>
                <c:pt idx="22">
                  <c:v>31.371753246753247</c:v>
                </c:pt>
                <c:pt idx="23">
                  <c:v>33.971587399629399</c:v>
                </c:pt>
                <c:pt idx="24">
                  <c:v>30.823023130715438</c:v>
                </c:pt>
                <c:pt idx="25">
                  <c:v>33.896396396396398</c:v>
                </c:pt>
                <c:pt idx="26">
                  <c:v>37.188242280285031</c:v>
                </c:pt>
                <c:pt idx="27">
                  <c:v>32.620176032498307</c:v>
                </c:pt>
                <c:pt idx="28">
                  <c:v>30.243490838958536</c:v>
                </c:pt>
                <c:pt idx="29">
                  <c:v>29.623156744948115</c:v>
                </c:pt>
                <c:pt idx="30">
                  <c:v>26.285092153355627</c:v>
                </c:pt>
                <c:pt idx="31">
                  <c:v>28.830586874819314</c:v>
                </c:pt>
                <c:pt idx="32">
                  <c:v>29.848122626916044</c:v>
                </c:pt>
                <c:pt idx="33">
                  <c:v>31.994559564765179</c:v>
                </c:pt>
                <c:pt idx="34">
                  <c:v>34.682826199071684</c:v>
                </c:pt>
                <c:pt idx="35">
                  <c:v>34.720951509606586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23-7049-B02C-E52CFC1D189F}"/>
            </c:ext>
          </c:extLst>
        </c:ser>
        <c:ser>
          <c:idx val="5"/>
          <c:order val="5"/>
          <c:tx>
            <c:strRef>
              <c:f>Sheet1!$I$7</c:f>
              <c:strCache>
                <c:ptCount val="1"/>
                <c:pt idx="0">
                  <c:v>All MEDLINE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Sheet1!$J$7:$AS$7</c:f>
              <c:numCache>
                <c:formatCode>General</c:formatCode>
                <c:ptCount val="36"/>
                <c:pt idx="0">
                  <c:v>3.8461538461538463</c:v>
                </c:pt>
                <c:pt idx="1">
                  <c:v>5.7724252491694354</c:v>
                </c:pt>
                <c:pt idx="2">
                  <c:v>5.8510638297872344</c:v>
                </c:pt>
                <c:pt idx="3">
                  <c:v>7.0337477797513319</c:v>
                </c:pt>
                <c:pt idx="4">
                  <c:v>7.4145712443584779</c:v>
                </c:pt>
                <c:pt idx="5">
                  <c:v>7.6009501187648461</c:v>
                </c:pt>
                <c:pt idx="6">
                  <c:v>8.7362991618310772</c:v>
                </c:pt>
                <c:pt idx="7">
                  <c:v>9.001233045622687</c:v>
                </c:pt>
                <c:pt idx="8">
                  <c:v>9.5878398129201994</c:v>
                </c:pt>
                <c:pt idx="9">
                  <c:v>10.352673492605232</c:v>
                </c:pt>
                <c:pt idx="10">
                  <c:v>9.2355857031046185</c:v>
                </c:pt>
                <c:pt idx="11">
                  <c:v>9.2367825550298299</c:v>
                </c:pt>
                <c:pt idx="12">
                  <c:v>9.8607038123167143</c:v>
                </c:pt>
                <c:pt idx="13">
                  <c:v>10.444234404536862</c:v>
                </c:pt>
                <c:pt idx="14">
                  <c:v>10.864770748694138</c:v>
                </c:pt>
                <c:pt idx="15">
                  <c:v>10.452643590718905</c:v>
                </c:pt>
                <c:pt idx="16">
                  <c:v>11.300919842312746</c:v>
                </c:pt>
                <c:pt idx="17">
                  <c:v>10.967082396237988</c:v>
                </c:pt>
                <c:pt idx="18">
                  <c:v>10.403037533030608</c:v>
                </c:pt>
                <c:pt idx="19">
                  <c:v>10.578574799433694</c:v>
                </c:pt>
                <c:pt idx="20">
                  <c:v>11.44964988329443</c:v>
                </c:pt>
                <c:pt idx="21">
                  <c:v>12.06462720169514</c:v>
                </c:pt>
                <c:pt idx="22">
                  <c:v>13.160828625235405</c:v>
                </c:pt>
                <c:pt idx="23">
                  <c:v>14.261560571476878</c:v>
                </c:pt>
                <c:pt idx="24">
                  <c:v>14.792685860935121</c:v>
                </c:pt>
                <c:pt idx="25">
                  <c:v>15.229430379746836</c:v>
                </c:pt>
                <c:pt idx="26">
                  <c:v>15.581837016574585</c:v>
                </c:pt>
                <c:pt idx="27">
                  <c:v>15.676047953928791</c:v>
                </c:pt>
                <c:pt idx="28">
                  <c:v>15.783704672489762</c:v>
                </c:pt>
                <c:pt idx="29">
                  <c:v>15.992093748588642</c:v>
                </c:pt>
                <c:pt idx="30">
                  <c:v>15.805443945012101</c:v>
                </c:pt>
                <c:pt idx="31">
                  <c:v>16.530185713545453</c:v>
                </c:pt>
                <c:pt idx="32">
                  <c:v>16.835609553809523</c:v>
                </c:pt>
                <c:pt idx="33">
                  <c:v>16.781338021165624</c:v>
                </c:pt>
                <c:pt idx="34">
                  <c:v>17.559475741942169</c:v>
                </c:pt>
                <c:pt idx="35">
                  <c:v>19.461083093249805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23-7049-B02C-E52CFC1D1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349519"/>
        <c:axId val="1063432095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Sheet1!$I$8</c15:sqref>
                        </c15:formulaRef>
                      </c:ext>
                    </c:extLst>
                    <c:strCache>
                      <c:ptCount val="1"/>
                      <c:pt idx="0">
                        <c:v>Observational study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diamond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Sheet1!$J$8:$AS$8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20">
                        <c:v>0</c:v>
                      </c:pt>
                      <c:pt idx="21">
                        <c:v>0</c:v>
                      </c:pt>
                      <c:pt idx="22">
                        <c:v>59.183673469387756</c:v>
                      </c:pt>
                      <c:pt idx="23">
                        <c:v>49.411764705882355</c:v>
                      </c:pt>
                      <c:pt idx="24">
                        <c:v>46.038251366120221</c:v>
                      </c:pt>
                      <c:pt idx="25">
                        <c:v>50.209380234505865</c:v>
                      </c:pt>
                      <c:pt idx="26">
                        <c:v>51.17647058823529</c:v>
                      </c:pt>
                      <c:pt idx="27">
                        <c:v>49.15397631133672</c:v>
                      </c:pt>
                      <c:pt idx="28">
                        <c:v>48.915237134207871</c:v>
                      </c:pt>
                      <c:pt idx="29">
                        <c:v>47.448165869218499</c:v>
                      </c:pt>
                      <c:pt idx="30">
                        <c:v>47.228277795079414</c:v>
                      </c:pt>
                      <c:pt idx="31">
                        <c:v>46.513390601313795</c:v>
                      </c:pt>
                      <c:pt idx="32">
                        <c:v>47.757296466973884</c:v>
                      </c:pt>
                      <c:pt idx="33">
                        <c:v>48.072072072072068</c:v>
                      </c:pt>
                      <c:pt idx="34">
                        <c:v>49.043097151205259</c:v>
                      </c:pt>
                      <c:pt idx="35">
                        <c:v>50.410116199589879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A28-4A64-981A-39E8AFE456F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Sheet1!$I$9</c15:sqref>
                        </c15:formulaRef>
                      </c:ext>
                    </c:extLst>
                    <c:strCache>
                      <c:ptCount val="1"/>
                      <c:pt idx="0">
                        <c:v>Systematic review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Sheet1!$J$9:$AS$9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18.181818181818183</c:v>
                      </c:pt>
                      <c:pt idx="12">
                        <c:v>35.294117647058826</c:v>
                      </c:pt>
                      <c:pt idx="13">
                        <c:v>6.666666666666667</c:v>
                      </c:pt>
                      <c:pt idx="14">
                        <c:v>10</c:v>
                      </c:pt>
                      <c:pt idx="15">
                        <c:v>12.5</c:v>
                      </c:pt>
                      <c:pt idx="16">
                        <c:v>12.790697674418606</c:v>
                      </c:pt>
                      <c:pt idx="17">
                        <c:v>13.684210526315791</c:v>
                      </c:pt>
                      <c:pt idx="18">
                        <c:v>13.125</c:v>
                      </c:pt>
                      <c:pt idx="19">
                        <c:v>15.315315315315313</c:v>
                      </c:pt>
                      <c:pt idx="20">
                        <c:v>16.101694915254235</c:v>
                      </c:pt>
                      <c:pt idx="21">
                        <c:v>12.621359223300971</c:v>
                      </c:pt>
                      <c:pt idx="22">
                        <c:v>15.86021505376344</c:v>
                      </c:pt>
                      <c:pt idx="23">
                        <c:v>17.487266553480477</c:v>
                      </c:pt>
                      <c:pt idx="24">
                        <c:v>18.967587034813928</c:v>
                      </c:pt>
                      <c:pt idx="25">
                        <c:v>21.238938053097346</c:v>
                      </c:pt>
                      <c:pt idx="26">
                        <c:v>21.757164404223229</c:v>
                      </c:pt>
                      <c:pt idx="27">
                        <c:v>21.602787456445995</c:v>
                      </c:pt>
                      <c:pt idx="28">
                        <c:v>22.283236994219653</c:v>
                      </c:pt>
                      <c:pt idx="29">
                        <c:v>24.340011233851339</c:v>
                      </c:pt>
                      <c:pt idx="30">
                        <c:v>23.447141094199917</c:v>
                      </c:pt>
                      <c:pt idx="31">
                        <c:v>23.630536130536132</c:v>
                      </c:pt>
                      <c:pt idx="32">
                        <c:v>24.283963853576353</c:v>
                      </c:pt>
                      <c:pt idx="33">
                        <c:v>25.399219304471256</c:v>
                      </c:pt>
                      <c:pt idx="34">
                        <c:v>26.486486486486488</c:v>
                      </c:pt>
                      <c:pt idx="35">
                        <c:v>25.981253661394259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28-4A64-981A-39E8AFE456FF}"/>
                  </c:ext>
                </c:extLst>
              </c15:ser>
            </c15:filteredLineSeries>
          </c:ext>
        </c:extLst>
      </c:lineChart>
      <c:catAx>
        <c:axId val="106334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43209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063432095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PMC</a:t>
                </a:r>
                <a:r>
                  <a:rPr lang="en-US" sz="1500">
                    <a:latin typeface="Helvetica" panose="020B0604020202020204" pitchFamily="34" charset="0"/>
                    <a:cs typeface="Helvetica" panose="020B0604020202020204" pitchFamily="34" charset="0"/>
                  </a:rPr>
                  <a:t> Abstracts With P Values, %</a:t>
                </a:r>
              </a:p>
            </c:rich>
          </c:tx>
          <c:layout>
            <c:manualLayout>
              <c:xMode val="edge"/>
              <c:yMode val="edge"/>
              <c:x val="9.0233548580739963E-3"/>
              <c:y val="0.20831605681792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34951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5.8194560109082347E-2"/>
          <c:y val="0.10015428785958433"/>
          <c:w val="0.1401316105328104"/>
          <c:h val="0.2707612105515988"/>
        </c:manualLayout>
      </c:layout>
      <c:overlay val="0"/>
      <c:spPr>
        <a:solidFill>
          <a:schemeClr val="bg1"/>
        </a:solidFill>
        <a:ln>
          <a:solidFill>
            <a:schemeClr val="tx1">
              <a:lumMod val="95000"/>
              <a:lumOff val="5000"/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ko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ko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383989</xdr:colOff>
      <xdr:row>8</xdr:row>
      <xdr:rowOff>196850</xdr:rowOff>
    </xdr:from>
    <xdr:to>
      <xdr:col>21</xdr:col>
      <xdr:colOff>231589</xdr:colOff>
      <xdr:row>36</xdr:row>
      <xdr:rowOff>42582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9D5EE80-DA4A-454F-CD13-156B84A37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ke4\Downloads\OrganizedCodeStructure\OrganizedCodeStructure\Step4_text_analysis\Figure1\20251128Fig1PMCabs\20250920Totalsheet.xlsx" TargetMode="External"/><Relationship Id="rId1" Type="http://schemas.openxmlformats.org/officeDocument/2006/relationships/externalLinkPath" Target="20250920Total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T"/>
      <sheetName val="CT"/>
      <sheetName val="META"/>
      <sheetName val="REVIEW"/>
      <sheetName val="CCJ"/>
      <sheetName val="ALL"/>
      <sheetName val="OBS"/>
      <sheetName val="SYSREV"/>
    </sheetNames>
    <sheetDataSet>
      <sheetData sheetId="0">
        <row r="1">
          <cell r="B1" t="str">
            <v>Total article count</v>
          </cell>
          <cell r="C1" t="str">
            <v>HasPvalue</v>
          </cell>
        </row>
        <row r="2">
          <cell r="B2">
            <v>11</v>
          </cell>
          <cell r="C2">
            <v>3</v>
          </cell>
        </row>
        <row r="3">
          <cell r="B3">
            <v>20</v>
          </cell>
          <cell r="C3">
            <v>10</v>
          </cell>
        </row>
        <row r="4">
          <cell r="B4">
            <v>16</v>
          </cell>
          <cell r="C4">
            <v>6</v>
          </cell>
        </row>
        <row r="5">
          <cell r="B5">
            <v>29</v>
          </cell>
          <cell r="C5">
            <v>14</v>
          </cell>
        </row>
        <row r="6">
          <cell r="B6">
            <v>36</v>
          </cell>
          <cell r="C6">
            <v>18</v>
          </cell>
        </row>
        <row r="7">
          <cell r="B7">
            <v>29</v>
          </cell>
          <cell r="C7">
            <v>15</v>
          </cell>
        </row>
        <row r="8">
          <cell r="B8">
            <v>43</v>
          </cell>
          <cell r="C8">
            <v>18</v>
          </cell>
        </row>
        <row r="9">
          <cell r="B9">
            <v>28</v>
          </cell>
          <cell r="C9">
            <v>17</v>
          </cell>
        </row>
        <row r="10">
          <cell r="B10">
            <v>43</v>
          </cell>
          <cell r="C10">
            <v>25</v>
          </cell>
        </row>
        <row r="11">
          <cell r="B11">
            <v>37</v>
          </cell>
          <cell r="C11">
            <v>16</v>
          </cell>
        </row>
        <row r="12">
          <cell r="B12">
            <v>45</v>
          </cell>
          <cell r="C12">
            <v>21</v>
          </cell>
        </row>
        <row r="13">
          <cell r="B13">
            <v>65</v>
          </cell>
          <cell r="C13">
            <v>34</v>
          </cell>
        </row>
        <row r="14">
          <cell r="B14">
            <v>75</v>
          </cell>
          <cell r="C14">
            <v>34</v>
          </cell>
        </row>
        <row r="15">
          <cell r="B15">
            <v>76</v>
          </cell>
          <cell r="C15">
            <v>36</v>
          </cell>
        </row>
        <row r="16">
          <cell r="B16">
            <v>160</v>
          </cell>
          <cell r="C16">
            <v>71</v>
          </cell>
        </row>
        <row r="17">
          <cell r="B17">
            <v>195</v>
          </cell>
          <cell r="C17">
            <v>92</v>
          </cell>
        </row>
        <row r="18">
          <cell r="B18">
            <v>263</v>
          </cell>
          <cell r="C18">
            <v>123</v>
          </cell>
        </row>
        <row r="19">
          <cell r="B19">
            <v>483</v>
          </cell>
          <cell r="C19">
            <v>214</v>
          </cell>
        </row>
        <row r="20">
          <cell r="B20">
            <v>759</v>
          </cell>
          <cell r="C20">
            <v>333</v>
          </cell>
        </row>
        <row r="21">
          <cell r="B21">
            <v>1079</v>
          </cell>
          <cell r="C21">
            <v>439</v>
          </cell>
        </row>
        <row r="22">
          <cell r="B22">
            <v>1460</v>
          </cell>
          <cell r="C22">
            <v>601</v>
          </cell>
        </row>
        <row r="23">
          <cell r="B23">
            <v>2041</v>
          </cell>
          <cell r="C23">
            <v>797</v>
          </cell>
        </row>
        <row r="24">
          <cell r="B24">
            <v>2513</v>
          </cell>
          <cell r="C24">
            <v>977</v>
          </cell>
        </row>
        <row r="25">
          <cell r="B25">
            <v>3452</v>
          </cell>
          <cell r="C25">
            <v>1382</v>
          </cell>
        </row>
        <row r="26">
          <cell r="B26">
            <v>4240</v>
          </cell>
          <cell r="C26">
            <v>1767</v>
          </cell>
        </row>
        <row r="27">
          <cell r="B27">
            <v>4700</v>
          </cell>
          <cell r="C27">
            <v>1962</v>
          </cell>
        </row>
        <row r="28">
          <cell r="B28">
            <v>5052</v>
          </cell>
          <cell r="C28">
            <v>2224</v>
          </cell>
        </row>
        <row r="29">
          <cell r="B29">
            <v>5481</v>
          </cell>
          <cell r="C29">
            <v>2405</v>
          </cell>
        </row>
        <row r="30">
          <cell r="B30">
            <v>5304</v>
          </cell>
          <cell r="C30">
            <v>2594</v>
          </cell>
        </row>
        <row r="31">
          <cell r="B31">
            <v>5865</v>
          </cell>
          <cell r="C31">
            <v>2992</v>
          </cell>
        </row>
        <row r="32">
          <cell r="B32">
            <v>7035</v>
          </cell>
          <cell r="C32">
            <v>3647</v>
          </cell>
        </row>
        <row r="33">
          <cell r="B33">
            <v>8116</v>
          </cell>
          <cell r="C33">
            <v>4324</v>
          </cell>
        </row>
        <row r="34">
          <cell r="B34">
            <v>9663</v>
          </cell>
          <cell r="C34">
            <v>5214</v>
          </cell>
        </row>
        <row r="35">
          <cell r="B35">
            <v>8016</v>
          </cell>
          <cell r="C35">
            <v>4346</v>
          </cell>
        </row>
        <row r="36">
          <cell r="B36">
            <v>8616</v>
          </cell>
          <cell r="C36">
            <v>5006</v>
          </cell>
        </row>
        <row r="37">
          <cell r="B37">
            <v>7148</v>
          </cell>
          <cell r="C37">
            <v>4139</v>
          </cell>
        </row>
        <row r="38">
          <cell r="B38">
            <v>92194</v>
          </cell>
          <cell r="C38">
            <v>45916</v>
          </cell>
        </row>
        <row r="39">
          <cell r="B39">
            <v>9663</v>
          </cell>
          <cell r="C39">
            <v>5214</v>
          </cell>
        </row>
        <row r="40">
          <cell r="B40">
            <v>11</v>
          </cell>
          <cell r="C40">
            <v>3</v>
          </cell>
        </row>
      </sheetData>
      <sheetData sheetId="1">
        <row r="1">
          <cell r="B1" t="str">
            <v>Total article count</v>
          </cell>
          <cell r="C1" t="str">
            <v>HasPvalue</v>
          </cell>
        </row>
        <row r="2">
          <cell r="B2">
            <v>10</v>
          </cell>
          <cell r="C2">
            <v>1</v>
          </cell>
        </row>
        <row r="3">
          <cell r="B3">
            <v>28</v>
          </cell>
          <cell r="C3">
            <v>3</v>
          </cell>
        </row>
        <row r="4">
          <cell r="B4">
            <v>30</v>
          </cell>
          <cell r="C4">
            <v>2</v>
          </cell>
        </row>
        <row r="5">
          <cell r="B5">
            <v>43</v>
          </cell>
          <cell r="C5">
            <v>9</v>
          </cell>
        </row>
        <row r="6">
          <cell r="B6">
            <v>60</v>
          </cell>
          <cell r="C6">
            <v>14</v>
          </cell>
        </row>
        <row r="7">
          <cell r="B7">
            <v>64</v>
          </cell>
          <cell r="C7">
            <v>11</v>
          </cell>
        </row>
        <row r="8">
          <cell r="B8">
            <v>62</v>
          </cell>
          <cell r="C8">
            <v>8</v>
          </cell>
        </row>
        <row r="9">
          <cell r="B9">
            <v>68</v>
          </cell>
          <cell r="C9">
            <v>14</v>
          </cell>
        </row>
        <row r="10">
          <cell r="B10">
            <v>95</v>
          </cell>
          <cell r="C10">
            <v>21</v>
          </cell>
        </row>
        <row r="11">
          <cell r="B11">
            <v>103</v>
          </cell>
          <cell r="C11">
            <v>23</v>
          </cell>
        </row>
        <row r="12">
          <cell r="B12">
            <v>77</v>
          </cell>
          <cell r="C12">
            <v>20</v>
          </cell>
        </row>
        <row r="13">
          <cell r="B13">
            <v>84</v>
          </cell>
          <cell r="C13">
            <v>26</v>
          </cell>
        </row>
        <row r="14">
          <cell r="B14">
            <v>90</v>
          </cell>
          <cell r="C14">
            <v>11</v>
          </cell>
        </row>
        <row r="15">
          <cell r="B15">
            <v>109</v>
          </cell>
          <cell r="C15">
            <v>27</v>
          </cell>
        </row>
        <row r="16">
          <cell r="B16">
            <v>206</v>
          </cell>
          <cell r="C16">
            <v>59</v>
          </cell>
        </row>
        <row r="17">
          <cell r="B17">
            <v>195</v>
          </cell>
          <cell r="C17">
            <v>57</v>
          </cell>
        </row>
        <row r="18">
          <cell r="B18">
            <v>131</v>
          </cell>
          <cell r="C18">
            <v>57</v>
          </cell>
        </row>
        <row r="19">
          <cell r="B19">
            <v>158</v>
          </cell>
          <cell r="C19">
            <v>55</v>
          </cell>
        </row>
        <row r="20">
          <cell r="B20">
            <v>182</v>
          </cell>
          <cell r="C20">
            <v>73</v>
          </cell>
        </row>
        <row r="21">
          <cell r="B21">
            <v>220</v>
          </cell>
          <cell r="C21">
            <v>95</v>
          </cell>
        </row>
        <row r="22">
          <cell r="B22">
            <v>362</v>
          </cell>
          <cell r="C22">
            <v>124</v>
          </cell>
        </row>
        <row r="23">
          <cell r="B23">
            <v>507</v>
          </cell>
          <cell r="C23">
            <v>188</v>
          </cell>
        </row>
        <row r="24">
          <cell r="B24">
            <v>865</v>
          </cell>
          <cell r="C24">
            <v>323</v>
          </cell>
        </row>
        <row r="25">
          <cell r="B25">
            <v>1300</v>
          </cell>
          <cell r="C25">
            <v>459</v>
          </cell>
        </row>
        <row r="26">
          <cell r="B26">
            <v>1455</v>
          </cell>
          <cell r="C26">
            <v>542</v>
          </cell>
        </row>
        <row r="27">
          <cell r="B27">
            <v>1457</v>
          </cell>
          <cell r="C27">
            <v>570</v>
          </cell>
        </row>
        <row r="28">
          <cell r="B28">
            <v>1479</v>
          </cell>
          <cell r="C28">
            <v>617</v>
          </cell>
        </row>
        <row r="29">
          <cell r="B29">
            <v>1332</v>
          </cell>
          <cell r="C29">
            <v>552</v>
          </cell>
        </row>
        <row r="30">
          <cell r="B30">
            <v>1821</v>
          </cell>
          <cell r="C30">
            <v>691</v>
          </cell>
        </row>
        <row r="31">
          <cell r="B31">
            <v>2133</v>
          </cell>
          <cell r="C31">
            <v>820</v>
          </cell>
        </row>
        <row r="32">
          <cell r="B32">
            <v>1919</v>
          </cell>
          <cell r="C32">
            <v>750</v>
          </cell>
        </row>
        <row r="33">
          <cell r="B33">
            <v>2298</v>
          </cell>
          <cell r="C33">
            <v>885</v>
          </cell>
        </row>
        <row r="34">
          <cell r="B34">
            <v>1415</v>
          </cell>
          <cell r="C34">
            <v>585</v>
          </cell>
        </row>
        <row r="35">
          <cell r="B35">
            <v>1059</v>
          </cell>
          <cell r="C35">
            <v>467</v>
          </cell>
        </row>
        <row r="36">
          <cell r="B36">
            <v>893</v>
          </cell>
          <cell r="C36">
            <v>412</v>
          </cell>
        </row>
        <row r="37">
          <cell r="B37">
            <v>639</v>
          </cell>
          <cell r="C37">
            <v>328</v>
          </cell>
        </row>
        <row r="38">
          <cell r="B38">
            <v>22949</v>
          </cell>
          <cell r="C38">
            <v>8899</v>
          </cell>
        </row>
        <row r="39">
          <cell r="B39">
            <v>2298</v>
          </cell>
          <cell r="C39">
            <v>885</v>
          </cell>
        </row>
        <row r="40">
          <cell r="B40">
            <v>10</v>
          </cell>
          <cell r="C40">
            <v>1</v>
          </cell>
        </row>
      </sheetData>
      <sheetData sheetId="2">
        <row r="1">
          <cell r="B1" t="str">
            <v>Total article count</v>
          </cell>
          <cell r="C1" t="str">
            <v>HasPvalue</v>
          </cell>
        </row>
        <row r="2">
          <cell r="B2">
            <v>1</v>
          </cell>
          <cell r="C2">
            <v>0</v>
          </cell>
        </row>
        <row r="3">
          <cell r="B3">
            <v>1</v>
          </cell>
          <cell r="C3">
            <v>0</v>
          </cell>
        </row>
        <row r="4">
          <cell r="B4">
            <v>2</v>
          </cell>
          <cell r="C4">
            <v>0</v>
          </cell>
        </row>
        <row r="5">
          <cell r="B5">
            <v>4</v>
          </cell>
          <cell r="C5">
            <v>0</v>
          </cell>
        </row>
        <row r="6">
          <cell r="B6">
            <v>5</v>
          </cell>
          <cell r="C6">
            <v>1</v>
          </cell>
        </row>
        <row r="7">
          <cell r="B7">
            <v>4</v>
          </cell>
          <cell r="C7">
            <v>1</v>
          </cell>
        </row>
        <row r="8">
          <cell r="B8">
            <v>1</v>
          </cell>
          <cell r="C8">
            <v>0</v>
          </cell>
        </row>
        <row r="9">
          <cell r="B9">
            <v>3</v>
          </cell>
          <cell r="C9">
            <v>0</v>
          </cell>
        </row>
        <row r="10">
          <cell r="B10">
            <v>2</v>
          </cell>
          <cell r="C10">
            <v>0</v>
          </cell>
        </row>
        <row r="11">
          <cell r="B11">
            <v>10</v>
          </cell>
          <cell r="C11">
            <v>0</v>
          </cell>
        </row>
        <row r="12">
          <cell r="B12">
            <v>11</v>
          </cell>
          <cell r="C12">
            <v>4</v>
          </cell>
        </row>
        <row r="13">
          <cell r="B13">
            <v>18</v>
          </cell>
          <cell r="C13">
            <v>3</v>
          </cell>
        </row>
        <row r="14">
          <cell r="B14">
            <v>13</v>
          </cell>
          <cell r="C14">
            <v>4</v>
          </cell>
        </row>
        <row r="15">
          <cell r="B15">
            <v>17</v>
          </cell>
          <cell r="C15">
            <v>4</v>
          </cell>
        </row>
        <row r="16">
          <cell r="B16">
            <v>32</v>
          </cell>
          <cell r="C16">
            <v>7</v>
          </cell>
        </row>
        <row r="17">
          <cell r="B17">
            <v>48</v>
          </cell>
          <cell r="C17">
            <v>11</v>
          </cell>
        </row>
        <row r="18">
          <cell r="B18">
            <v>64</v>
          </cell>
          <cell r="C18">
            <v>18</v>
          </cell>
        </row>
        <row r="19">
          <cell r="B19">
            <v>94</v>
          </cell>
          <cell r="C19">
            <v>20</v>
          </cell>
        </row>
        <row r="20">
          <cell r="B20">
            <v>146</v>
          </cell>
          <cell r="C20">
            <v>42</v>
          </cell>
        </row>
        <row r="21">
          <cell r="B21">
            <v>211</v>
          </cell>
          <cell r="C21">
            <v>73</v>
          </cell>
        </row>
        <row r="22">
          <cell r="B22">
            <v>322</v>
          </cell>
          <cell r="C22">
            <v>97</v>
          </cell>
        </row>
        <row r="23">
          <cell r="B23">
            <v>519</v>
          </cell>
          <cell r="C23">
            <v>181</v>
          </cell>
        </row>
        <row r="24">
          <cell r="B24">
            <v>830</v>
          </cell>
          <cell r="C24">
            <v>276</v>
          </cell>
        </row>
        <row r="25">
          <cell r="B25">
            <v>1400</v>
          </cell>
          <cell r="C25">
            <v>514</v>
          </cell>
        </row>
        <row r="26">
          <cell r="B26">
            <v>1847</v>
          </cell>
          <cell r="C26">
            <v>730</v>
          </cell>
        </row>
        <row r="27">
          <cell r="B27">
            <v>2392</v>
          </cell>
          <cell r="C27">
            <v>941</v>
          </cell>
        </row>
        <row r="28">
          <cell r="B28">
            <v>2855</v>
          </cell>
          <cell r="C28">
            <v>1134</v>
          </cell>
        </row>
        <row r="29">
          <cell r="B29">
            <v>2979</v>
          </cell>
          <cell r="C29">
            <v>1264</v>
          </cell>
        </row>
        <row r="30">
          <cell r="B30">
            <v>2927</v>
          </cell>
          <cell r="C30">
            <v>1266</v>
          </cell>
        </row>
        <row r="31">
          <cell r="B31">
            <v>3709</v>
          </cell>
          <cell r="C31">
            <v>1511</v>
          </cell>
        </row>
        <row r="32">
          <cell r="B32">
            <v>4681</v>
          </cell>
          <cell r="C32">
            <v>1884</v>
          </cell>
        </row>
        <row r="33">
          <cell r="B33">
            <v>5694</v>
          </cell>
          <cell r="C33">
            <v>2184</v>
          </cell>
        </row>
        <row r="34">
          <cell r="B34">
            <v>6683</v>
          </cell>
          <cell r="C34">
            <v>2740</v>
          </cell>
        </row>
        <row r="35">
          <cell r="B35">
            <v>6562</v>
          </cell>
          <cell r="C35">
            <v>2812</v>
          </cell>
        </row>
        <row r="36">
          <cell r="B36">
            <v>6794</v>
          </cell>
          <cell r="C36">
            <v>2962</v>
          </cell>
        </row>
        <row r="37">
          <cell r="B37">
            <v>5163</v>
          </cell>
          <cell r="C37">
            <v>2231</v>
          </cell>
        </row>
        <row r="38">
          <cell r="B38">
            <v>56044</v>
          </cell>
          <cell r="C38">
            <v>22915</v>
          </cell>
        </row>
        <row r="39">
          <cell r="B39">
            <v>6794</v>
          </cell>
          <cell r="C39">
            <v>2962</v>
          </cell>
        </row>
        <row r="40">
          <cell r="B40">
            <v>1</v>
          </cell>
          <cell r="C40">
            <v>0</v>
          </cell>
        </row>
      </sheetData>
      <sheetData sheetId="3">
        <row r="1">
          <cell r="B1" t="str">
            <v>Total article count</v>
          </cell>
          <cell r="C1" t="str">
            <v>HasPvalue</v>
          </cell>
        </row>
        <row r="2">
          <cell r="B2">
            <v>164</v>
          </cell>
          <cell r="C2">
            <v>1</v>
          </cell>
        </row>
        <row r="3">
          <cell r="B3">
            <v>162</v>
          </cell>
          <cell r="C3">
            <v>1</v>
          </cell>
        </row>
        <row r="4">
          <cell r="B4">
            <v>102</v>
          </cell>
          <cell r="C4">
            <v>0</v>
          </cell>
        </row>
        <row r="5">
          <cell r="B5">
            <v>194</v>
          </cell>
          <cell r="C5">
            <v>2</v>
          </cell>
        </row>
        <row r="6">
          <cell r="B6">
            <v>244</v>
          </cell>
          <cell r="C6">
            <v>1</v>
          </cell>
        </row>
        <row r="7">
          <cell r="B7">
            <v>206</v>
          </cell>
          <cell r="C7">
            <v>1</v>
          </cell>
        </row>
        <row r="8">
          <cell r="B8">
            <v>197</v>
          </cell>
          <cell r="C8">
            <v>0</v>
          </cell>
        </row>
        <row r="9">
          <cell r="B9">
            <v>287</v>
          </cell>
          <cell r="C9">
            <v>6</v>
          </cell>
        </row>
        <row r="10">
          <cell r="B10">
            <v>321</v>
          </cell>
          <cell r="C10">
            <v>1</v>
          </cell>
        </row>
        <row r="11">
          <cell r="B11">
            <v>246</v>
          </cell>
          <cell r="C11">
            <v>2</v>
          </cell>
        </row>
        <row r="12">
          <cell r="B12">
            <v>432</v>
          </cell>
          <cell r="C12">
            <v>2</v>
          </cell>
        </row>
        <row r="13">
          <cell r="B13">
            <v>531</v>
          </cell>
          <cell r="C13">
            <v>3</v>
          </cell>
        </row>
        <row r="14">
          <cell r="B14">
            <v>578</v>
          </cell>
          <cell r="C14">
            <v>0</v>
          </cell>
        </row>
        <row r="15">
          <cell r="B15">
            <v>610</v>
          </cell>
          <cell r="C15">
            <v>2</v>
          </cell>
        </row>
        <row r="16">
          <cell r="B16">
            <v>799</v>
          </cell>
          <cell r="C16">
            <v>6</v>
          </cell>
        </row>
        <row r="17">
          <cell r="B17">
            <v>895</v>
          </cell>
          <cell r="C17">
            <v>2</v>
          </cell>
        </row>
        <row r="18">
          <cell r="B18">
            <v>1531</v>
          </cell>
          <cell r="C18">
            <v>10</v>
          </cell>
        </row>
        <row r="19">
          <cell r="B19">
            <v>1705</v>
          </cell>
          <cell r="C19">
            <v>9</v>
          </cell>
        </row>
        <row r="20">
          <cell r="B20">
            <v>2089</v>
          </cell>
          <cell r="C20">
            <v>13</v>
          </cell>
        </row>
        <row r="21">
          <cell r="B21">
            <v>2562</v>
          </cell>
          <cell r="C21">
            <v>10</v>
          </cell>
        </row>
        <row r="22">
          <cell r="B22">
            <v>3866</v>
          </cell>
          <cell r="C22">
            <v>28</v>
          </cell>
        </row>
        <row r="23">
          <cell r="B23">
            <v>4395</v>
          </cell>
          <cell r="C23">
            <v>35</v>
          </cell>
        </row>
        <row r="24">
          <cell r="B24">
            <v>5900</v>
          </cell>
          <cell r="C24">
            <v>36</v>
          </cell>
        </row>
        <row r="25">
          <cell r="B25">
            <v>10518</v>
          </cell>
          <cell r="C25">
            <v>82</v>
          </cell>
        </row>
        <row r="26">
          <cell r="B26">
            <v>16871</v>
          </cell>
          <cell r="C26">
            <v>147</v>
          </cell>
        </row>
        <row r="27">
          <cell r="B27">
            <v>18749</v>
          </cell>
          <cell r="C27">
            <v>208</v>
          </cell>
        </row>
        <row r="28">
          <cell r="B28">
            <v>21081</v>
          </cell>
          <cell r="C28">
            <v>270</v>
          </cell>
        </row>
        <row r="29">
          <cell r="B29">
            <v>23799</v>
          </cell>
          <cell r="C29">
            <v>269</v>
          </cell>
        </row>
        <row r="30">
          <cell r="B30">
            <v>28176</v>
          </cell>
          <cell r="C30">
            <v>407</v>
          </cell>
        </row>
        <row r="31">
          <cell r="B31">
            <v>32576</v>
          </cell>
          <cell r="C31">
            <v>476</v>
          </cell>
        </row>
        <row r="32">
          <cell r="B32">
            <v>51478</v>
          </cell>
          <cell r="C32">
            <v>665</v>
          </cell>
        </row>
        <row r="33">
          <cell r="B33">
            <v>72610</v>
          </cell>
          <cell r="C33">
            <v>1051</v>
          </cell>
        </row>
        <row r="34">
          <cell r="B34">
            <v>77474</v>
          </cell>
          <cell r="C34">
            <v>1613</v>
          </cell>
        </row>
        <row r="35">
          <cell r="B35">
            <v>70690</v>
          </cell>
          <cell r="C35">
            <v>1635</v>
          </cell>
        </row>
        <row r="36">
          <cell r="B36">
            <v>65048</v>
          </cell>
          <cell r="C36">
            <v>1413</v>
          </cell>
        </row>
        <row r="37">
          <cell r="B37">
            <v>41045</v>
          </cell>
          <cell r="C37">
            <v>953</v>
          </cell>
        </row>
        <row r="38">
          <cell r="B38">
            <v>558131</v>
          </cell>
          <cell r="C38">
            <v>9360</v>
          </cell>
        </row>
        <row r="39">
          <cell r="B39">
            <v>77474</v>
          </cell>
          <cell r="C39">
            <v>1635</v>
          </cell>
        </row>
        <row r="40">
          <cell r="B40">
            <v>102</v>
          </cell>
          <cell r="C40">
            <v>0</v>
          </cell>
        </row>
      </sheetData>
      <sheetData sheetId="4">
        <row r="1">
          <cell r="B1" t="str">
            <v>Total article count</v>
          </cell>
          <cell r="C1" t="str">
            <v>HasPvalue</v>
          </cell>
        </row>
        <row r="2">
          <cell r="B2">
            <v>338</v>
          </cell>
          <cell r="C2">
            <v>52</v>
          </cell>
        </row>
        <row r="3">
          <cell r="B3">
            <v>380</v>
          </cell>
          <cell r="C3">
            <v>75</v>
          </cell>
        </row>
        <row r="4">
          <cell r="B4">
            <v>371</v>
          </cell>
          <cell r="C4">
            <v>78</v>
          </cell>
        </row>
        <row r="5">
          <cell r="B5">
            <v>453</v>
          </cell>
          <cell r="C5">
            <v>98</v>
          </cell>
        </row>
        <row r="6">
          <cell r="B6">
            <v>436</v>
          </cell>
          <cell r="C6">
            <v>115</v>
          </cell>
        </row>
        <row r="7">
          <cell r="B7">
            <v>520</v>
          </cell>
          <cell r="C7">
            <v>122</v>
          </cell>
        </row>
        <row r="8">
          <cell r="B8">
            <v>632</v>
          </cell>
          <cell r="C8">
            <v>143</v>
          </cell>
        </row>
        <row r="9">
          <cell r="B9">
            <v>564</v>
          </cell>
          <cell r="C9">
            <v>142</v>
          </cell>
        </row>
        <row r="10">
          <cell r="B10">
            <v>670</v>
          </cell>
          <cell r="C10">
            <v>181</v>
          </cell>
        </row>
        <row r="11">
          <cell r="B11">
            <v>811</v>
          </cell>
          <cell r="C11">
            <v>199</v>
          </cell>
        </row>
        <row r="12">
          <cell r="B12">
            <v>588</v>
          </cell>
          <cell r="C12">
            <v>153</v>
          </cell>
        </row>
        <row r="13">
          <cell r="B13">
            <v>591</v>
          </cell>
          <cell r="C13">
            <v>150</v>
          </cell>
        </row>
        <row r="14">
          <cell r="B14">
            <v>619</v>
          </cell>
          <cell r="C14">
            <v>146</v>
          </cell>
        </row>
        <row r="15">
          <cell r="B15">
            <v>733</v>
          </cell>
          <cell r="C15">
            <v>181</v>
          </cell>
        </row>
        <row r="16">
          <cell r="B16">
            <v>783</v>
          </cell>
          <cell r="C16">
            <v>210</v>
          </cell>
        </row>
        <row r="17">
          <cell r="B17">
            <v>630</v>
          </cell>
          <cell r="C17">
            <v>176</v>
          </cell>
        </row>
        <row r="18">
          <cell r="B18">
            <v>655</v>
          </cell>
          <cell r="C18">
            <v>181</v>
          </cell>
        </row>
        <row r="19">
          <cell r="B19">
            <v>844</v>
          </cell>
          <cell r="C19">
            <v>244</v>
          </cell>
        </row>
        <row r="20">
          <cell r="B20">
            <v>1513</v>
          </cell>
          <cell r="C20">
            <v>484</v>
          </cell>
        </row>
        <row r="21">
          <cell r="B21">
            <v>1928</v>
          </cell>
          <cell r="C21">
            <v>683</v>
          </cell>
        </row>
        <row r="22">
          <cell r="B22">
            <v>2081</v>
          </cell>
          <cell r="C22">
            <v>770</v>
          </cell>
        </row>
        <row r="23">
          <cell r="B23">
            <v>2205</v>
          </cell>
          <cell r="C23">
            <v>771</v>
          </cell>
        </row>
        <row r="24">
          <cell r="B24">
            <v>2464</v>
          </cell>
          <cell r="C24">
            <v>773</v>
          </cell>
        </row>
        <row r="25">
          <cell r="B25">
            <v>3238</v>
          </cell>
          <cell r="C25">
            <v>1100</v>
          </cell>
        </row>
        <row r="26">
          <cell r="B26">
            <v>3718</v>
          </cell>
          <cell r="C26">
            <v>1146</v>
          </cell>
        </row>
        <row r="27">
          <cell r="B27">
            <v>5328</v>
          </cell>
          <cell r="C27">
            <v>1806</v>
          </cell>
        </row>
        <row r="28">
          <cell r="B28">
            <v>6736</v>
          </cell>
          <cell r="C28">
            <v>2505</v>
          </cell>
        </row>
        <row r="29">
          <cell r="B29">
            <v>7385</v>
          </cell>
          <cell r="C29">
            <v>2409</v>
          </cell>
        </row>
        <row r="30">
          <cell r="B30">
            <v>8296</v>
          </cell>
          <cell r="C30">
            <v>2509</v>
          </cell>
        </row>
        <row r="31">
          <cell r="B31">
            <v>9155</v>
          </cell>
          <cell r="C31">
            <v>2712</v>
          </cell>
        </row>
        <row r="32">
          <cell r="B32">
            <v>12859</v>
          </cell>
          <cell r="C32">
            <v>3380</v>
          </cell>
        </row>
        <row r="33">
          <cell r="B33">
            <v>13836</v>
          </cell>
          <cell r="C33">
            <v>3989</v>
          </cell>
        </row>
        <row r="34">
          <cell r="B34">
            <v>14222</v>
          </cell>
          <cell r="C34">
            <v>4245</v>
          </cell>
        </row>
        <row r="35">
          <cell r="B35">
            <v>12499</v>
          </cell>
          <cell r="C35">
            <v>3999</v>
          </cell>
        </row>
        <row r="36">
          <cell r="B36">
            <v>11634</v>
          </cell>
          <cell r="C36">
            <v>4035</v>
          </cell>
        </row>
        <row r="37">
          <cell r="B37">
            <v>10930</v>
          </cell>
          <cell r="C37">
            <v>3795</v>
          </cell>
        </row>
        <row r="38">
          <cell r="B38">
            <v>140645</v>
          </cell>
          <cell r="C38">
            <v>43757</v>
          </cell>
        </row>
        <row r="39">
          <cell r="B39">
            <v>14222</v>
          </cell>
          <cell r="C39">
            <v>4245</v>
          </cell>
        </row>
        <row r="40">
          <cell r="B40">
            <v>338</v>
          </cell>
          <cell r="C40">
            <v>52</v>
          </cell>
        </row>
      </sheetData>
      <sheetData sheetId="5">
        <row r="1">
          <cell r="B1" t="str">
            <v>Total article count</v>
          </cell>
          <cell r="C1" t="str">
            <v>HasPvalue</v>
          </cell>
        </row>
        <row r="2">
          <cell r="B2">
            <v>2340</v>
          </cell>
          <cell r="C2">
            <v>90</v>
          </cell>
        </row>
        <row r="3">
          <cell r="B3">
            <v>2408</v>
          </cell>
          <cell r="C3">
            <v>139</v>
          </cell>
        </row>
        <row r="4">
          <cell r="B4">
            <v>2444</v>
          </cell>
          <cell r="C4">
            <v>143</v>
          </cell>
        </row>
        <row r="5">
          <cell r="B5">
            <v>2815</v>
          </cell>
          <cell r="C5">
            <v>198</v>
          </cell>
        </row>
        <row r="6">
          <cell r="B6">
            <v>3102</v>
          </cell>
          <cell r="C6">
            <v>230</v>
          </cell>
        </row>
        <row r="7">
          <cell r="B7">
            <v>2947</v>
          </cell>
          <cell r="C7">
            <v>224</v>
          </cell>
        </row>
        <row r="8">
          <cell r="B8">
            <v>3102</v>
          </cell>
          <cell r="C8">
            <v>271</v>
          </cell>
        </row>
        <row r="9">
          <cell r="B9">
            <v>3244</v>
          </cell>
          <cell r="C9">
            <v>292</v>
          </cell>
        </row>
        <row r="10">
          <cell r="B10">
            <v>3421</v>
          </cell>
          <cell r="C10">
            <v>328</v>
          </cell>
        </row>
        <row r="11">
          <cell r="B11">
            <v>3516</v>
          </cell>
          <cell r="C11">
            <v>364</v>
          </cell>
        </row>
        <row r="12">
          <cell r="B12">
            <v>3833</v>
          </cell>
          <cell r="C12">
            <v>354</v>
          </cell>
        </row>
        <row r="13">
          <cell r="B13">
            <v>4861</v>
          </cell>
          <cell r="C13">
            <v>449</v>
          </cell>
        </row>
        <row r="14">
          <cell r="B14">
            <v>5456</v>
          </cell>
          <cell r="C14">
            <v>538</v>
          </cell>
        </row>
        <row r="15">
          <cell r="B15">
            <v>6348</v>
          </cell>
          <cell r="C15">
            <v>663</v>
          </cell>
        </row>
        <row r="16">
          <cell r="B16">
            <v>8615</v>
          </cell>
          <cell r="C16">
            <v>936</v>
          </cell>
        </row>
        <row r="17">
          <cell r="B17">
            <v>13145</v>
          </cell>
          <cell r="C17">
            <v>1374</v>
          </cell>
        </row>
        <row r="18">
          <cell r="B18">
            <v>17503</v>
          </cell>
          <cell r="C18">
            <v>1978</v>
          </cell>
        </row>
        <row r="19">
          <cell r="B19">
            <v>24455</v>
          </cell>
          <cell r="C19">
            <v>2682</v>
          </cell>
        </row>
        <row r="20">
          <cell r="B20">
            <v>38979</v>
          </cell>
          <cell r="C20">
            <v>4055</v>
          </cell>
        </row>
        <row r="21">
          <cell r="B21">
            <v>52975</v>
          </cell>
          <cell r="C21">
            <v>5604</v>
          </cell>
        </row>
        <row r="22">
          <cell r="B22">
            <v>71976</v>
          </cell>
          <cell r="C22">
            <v>8241</v>
          </cell>
        </row>
        <row r="23">
          <cell r="B23">
            <v>98163</v>
          </cell>
          <cell r="C23">
            <v>11843</v>
          </cell>
        </row>
        <row r="24">
          <cell r="B24">
            <v>132750</v>
          </cell>
          <cell r="C24">
            <v>17471</v>
          </cell>
        </row>
        <row r="25">
          <cell r="B25">
            <v>165606</v>
          </cell>
          <cell r="C25">
            <v>23618</v>
          </cell>
        </row>
        <row r="26">
          <cell r="B26">
            <v>199504</v>
          </cell>
          <cell r="C26">
            <v>29512</v>
          </cell>
        </row>
        <row r="27">
          <cell r="B27">
            <v>224992</v>
          </cell>
          <cell r="C27">
            <v>34265</v>
          </cell>
        </row>
        <row r="28">
          <cell r="B28">
            <v>254848</v>
          </cell>
          <cell r="C28">
            <v>39710</v>
          </cell>
        </row>
        <row r="29">
          <cell r="B29">
            <v>288944</v>
          </cell>
          <cell r="C29">
            <v>45295</v>
          </cell>
        </row>
        <row r="30">
          <cell r="B30">
            <v>321135</v>
          </cell>
          <cell r="C30">
            <v>50687</v>
          </cell>
        </row>
        <row r="31">
          <cell r="B31">
            <v>376411</v>
          </cell>
          <cell r="C31">
            <v>60196</v>
          </cell>
        </row>
        <row r="32">
          <cell r="B32">
            <v>503238</v>
          </cell>
          <cell r="C32">
            <v>79539</v>
          </cell>
        </row>
        <row r="33">
          <cell r="B33">
            <v>636841</v>
          </cell>
          <cell r="C33">
            <v>105271</v>
          </cell>
        </row>
        <row r="34">
          <cell r="B34">
            <v>728254</v>
          </cell>
          <cell r="C34">
            <v>122606</v>
          </cell>
        </row>
        <row r="35">
          <cell r="B35">
            <v>653607</v>
          </cell>
          <cell r="C35">
            <v>109684</v>
          </cell>
        </row>
        <row r="36">
          <cell r="B36">
            <v>656318</v>
          </cell>
          <cell r="C36">
            <v>115246</v>
          </cell>
        </row>
        <row r="37">
          <cell r="B37">
            <v>513363</v>
          </cell>
          <cell r="C37">
            <v>99906</v>
          </cell>
        </row>
        <row r="38">
          <cell r="B38">
            <v>6031459</v>
          </cell>
          <cell r="C38">
            <v>974002</v>
          </cell>
        </row>
        <row r="39">
          <cell r="B39">
            <v>728254</v>
          </cell>
          <cell r="C39">
            <v>122606</v>
          </cell>
        </row>
        <row r="40">
          <cell r="B40">
            <v>2340</v>
          </cell>
          <cell r="C40">
            <v>90</v>
          </cell>
        </row>
      </sheetData>
      <sheetData sheetId="6">
        <row r="1">
          <cell r="B1" t="str">
            <v>Total article count</v>
          </cell>
          <cell r="C1" t="str">
            <v>HasPvalue</v>
          </cell>
        </row>
        <row r="2">
          <cell r="B2">
            <v>0</v>
          </cell>
          <cell r="C2">
            <v>0</v>
          </cell>
        </row>
        <row r="3">
          <cell r="B3">
            <v>0</v>
          </cell>
          <cell r="C3">
            <v>0</v>
          </cell>
        </row>
        <row r="4">
          <cell r="B4">
            <v>0</v>
          </cell>
          <cell r="C4">
            <v>0</v>
          </cell>
        </row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0</v>
          </cell>
          <cell r="C8">
            <v>0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1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0</v>
          </cell>
          <cell r="C21">
            <v>0</v>
          </cell>
        </row>
        <row r="22">
          <cell r="B22">
            <v>0</v>
          </cell>
          <cell r="C22">
            <v>0</v>
          </cell>
        </row>
        <row r="23">
          <cell r="B23">
            <v>1</v>
          </cell>
          <cell r="C23">
            <v>0</v>
          </cell>
        </row>
        <row r="24">
          <cell r="B24">
            <v>49</v>
          </cell>
          <cell r="C24">
            <v>29</v>
          </cell>
        </row>
        <row r="25">
          <cell r="B25">
            <v>595</v>
          </cell>
          <cell r="C25">
            <v>294</v>
          </cell>
        </row>
        <row r="26">
          <cell r="B26">
            <v>1464</v>
          </cell>
          <cell r="C26">
            <v>674</v>
          </cell>
        </row>
        <row r="27">
          <cell r="B27">
            <v>2388</v>
          </cell>
          <cell r="C27">
            <v>1199</v>
          </cell>
        </row>
        <row r="28">
          <cell r="B28">
            <v>3060</v>
          </cell>
          <cell r="C28">
            <v>1566</v>
          </cell>
        </row>
        <row r="29">
          <cell r="B29">
            <v>3546</v>
          </cell>
          <cell r="C29">
            <v>1743</v>
          </cell>
        </row>
        <row r="30">
          <cell r="B30">
            <v>3964</v>
          </cell>
          <cell r="C30">
            <v>1939</v>
          </cell>
        </row>
        <row r="31">
          <cell r="B31">
            <v>5016</v>
          </cell>
          <cell r="C31">
            <v>2380</v>
          </cell>
        </row>
        <row r="32">
          <cell r="B32">
            <v>6422</v>
          </cell>
          <cell r="C32">
            <v>3033</v>
          </cell>
        </row>
        <row r="33">
          <cell r="B33">
            <v>7916</v>
          </cell>
          <cell r="C33">
            <v>3682</v>
          </cell>
        </row>
        <row r="34">
          <cell r="B34">
            <v>6510</v>
          </cell>
          <cell r="C34">
            <v>3109</v>
          </cell>
        </row>
        <row r="35">
          <cell r="B35">
            <v>5550</v>
          </cell>
          <cell r="C35">
            <v>2668</v>
          </cell>
        </row>
        <row r="36">
          <cell r="B36">
            <v>6845</v>
          </cell>
          <cell r="C36">
            <v>3357</v>
          </cell>
        </row>
        <row r="37">
          <cell r="B37">
            <v>5852</v>
          </cell>
          <cell r="C37">
            <v>2950</v>
          </cell>
        </row>
        <row r="38">
          <cell r="B38">
            <v>59179</v>
          </cell>
          <cell r="C38">
            <v>28623</v>
          </cell>
        </row>
        <row r="39">
          <cell r="B39">
            <v>7916</v>
          </cell>
          <cell r="C39">
            <v>3682</v>
          </cell>
        </row>
        <row r="40">
          <cell r="B40">
            <v>0</v>
          </cell>
          <cell r="C40">
            <v>0</v>
          </cell>
        </row>
      </sheetData>
      <sheetData sheetId="7">
        <row r="2">
          <cell r="B2">
            <v>0</v>
          </cell>
          <cell r="C2">
            <v>0</v>
          </cell>
        </row>
        <row r="3">
          <cell r="B3">
            <v>0</v>
          </cell>
          <cell r="C3">
            <v>0</v>
          </cell>
        </row>
        <row r="4">
          <cell r="B4">
            <v>0</v>
          </cell>
          <cell r="C4">
            <v>0</v>
          </cell>
        </row>
        <row r="5">
          <cell r="B5">
            <v>0</v>
          </cell>
          <cell r="C5">
            <v>0</v>
          </cell>
        </row>
        <row r="6">
          <cell r="B6">
            <v>1</v>
          </cell>
          <cell r="C6">
            <v>0</v>
          </cell>
        </row>
        <row r="7">
          <cell r="B7">
            <v>1</v>
          </cell>
          <cell r="C7">
            <v>0</v>
          </cell>
        </row>
        <row r="8">
          <cell r="B8">
            <v>0</v>
          </cell>
          <cell r="C8">
            <v>0</v>
          </cell>
        </row>
        <row r="9">
          <cell r="B9">
            <v>1</v>
          </cell>
          <cell r="C9">
            <v>0</v>
          </cell>
        </row>
        <row r="10">
          <cell r="B10">
            <v>2</v>
          </cell>
          <cell r="C10">
            <v>0</v>
          </cell>
        </row>
        <row r="11">
          <cell r="B11">
            <v>1</v>
          </cell>
          <cell r="C11">
            <v>0</v>
          </cell>
        </row>
        <row r="12">
          <cell r="B12">
            <v>3</v>
          </cell>
          <cell r="C12">
            <v>0</v>
          </cell>
        </row>
        <row r="13">
          <cell r="B13">
            <v>11</v>
          </cell>
          <cell r="C13">
            <v>2</v>
          </cell>
        </row>
        <row r="14">
          <cell r="B14">
            <v>17</v>
          </cell>
          <cell r="C14">
            <v>6</v>
          </cell>
        </row>
        <row r="15">
          <cell r="B15">
            <v>15</v>
          </cell>
          <cell r="C15">
            <v>1</v>
          </cell>
        </row>
        <row r="16">
          <cell r="B16">
            <v>30</v>
          </cell>
          <cell r="C16">
            <v>3</v>
          </cell>
        </row>
        <row r="17">
          <cell r="B17">
            <v>48</v>
          </cell>
          <cell r="C17">
            <v>6</v>
          </cell>
        </row>
        <row r="18">
          <cell r="B18">
            <v>86</v>
          </cell>
          <cell r="C18">
            <v>11</v>
          </cell>
        </row>
        <row r="19">
          <cell r="B19">
            <v>95</v>
          </cell>
          <cell r="C19">
            <v>13</v>
          </cell>
        </row>
        <row r="20">
          <cell r="B20">
            <v>160</v>
          </cell>
          <cell r="C20">
            <v>21</v>
          </cell>
        </row>
        <row r="21">
          <cell r="B21">
            <v>222</v>
          </cell>
          <cell r="C21">
            <v>34</v>
          </cell>
        </row>
        <row r="22">
          <cell r="B22">
            <v>354</v>
          </cell>
          <cell r="C22">
            <v>57</v>
          </cell>
        </row>
        <row r="23">
          <cell r="B23">
            <v>515</v>
          </cell>
          <cell r="C23">
            <v>65</v>
          </cell>
        </row>
        <row r="24">
          <cell r="B24">
            <v>744</v>
          </cell>
          <cell r="C24">
            <v>118</v>
          </cell>
        </row>
        <row r="25">
          <cell r="B25">
            <v>1178</v>
          </cell>
          <cell r="C25">
            <v>206</v>
          </cell>
        </row>
        <row r="26">
          <cell r="B26">
            <v>1666</v>
          </cell>
          <cell r="C26">
            <v>316</v>
          </cell>
        </row>
        <row r="27">
          <cell r="B27">
            <v>2147</v>
          </cell>
          <cell r="C27">
            <v>456</v>
          </cell>
        </row>
        <row r="28">
          <cell r="B28">
            <v>2652</v>
          </cell>
          <cell r="C28">
            <v>577</v>
          </cell>
        </row>
        <row r="29">
          <cell r="B29">
            <v>3157</v>
          </cell>
          <cell r="C29">
            <v>682</v>
          </cell>
        </row>
        <row r="30">
          <cell r="B30">
            <v>3460</v>
          </cell>
          <cell r="C30">
            <v>771</v>
          </cell>
        </row>
        <row r="31">
          <cell r="B31">
            <v>5341</v>
          </cell>
          <cell r="C31">
            <v>1300</v>
          </cell>
        </row>
        <row r="32">
          <cell r="B32">
            <v>7293</v>
          </cell>
          <cell r="C32">
            <v>1710</v>
          </cell>
        </row>
        <row r="33">
          <cell r="B33">
            <v>10296</v>
          </cell>
          <cell r="C33">
            <v>2433</v>
          </cell>
        </row>
        <row r="34">
          <cell r="B34">
            <v>13058</v>
          </cell>
          <cell r="C34">
            <v>3171</v>
          </cell>
        </row>
        <row r="35">
          <cell r="B35">
            <v>11272</v>
          </cell>
          <cell r="C35">
            <v>2863</v>
          </cell>
        </row>
        <row r="36">
          <cell r="B36">
            <v>12580</v>
          </cell>
          <cell r="C36">
            <v>3332</v>
          </cell>
        </row>
        <row r="37">
          <cell r="B37">
            <v>10242</v>
          </cell>
          <cell r="C37">
            <v>2661</v>
          </cell>
        </row>
        <row r="38">
          <cell r="B38">
            <v>86648</v>
          </cell>
          <cell r="C38">
            <v>20815</v>
          </cell>
        </row>
        <row r="39">
          <cell r="B39">
            <v>13058</v>
          </cell>
          <cell r="C39">
            <v>3332</v>
          </cell>
        </row>
        <row r="40">
          <cell r="B40">
            <v>0</v>
          </cell>
          <cell r="C4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D40"/>
  <sheetViews>
    <sheetView topLeftCell="A13" workbookViewId="0">
      <selection activeCell="C27" sqref="C27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[1]RCT!B1</f>
        <v>Total article count</v>
      </c>
      <c r="C1" t="str">
        <f>[1]RCT!C1</f>
        <v>HasPvalue</v>
      </c>
      <c r="D1" t="s">
        <v>1</v>
      </c>
    </row>
    <row r="2" spans="1:4" x14ac:dyDescent="0.3">
      <c r="A2">
        <v>1990</v>
      </c>
      <c r="B2">
        <f>[1]RCT!B2</f>
        <v>11</v>
      </c>
      <c r="C2">
        <f>[1]RCT!C2</f>
        <v>3</v>
      </c>
      <c r="D2">
        <f>C2/B2*100</f>
        <v>27.27272727272727</v>
      </c>
    </row>
    <row r="3" spans="1:4" x14ac:dyDescent="0.3">
      <c r="A3">
        <v>1991</v>
      </c>
      <c r="B3">
        <f>[1]RCT!B3</f>
        <v>20</v>
      </c>
      <c r="C3">
        <f>[1]RCT!C3</f>
        <v>10</v>
      </c>
      <c r="D3">
        <f t="shared" ref="D3:D37" si="0">C3/B3*100</f>
        <v>50</v>
      </c>
    </row>
    <row r="4" spans="1:4" x14ac:dyDescent="0.3">
      <c r="A4">
        <f>A2+2</f>
        <v>1992</v>
      </c>
      <c r="B4">
        <f>[1]RCT!B4</f>
        <v>16</v>
      </c>
      <c r="C4">
        <f>[1]RCT!C4</f>
        <v>6</v>
      </c>
      <c r="D4">
        <f t="shared" si="0"/>
        <v>37.5</v>
      </c>
    </row>
    <row r="5" spans="1:4" x14ac:dyDescent="0.3">
      <c r="A5">
        <f t="shared" ref="A5:A36" si="1">A3+2</f>
        <v>1993</v>
      </c>
      <c r="B5">
        <f>[1]RCT!B5</f>
        <v>29</v>
      </c>
      <c r="C5">
        <f>[1]RCT!C5</f>
        <v>14</v>
      </c>
      <c r="D5">
        <f t="shared" si="0"/>
        <v>48.275862068965516</v>
      </c>
    </row>
    <row r="6" spans="1:4" x14ac:dyDescent="0.3">
      <c r="A6">
        <f t="shared" si="1"/>
        <v>1994</v>
      </c>
      <c r="B6">
        <f>[1]RCT!B6</f>
        <v>36</v>
      </c>
      <c r="C6">
        <f>[1]RCT!C6</f>
        <v>18</v>
      </c>
      <c r="D6">
        <f t="shared" si="0"/>
        <v>50</v>
      </c>
    </row>
    <row r="7" spans="1:4" x14ac:dyDescent="0.3">
      <c r="A7">
        <f t="shared" si="1"/>
        <v>1995</v>
      </c>
      <c r="B7">
        <f>[1]RCT!B7</f>
        <v>29</v>
      </c>
      <c r="C7">
        <f>[1]RCT!C7</f>
        <v>15</v>
      </c>
      <c r="D7">
        <f t="shared" si="0"/>
        <v>51.724137931034484</v>
      </c>
    </row>
    <row r="8" spans="1:4" x14ac:dyDescent="0.3">
      <c r="A8">
        <f t="shared" si="1"/>
        <v>1996</v>
      </c>
      <c r="B8">
        <f>[1]RCT!B8</f>
        <v>43</v>
      </c>
      <c r="C8">
        <f>[1]RCT!C8</f>
        <v>18</v>
      </c>
      <c r="D8">
        <f t="shared" si="0"/>
        <v>41.860465116279073</v>
      </c>
    </row>
    <row r="9" spans="1:4" x14ac:dyDescent="0.3">
      <c r="A9">
        <f t="shared" si="1"/>
        <v>1997</v>
      </c>
      <c r="B9">
        <f>[1]RCT!B9</f>
        <v>28</v>
      </c>
      <c r="C9">
        <f>[1]RCT!C9</f>
        <v>17</v>
      </c>
      <c r="D9">
        <f t="shared" si="0"/>
        <v>60.714285714285708</v>
      </c>
    </row>
    <row r="10" spans="1:4" x14ac:dyDescent="0.3">
      <c r="A10">
        <f t="shared" si="1"/>
        <v>1998</v>
      </c>
      <c r="B10">
        <f>[1]RCT!B10</f>
        <v>43</v>
      </c>
      <c r="C10">
        <f>[1]RCT!C10</f>
        <v>25</v>
      </c>
      <c r="D10">
        <f t="shared" si="0"/>
        <v>58.139534883720934</v>
      </c>
    </row>
    <row r="11" spans="1:4" x14ac:dyDescent="0.3">
      <c r="A11">
        <f t="shared" si="1"/>
        <v>1999</v>
      </c>
      <c r="B11">
        <f>[1]RCT!B11</f>
        <v>37</v>
      </c>
      <c r="C11">
        <f>[1]RCT!C11</f>
        <v>16</v>
      </c>
      <c r="D11">
        <f t="shared" si="0"/>
        <v>43.243243243243242</v>
      </c>
    </row>
    <row r="12" spans="1:4" x14ac:dyDescent="0.3">
      <c r="A12">
        <f t="shared" si="1"/>
        <v>2000</v>
      </c>
      <c r="B12">
        <f>[1]RCT!B12</f>
        <v>45</v>
      </c>
      <c r="C12">
        <f>[1]RCT!C12</f>
        <v>21</v>
      </c>
      <c r="D12">
        <f t="shared" si="0"/>
        <v>46.666666666666664</v>
      </c>
    </row>
    <row r="13" spans="1:4" x14ac:dyDescent="0.3">
      <c r="A13">
        <f t="shared" si="1"/>
        <v>2001</v>
      </c>
      <c r="B13">
        <f>[1]RCT!B13</f>
        <v>65</v>
      </c>
      <c r="C13">
        <f>[1]RCT!C13</f>
        <v>34</v>
      </c>
      <c r="D13">
        <f t="shared" si="0"/>
        <v>52.307692307692314</v>
      </c>
    </row>
    <row r="14" spans="1:4" x14ac:dyDescent="0.3">
      <c r="A14">
        <f t="shared" si="1"/>
        <v>2002</v>
      </c>
      <c r="B14">
        <f>[1]RCT!B14</f>
        <v>75</v>
      </c>
      <c r="C14">
        <f>[1]RCT!C14</f>
        <v>34</v>
      </c>
      <c r="D14">
        <f t="shared" si="0"/>
        <v>45.333333333333329</v>
      </c>
    </row>
    <row r="15" spans="1:4" x14ac:dyDescent="0.3">
      <c r="A15">
        <f t="shared" si="1"/>
        <v>2003</v>
      </c>
      <c r="B15">
        <f>[1]RCT!B15</f>
        <v>76</v>
      </c>
      <c r="C15">
        <f>[1]RCT!C15</f>
        <v>36</v>
      </c>
      <c r="D15">
        <f t="shared" si="0"/>
        <v>47.368421052631575</v>
      </c>
    </row>
    <row r="16" spans="1:4" x14ac:dyDescent="0.3">
      <c r="A16">
        <f t="shared" si="1"/>
        <v>2004</v>
      </c>
      <c r="B16">
        <f>[1]RCT!B16</f>
        <v>160</v>
      </c>
      <c r="C16">
        <f>[1]RCT!C16</f>
        <v>71</v>
      </c>
      <c r="D16">
        <f t="shared" si="0"/>
        <v>44.375</v>
      </c>
    </row>
    <row r="17" spans="1:4" x14ac:dyDescent="0.3">
      <c r="A17">
        <f t="shared" si="1"/>
        <v>2005</v>
      </c>
      <c r="B17">
        <f>[1]RCT!B17</f>
        <v>195</v>
      </c>
      <c r="C17">
        <f>[1]RCT!C17</f>
        <v>92</v>
      </c>
      <c r="D17">
        <f t="shared" si="0"/>
        <v>47.179487179487175</v>
      </c>
    </row>
    <row r="18" spans="1:4" x14ac:dyDescent="0.3">
      <c r="A18">
        <f t="shared" si="1"/>
        <v>2006</v>
      </c>
      <c r="B18">
        <f>[1]RCT!B18</f>
        <v>263</v>
      </c>
      <c r="C18">
        <f>[1]RCT!C18</f>
        <v>123</v>
      </c>
      <c r="D18">
        <f t="shared" si="0"/>
        <v>46.768060836501903</v>
      </c>
    </row>
    <row r="19" spans="1:4" x14ac:dyDescent="0.3">
      <c r="A19">
        <f t="shared" si="1"/>
        <v>2007</v>
      </c>
      <c r="B19">
        <f>[1]RCT!B19</f>
        <v>483</v>
      </c>
      <c r="C19">
        <f>[1]RCT!C19</f>
        <v>214</v>
      </c>
      <c r="D19">
        <f t="shared" si="0"/>
        <v>44.306418219461698</v>
      </c>
    </row>
    <row r="20" spans="1:4" x14ac:dyDescent="0.3">
      <c r="A20">
        <f t="shared" si="1"/>
        <v>2008</v>
      </c>
      <c r="B20">
        <f>[1]RCT!B20</f>
        <v>759</v>
      </c>
      <c r="C20">
        <f>[1]RCT!C20</f>
        <v>333</v>
      </c>
      <c r="D20">
        <f t="shared" si="0"/>
        <v>43.873517786561266</v>
      </c>
    </row>
    <row r="21" spans="1:4" x14ac:dyDescent="0.3">
      <c r="A21">
        <f t="shared" si="1"/>
        <v>2009</v>
      </c>
      <c r="B21">
        <f>[1]RCT!B21</f>
        <v>1079</v>
      </c>
      <c r="C21">
        <f>[1]RCT!C21</f>
        <v>439</v>
      </c>
      <c r="D21">
        <f t="shared" si="0"/>
        <v>40.68582020389249</v>
      </c>
    </row>
    <row r="22" spans="1:4" x14ac:dyDescent="0.3">
      <c r="A22">
        <f t="shared" si="1"/>
        <v>2010</v>
      </c>
      <c r="B22">
        <f>[1]RCT!B22</f>
        <v>1460</v>
      </c>
      <c r="C22">
        <f>[1]RCT!C22</f>
        <v>601</v>
      </c>
      <c r="D22">
        <f t="shared" si="0"/>
        <v>41.164383561643838</v>
      </c>
    </row>
    <row r="23" spans="1:4" x14ac:dyDescent="0.3">
      <c r="A23">
        <f t="shared" si="1"/>
        <v>2011</v>
      </c>
      <c r="B23">
        <f>[1]RCT!B23</f>
        <v>2041</v>
      </c>
      <c r="C23">
        <f>[1]RCT!C23</f>
        <v>797</v>
      </c>
      <c r="D23">
        <f t="shared" si="0"/>
        <v>39.049485546300829</v>
      </c>
    </row>
    <row r="24" spans="1:4" x14ac:dyDescent="0.3">
      <c r="A24">
        <f>A22+2</f>
        <v>2012</v>
      </c>
      <c r="B24">
        <f>[1]RCT!B24</f>
        <v>2513</v>
      </c>
      <c r="C24">
        <f>[1]RCT!C24</f>
        <v>977</v>
      </c>
      <c r="D24">
        <f t="shared" si="0"/>
        <v>38.877835256665335</v>
      </c>
    </row>
    <row r="25" spans="1:4" x14ac:dyDescent="0.3">
      <c r="A25">
        <f t="shared" si="1"/>
        <v>2013</v>
      </c>
      <c r="B25">
        <f>[1]RCT!B25</f>
        <v>3452</v>
      </c>
      <c r="C25">
        <f>[1]RCT!C25</f>
        <v>1382</v>
      </c>
      <c r="D25">
        <f t="shared" si="0"/>
        <v>40.034762456546929</v>
      </c>
    </row>
    <row r="26" spans="1:4" x14ac:dyDescent="0.3">
      <c r="A26">
        <f t="shared" si="1"/>
        <v>2014</v>
      </c>
      <c r="B26">
        <f>[1]RCT!B26</f>
        <v>4240</v>
      </c>
      <c r="C26">
        <f>[1]RCT!C26</f>
        <v>1767</v>
      </c>
      <c r="D26">
        <f t="shared" si="0"/>
        <v>41.674528301886795</v>
      </c>
    </row>
    <row r="27" spans="1:4" x14ac:dyDescent="0.3">
      <c r="A27">
        <f t="shared" si="1"/>
        <v>2015</v>
      </c>
      <c r="B27">
        <f>[1]RCT!B27</f>
        <v>4700</v>
      </c>
      <c r="C27">
        <f>[1]RCT!C27</f>
        <v>1962</v>
      </c>
      <c r="D27">
        <f t="shared" si="0"/>
        <v>41.744680851063833</v>
      </c>
    </row>
    <row r="28" spans="1:4" x14ac:dyDescent="0.3">
      <c r="A28">
        <f t="shared" si="1"/>
        <v>2016</v>
      </c>
      <c r="B28">
        <f>[1]RCT!B28</f>
        <v>5052</v>
      </c>
      <c r="C28">
        <f>[1]RCT!C28</f>
        <v>2224</v>
      </c>
      <c r="D28">
        <f t="shared" si="0"/>
        <v>44.022169437846401</v>
      </c>
    </row>
    <row r="29" spans="1:4" x14ac:dyDescent="0.3">
      <c r="A29">
        <f t="shared" si="1"/>
        <v>2017</v>
      </c>
      <c r="B29">
        <f>[1]RCT!B29</f>
        <v>5481</v>
      </c>
      <c r="C29">
        <f>[1]RCT!C29</f>
        <v>2405</v>
      </c>
      <c r="D29">
        <f t="shared" si="0"/>
        <v>43.878854223681813</v>
      </c>
    </row>
    <row r="30" spans="1:4" x14ac:dyDescent="0.3">
      <c r="A30">
        <f t="shared" si="1"/>
        <v>2018</v>
      </c>
      <c r="B30">
        <f>[1]RCT!B30</f>
        <v>5304</v>
      </c>
      <c r="C30">
        <f>[1]RCT!C30</f>
        <v>2594</v>
      </c>
      <c r="D30">
        <f t="shared" si="0"/>
        <v>48.906485671191554</v>
      </c>
    </row>
    <row r="31" spans="1:4" x14ac:dyDescent="0.3">
      <c r="A31">
        <f t="shared" si="1"/>
        <v>2019</v>
      </c>
      <c r="B31">
        <f>[1]RCT!B31</f>
        <v>5865</v>
      </c>
      <c r="C31">
        <f>[1]RCT!C31</f>
        <v>2992</v>
      </c>
      <c r="D31">
        <f t="shared" si="0"/>
        <v>51.014492753623188</v>
      </c>
    </row>
    <row r="32" spans="1:4" x14ac:dyDescent="0.3">
      <c r="A32">
        <f t="shared" si="1"/>
        <v>2020</v>
      </c>
      <c r="B32">
        <f>[1]RCT!B32</f>
        <v>7035</v>
      </c>
      <c r="C32">
        <f>[1]RCT!C32</f>
        <v>3647</v>
      </c>
      <c r="D32">
        <f t="shared" si="0"/>
        <v>51.840796019900495</v>
      </c>
    </row>
    <row r="33" spans="1:4" x14ac:dyDescent="0.3">
      <c r="A33">
        <f t="shared" si="1"/>
        <v>2021</v>
      </c>
      <c r="B33">
        <f>[1]RCT!B33</f>
        <v>8116</v>
      </c>
      <c r="C33">
        <f>[1]RCT!C33</f>
        <v>4324</v>
      </c>
      <c r="D33">
        <f t="shared" si="0"/>
        <v>53.277476589452931</v>
      </c>
    </row>
    <row r="34" spans="1:4" x14ac:dyDescent="0.3">
      <c r="A34">
        <f t="shared" si="1"/>
        <v>2022</v>
      </c>
      <c r="B34">
        <f>[1]RCT!B34</f>
        <v>9663</v>
      </c>
      <c r="C34">
        <f>[1]RCT!C34</f>
        <v>5214</v>
      </c>
      <c r="D34">
        <f t="shared" si="0"/>
        <v>53.958398013039435</v>
      </c>
    </row>
    <row r="35" spans="1:4" x14ac:dyDescent="0.3">
      <c r="A35">
        <f t="shared" si="1"/>
        <v>2023</v>
      </c>
      <c r="B35">
        <f>[1]RCT!B35</f>
        <v>8016</v>
      </c>
      <c r="C35">
        <f>[1]RCT!C35</f>
        <v>4346</v>
      </c>
      <c r="D35">
        <f t="shared" si="0"/>
        <v>54.21656686626747</v>
      </c>
    </row>
    <row r="36" spans="1:4" x14ac:dyDescent="0.3">
      <c r="A36">
        <f t="shared" si="1"/>
        <v>2024</v>
      </c>
      <c r="B36">
        <f>[1]RCT!B36</f>
        <v>8616</v>
      </c>
      <c r="C36">
        <f>[1]RCT!C36</f>
        <v>5006</v>
      </c>
      <c r="D36">
        <f t="shared" si="0"/>
        <v>58.101207056638813</v>
      </c>
    </row>
    <row r="37" spans="1:4" x14ac:dyDescent="0.3">
      <c r="A37">
        <v>2025</v>
      </c>
      <c r="B37">
        <f>[1]RCT!B37</f>
        <v>7148</v>
      </c>
      <c r="C37">
        <f>[1]RCT!C37</f>
        <v>4139</v>
      </c>
      <c r="D37">
        <f t="shared" si="0"/>
        <v>57.904308897593737</v>
      </c>
    </row>
    <row r="38" spans="1:4" x14ac:dyDescent="0.3">
      <c r="A38" t="s">
        <v>8</v>
      </c>
      <c r="B38">
        <f>[1]RCT!B38</f>
        <v>92194</v>
      </c>
      <c r="C38">
        <f>[1]RCT!C38</f>
        <v>45916</v>
      </c>
    </row>
    <row r="39" spans="1:4" x14ac:dyDescent="0.3">
      <c r="A39" t="s">
        <v>6</v>
      </c>
      <c r="B39">
        <f>[1]RCT!B39</f>
        <v>9663</v>
      </c>
      <c r="C39">
        <f>[1]RCT!C39</f>
        <v>5214</v>
      </c>
      <c r="D39">
        <f>MAX(D2:D37)</f>
        <v>60.714285714285708</v>
      </c>
    </row>
    <row r="40" spans="1:4" x14ac:dyDescent="0.3">
      <c r="A40" t="s">
        <v>7</v>
      </c>
      <c r="B40">
        <f>[1]RCT!B40</f>
        <v>11</v>
      </c>
      <c r="C40">
        <f>[1]RCT!C40</f>
        <v>3</v>
      </c>
      <c r="D40">
        <f>MIN(D2:D37)</f>
        <v>27.27272727272727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D40"/>
  <sheetViews>
    <sheetView workbookViewId="0">
      <selection activeCell="C11" sqref="C11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[1]CT!B1</f>
        <v>Total article count</v>
      </c>
      <c r="C1" t="str">
        <f>[1]CT!C1</f>
        <v>HasPvalue</v>
      </c>
      <c r="D1" t="s">
        <v>1</v>
      </c>
    </row>
    <row r="2" spans="1:4" x14ac:dyDescent="0.3">
      <c r="A2">
        <v>1990</v>
      </c>
      <c r="B2">
        <f>[1]CT!B2</f>
        <v>10</v>
      </c>
      <c r="C2">
        <f>[1]CT!C2</f>
        <v>1</v>
      </c>
      <c r="D2">
        <f>C2/B2*100</f>
        <v>10</v>
      </c>
    </row>
    <row r="3" spans="1:4" x14ac:dyDescent="0.3">
      <c r="A3">
        <v>1991</v>
      </c>
      <c r="B3">
        <f>[1]CT!B3</f>
        <v>28</v>
      </c>
      <c r="C3">
        <f>[1]CT!C3</f>
        <v>3</v>
      </c>
      <c r="D3">
        <f t="shared" ref="D3:D37" si="0">C3/B3*100</f>
        <v>10.714285714285714</v>
      </c>
    </row>
    <row r="4" spans="1:4" x14ac:dyDescent="0.3">
      <c r="A4">
        <f>A2+2</f>
        <v>1992</v>
      </c>
      <c r="B4">
        <f>[1]CT!B4</f>
        <v>30</v>
      </c>
      <c r="C4">
        <f>[1]CT!C4</f>
        <v>2</v>
      </c>
      <c r="D4">
        <f t="shared" si="0"/>
        <v>6.666666666666667</v>
      </c>
    </row>
    <row r="5" spans="1:4" x14ac:dyDescent="0.3">
      <c r="A5">
        <f t="shared" ref="A5:A36" si="1">A3+2</f>
        <v>1993</v>
      </c>
      <c r="B5">
        <f>[1]CT!B5</f>
        <v>43</v>
      </c>
      <c r="C5">
        <f>[1]CT!C5</f>
        <v>9</v>
      </c>
      <c r="D5">
        <f t="shared" si="0"/>
        <v>20.930232558139537</v>
      </c>
    </row>
    <row r="6" spans="1:4" x14ac:dyDescent="0.3">
      <c r="A6">
        <f t="shared" si="1"/>
        <v>1994</v>
      </c>
      <c r="B6">
        <f>[1]CT!B6</f>
        <v>60</v>
      </c>
      <c r="C6">
        <f>[1]CT!C6</f>
        <v>14</v>
      </c>
      <c r="D6">
        <f t="shared" si="0"/>
        <v>23.333333333333332</v>
      </c>
    </row>
    <row r="7" spans="1:4" x14ac:dyDescent="0.3">
      <c r="A7">
        <f t="shared" si="1"/>
        <v>1995</v>
      </c>
      <c r="B7">
        <f>[1]CT!B7</f>
        <v>64</v>
      </c>
      <c r="C7">
        <f>[1]CT!C7</f>
        <v>11</v>
      </c>
      <c r="D7">
        <f t="shared" si="0"/>
        <v>17.1875</v>
      </c>
    </row>
    <row r="8" spans="1:4" x14ac:dyDescent="0.3">
      <c r="A8">
        <f t="shared" si="1"/>
        <v>1996</v>
      </c>
      <c r="B8">
        <f>[1]CT!B8</f>
        <v>62</v>
      </c>
      <c r="C8">
        <f>[1]CT!C8</f>
        <v>8</v>
      </c>
      <c r="D8">
        <f t="shared" si="0"/>
        <v>12.903225806451612</v>
      </c>
    </row>
    <row r="9" spans="1:4" x14ac:dyDescent="0.3">
      <c r="A9">
        <f t="shared" si="1"/>
        <v>1997</v>
      </c>
      <c r="B9">
        <f>[1]CT!B9</f>
        <v>68</v>
      </c>
      <c r="C9">
        <f>[1]CT!C9</f>
        <v>14</v>
      </c>
      <c r="D9">
        <f t="shared" si="0"/>
        <v>20.588235294117645</v>
      </c>
    </row>
    <row r="10" spans="1:4" x14ac:dyDescent="0.3">
      <c r="A10">
        <f t="shared" si="1"/>
        <v>1998</v>
      </c>
      <c r="B10">
        <f>[1]CT!B10</f>
        <v>95</v>
      </c>
      <c r="C10">
        <f>[1]CT!C10</f>
        <v>21</v>
      </c>
      <c r="D10">
        <f t="shared" si="0"/>
        <v>22.105263157894736</v>
      </c>
    </row>
    <row r="11" spans="1:4" x14ac:dyDescent="0.3">
      <c r="A11">
        <f t="shared" si="1"/>
        <v>1999</v>
      </c>
      <c r="B11">
        <f>[1]CT!B11</f>
        <v>103</v>
      </c>
      <c r="C11">
        <f>[1]CT!C11</f>
        <v>23</v>
      </c>
      <c r="D11">
        <f t="shared" si="0"/>
        <v>22.330097087378643</v>
      </c>
    </row>
    <row r="12" spans="1:4" x14ac:dyDescent="0.3">
      <c r="A12">
        <f t="shared" si="1"/>
        <v>2000</v>
      </c>
      <c r="B12">
        <f>[1]CT!B12</f>
        <v>77</v>
      </c>
      <c r="C12">
        <f>[1]CT!C12</f>
        <v>20</v>
      </c>
      <c r="D12">
        <f t="shared" si="0"/>
        <v>25.97402597402597</v>
      </c>
    </row>
    <row r="13" spans="1:4" x14ac:dyDescent="0.3">
      <c r="A13">
        <f t="shared" si="1"/>
        <v>2001</v>
      </c>
      <c r="B13">
        <f>[1]CT!B13</f>
        <v>84</v>
      </c>
      <c r="C13">
        <f>[1]CT!C13</f>
        <v>26</v>
      </c>
      <c r="D13">
        <f t="shared" si="0"/>
        <v>30.952380952380953</v>
      </c>
    </row>
    <row r="14" spans="1:4" x14ac:dyDescent="0.3">
      <c r="A14">
        <f t="shared" si="1"/>
        <v>2002</v>
      </c>
      <c r="B14">
        <f>[1]CT!B14</f>
        <v>90</v>
      </c>
      <c r="C14">
        <f>[1]CT!C14</f>
        <v>11</v>
      </c>
      <c r="D14">
        <f t="shared" si="0"/>
        <v>12.222222222222221</v>
      </c>
    </row>
    <row r="15" spans="1:4" x14ac:dyDescent="0.3">
      <c r="A15">
        <f t="shared" si="1"/>
        <v>2003</v>
      </c>
      <c r="B15">
        <f>[1]CT!B15</f>
        <v>109</v>
      </c>
      <c r="C15">
        <f>[1]CT!C15</f>
        <v>27</v>
      </c>
      <c r="D15">
        <f t="shared" si="0"/>
        <v>24.770642201834864</v>
      </c>
    </row>
    <row r="16" spans="1:4" x14ac:dyDescent="0.3">
      <c r="A16">
        <f t="shared" si="1"/>
        <v>2004</v>
      </c>
      <c r="B16">
        <f>[1]CT!B16</f>
        <v>206</v>
      </c>
      <c r="C16">
        <f>[1]CT!C16</f>
        <v>59</v>
      </c>
      <c r="D16">
        <f t="shared" si="0"/>
        <v>28.640776699029125</v>
      </c>
    </row>
    <row r="17" spans="1:4" x14ac:dyDescent="0.3">
      <c r="A17">
        <f t="shared" si="1"/>
        <v>2005</v>
      </c>
      <c r="B17">
        <f>[1]CT!B17</f>
        <v>195</v>
      </c>
      <c r="C17">
        <f>[1]CT!C17</f>
        <v>57</v>
      </c>
      <c r="D17">
        <f t="shared" si="0"/>
        <v>29.230769230769234</v>
      </c>
    </row>
    <row r="18" spans="1:4" x14ac:dyDescent="0.3">
      <c r="A18">
        <f t="shared" si="1"/>
        <v>2006</v>
      </c>
      <c r="B18">
        <f>[1]CT!B18</f>
        <v>131</v>
      </c>
      <c r="C18">
        <f>[1]CT!C18</f>
        <v>57</v>
      </c>
      <c r="D18">
        <f t="shared" si="0"/>
        <v>43.511450381679388</v>
      </c>
    </row>
    <row r="19" spans="1:4" x14ac:dyDescent="0.3">
      <c r="A19">
        <f t="shared" si="1"/>
        <v>2007</v>
      </c>
      <c r="B19">
        <f>[1]CT!B19</f>
        <v>158</v>
      </c>
      <c r="C19">
        <f>[1]CT!C19</f>
        <v>55</v>
      </c>
      <c r="D19">
        <f t="shared" si="0"/>
        <v>34.810126582278485</v>
      </c>
    </row>
    <row r="20" spans="1:4" x14ac:dyDescent="0.3">
      <c r="A20">
        <f t="shared" si="1"/>
        <v>2008</v>
      </c>
      <c r="B20">
        <f>[1]CT!B20</f>
        <v>182</v>
      </c>
      <c r="C20">
        <f>[1]CT!C20</f>
        <v>73</v>
      </c>
      <c r="D20">
        <f t="shared" si="0"/>
        <v>40.109890109890109</v>
      </c>
    </row>
    <row r="21" spans="1:4" x14ac:dyDescent="0.3">
      <c r="A21">
        <f t="shared" si="1"/>
        <v>2009</v>
      </c>
      <c r="B21">
        <f>[1]CT!B21</f>
        <v>220</v>
      </c>
      <c r="C21">
        <f>[1]CT!C21</f>
        <v>95</v>
      </c>
      <c r="D21">
        <f t="shared" si="0"/>
        <v>43.18181818181818</v>
      </c>
    </row>
    <row r="22" spans="1:4" x14ac:dyDescent="0.3">
      <c r="A22">
        <f t="shared" si="1"/>
        <v>2010</v>
      </c>
      <c r="B22">
        <f>[1]CT!B22</f>
        <v>362</v>
      </c>
      <c r="C22">
        <f>[1]CT!C22</f>
        <v>124</v>
      </c>
      <c r="D22">
        <f t="shared" si="0"/>
        <v>34.254143646408842</v>
      </c>
    </row>
    <row r="23" spans="1:4" x14ac:dyDescent="0.3">
      <c r="A23">
        <f t="shared" si="1"/>
        <v>2011</v>
      </c>
      <c r="B23">
        <f>[1]CT!B23</f>
        <v>507</v>
      </c>
      <c r="C23">
        <f>[1]CT!C23</f>
        <v>188</v>
      </c>
      <c r="D23">
        <f t="shared" si="0"/>
        <v>37.08086785009862</v>
      </c>
    </row>
    <row r="24" spans="1:4" x14ac:dyDescent="0.3">
      <c r="A24">
        <f>A22+2</f>
        <v>2012</v>
      </c>
      <c r="B24">
        <f>[1]CT!B24</f>
        <v>865</v>
      </c>
      <c r="C24">
        <f>[1]CT!C24</f>
        <v>323</v>
      </c>
      <c r="D24">
        <f t="shared" si="0"/>
        <v>37.341040462427742</v>
      </c>
    </row>
    <row r="25" spans="1:4" x14ac:dyDescent="0.3">
      <c r="A25">
        <f t="shared" si="1"/>
        <v>2013</v>
      </c>
      <c r="B25">
        <f>[1]CT!B25</f>
        <v>1300</v>
      </c>
      <c r="C25">
        <f>[1]CT!C25</f>
        <v>459</v>
      </c>
      <c r="D25">
        <f t="shared" si="0"/>
        <v>35.307692307692307</v>
      </c>
    </row>
    <row r="26" spans="1:4" x14ac:dyDescent="0.3">
      <c r="A26">
        <f t="shared" si="1"/>
        <v>2014</v>
      </c>
      <c r="B26">
        <f>[1]CT!B26</f>
        <v>1455</v>
      </c>
      <c r="C26">
        <f>[1]CT!C26</f>
        <v>542</v>
      </c>
      <c r="D26">
        <f t="shared" si="0"/>
        <v>37.250859106529212</v>
      </c>
    </row>
    <row r="27" spans="1:4" x14ac:dyDescent="0.3">
      <c r="A27">
        <f t="shared" si="1"/>
        <v>2015</v>
      </c>
      <c r="B27">
        <f>[1]CT!B27</f>
        <v>1457</v>
      </c>
      <c r="C27">
        <f>[1]CT!C27</f>
        <v>570</v>
      </c>
      <c r="D27">
        <f t="shared" si="0"/>
        <v>39.121482498284145</v>
      </c>
    </row>
    <row r="28" spans="1:4" x14ac:dyDescent="0.3">
      <c r="A28">
        <f t="shared" si="1"/>
        <v>2016</v>
      </c>
      <c r="B28">
        <f>[1]CT!B28</f>
        <v>1479</v>
      </c>
      <c r="C28">
        <f>[1]CT!C28</f>
        <v>617</v>
      </c>
      <c r="D28">
        <f t="shared" si="0"/>
        <v>41.717376605814735</v>
      </c>
    </row>
    <row r="29" spans="1:4" x14ac:dyDescent="0.3">
      <c r="A29">
        <f t="shared" si="1"/>
        <v>2017</v>
      </c>
      <c r="B29">
        <f>[1]CT!B29</f>
        <v>1332</v>
      </c>
      <c r="C29">
        <f>[1]CT!C29</f>
        <v>552</v>
      </c>
      <c r="D29">
        <f t="shared" si="0"/>
        <v>41.441441441441441</v>
      </c>
    </row>
    <row r="30" spans="1:4" x14ac:dyDescent="0.3">
      <c r="A30">
        <f t="shared" si="1"/>
        <v>2018</v>
      </c>
      <c r="B30">
        <f>[1]CT!B30</f>
        <v>1821</v>
      </c>
      <c r="C30">
        <f>[1]CT!C30</f>
        <v>691</v>
      </c>
      <c r="D30">
        <f t="shared" si="0"/>
        <v>37.946183415705661</v>
      </c>
    </row>
    <row r="31" spans="1:4" x14ac:dyDescent="0.3">
      <c r="A31">
        <f t="shared" si="1"/>
        <v>2019</v>
      </c>
      <c r="B31">
        <f>[1]CT!B31</f>
        <v>2133</v>
      </c>
      <c r="C31">
        <f>[1]CT!C31</f>
        <v>820</v>
      </c>
      <c r="D31">
        <f t="shared" si="0"/>
        <v>38.443506797937175</v>
      </c>
    </row>
    <row r="32" spans="1:4" x14ac:dyDescent="0.3">
      <c r="A32">
        <f t="shared" si="1"/>
        <v>2020</v>
      </c>
      <c r="B32">
        <f>[1]CT!B32</f>
        <v>1919</v>
      </c>
      <c r="C32">
        <f>[1]CT!C32</f>
        <v>750</v>
      </c>
      <c r="D32">
        <f t="shared" si="0"/>
        <v>39.082855653986456</v>
      </c>
    </row>
    <row r="33" spans="1:4" x14ac:dyDescent="0.3">
      <c r="A33">
        <f t="shared" si="1"/>
        <v>2021</v>
      </c>
      <c r="B33">
        <f>[1]CT!B33</f>
        <v>2298</v>
      </c>
      <c r="C33">
        <f>[1]CT!C33</f>
        <v>885</v>
      </c>
      <c r="D33">
        <f t="shared" si="0"/>
        <v>38.511749347258487</v>
      </c>
    </row>
    <row r="34" spans="1:4" x14ac:dyDescent="0.3">
      <c r="A34">
        <f t="shared" si="1"/>
        <v>2022</v>
      </c>
      <c r="B34">
        <f>[1]CT!B34</f>
        <v>1415</v>
      </c>
      <c r="C34">
        <f>[1]CT!C34</f>
        <v>585</v>
      </c>
      <c r="D34">
        <f t="shared" si="0"/>
        <v>41.342756183745585</v>
      </c>
    </row>
    <row r="35" spans="1:4" x14ac:dyDescent="0.3">
      <c r="A35">
        <f t="shared" si="1"/>
        <v>2023</v>
      </c>
      <c r="B35">
        <f>[1]CT!B35</f>
        <v>1059</v>
      </c>
      <c r="C35">
        <f>[1]CT!C35</f>
        <v>467</v>
      </c>
      <c r="D35">
        <f t="shared" si="0"/>
        <v>44.098205854579788</v>
      </c>
    </row>
    <row r="36" spans="1:4" x14ac:dyDescent="0.3">
      <c r="A36">
        <f t="shared" si="1"/>
        <v>2024</v>
      </c>
      <c r="B36">
        <f>[1]CT!B36</f>
        <v>893</v>
      </c>
      <c r="C36">
        <f>[1]CT!C36</f>
        <v>412</v>
      </c>
      <c r="D36">
        <f t="shared" si="0"/>
        <v>46.136618141097422</v>
      </c>
    </row>
    <row r="37" spans="1:4" x14ac:dyDescent="0.3">
      <c r="A37">
        <v>2025</v>
      </c>
      <c r="B37">
        <f>[1]CT!B37</f>
        <v>639</v>
      </c>
      <c r="C37">
        <f>[1]CT!C37</f>
        <v>328</v>
      </c>
      <c r="D37">
        <f t="shared" si="0"/>
        <v>51.330203442879494</v>
      </c>
    </row>
    <row r="38" spans="1:4" x14ac:dyDescent="0.3">
      <c r="A38" t="s">
        <v>8</v>
      </c>
      <c r="B38">
        <f>[1]CT!B38</f>
        <v>22949</v>
      </c>
      <c r="C38">
        <f>[1]CT!C38</f>
        <v>8899</v>
      </c>
    </row>
    <row r="39" spans="1:4" x14ac:dyDescent="0.3">
      <c r="A39" t="s">
        <v>6</v>
      </c>
      <c r="B39">
        <f>[1]CT!B39</f>
        <v>2298</v>
      </c>
      <c r="C39">
        <f>[1]CT!C39</f>
        <v>885</v>
      </c>
      <c r="D39">
        <f>MAX(D2:D37)</f>
        <v>51.330203442879494</v>
      </c>
    </row>
    <row r="40" spans="1:4" x14ac:dyDescent="0.3">
      <c r="A40" t="s">
        <v>7</v>
      </c>
      <c r="B40">
        <f>[1]CT!B40</f>
        <v>10</v>
      </c>
      <c r="C40">
        <f>[1]CT!C40</f>
        <v>1</v>
      </c>
      <c r="D40">
        <f>MIN(D2:D37)</f>
        <v>6.666666666666667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D40"/>
  <sheetViews>
    <sheetView workbookViewId="0">
      <selection activeCell="C24" sqref="C24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[1]META!B1</f>
        <v>Total article count</v>
      </c>
      <c r="C1" t="str">
        <f>[1]META!C1</f>
        <v>HasPvalue</v>
      </c>
      <c r="D1" t="s">
        <v>1</v>
      </c>
    </row>
    <row r="2" spans="1:4" x14ac:dyDescent="0.3">
      <c r="A2">
        <v>1990</v>
      </c>
      <c r="B2">
        <f>[1]META!B2</f>
        <v>1</v>
      </c>
      <c r="C2">
        <f>[1]META!C2</f>
        <v>0</v>
      </c>
      <c r="D2">
        <f>C2/B2*100</f>
        <v>0</v>
      </c>
    </row>
    <row r="3" spans="1:4" x14ac:dyDescent="0.3">
      <c r="A3">
        <v>1991</v>
      </c>
      <c r="B3">
        <f>[1]META!B3</f>
        <v>1</v>
      </c>
      <c r="C3">
        <f>[1]META!C3</f>
        <v>0</v>
      </c>
      <c r="D3">
        <f t="shared" ref="D3:D37" si="0">C3/B3*100</f>
        <v>0</v>
      </c>
    </row>
    <row r="4" spans="1:4" x14ac:dyDescent="0.3">
      <c r="A4">
        <f>A2+2</f>
        <v>1992</v>
      </c>
      <c r="B4">
        <f>[1]META!B4</f>
        <v>2</v>
      </c>
      <c r="C4">
        <f>[1]META!C4</f>
        <v>0</v>
      </c>
      <c r="D4">
        <f t="shared" si="0"/>
        <v>0</v>
      </c>
    </row>
    <row r="5" spans="1:4" x14ac:dyDescent="0.3">
      <c r="A5">
        <f t="shared" ref="A5:A20" si="1">A3+2</f>
        <v>1993</v>
      </c>
      <c r="B5">
        <f>[1]META!B5</f>
        <v>4</v>
      </c>
      <c r="C5">
        <f>[1]META!C5</f>
        <v>0</v>
      </c>
      <c r="D5">
        <f t="shared" si="0"/>
        <v>0</v>
      </c>
    </row>
    <row r="6" spans="1:4" x14ac:dyDescent="0.3">
      <c r="A6">
        <f t="shared" si="1"/>
        <v>1994</v>
      </c>
      <c r="B6">
        <f>[1]META!B6</f>
        <v>5</v>
      </c>
      <c r="C6">
        <f>[1]META!C6</f>
        <v>1</v>
      </c>
      <c r="D6">
        <f t="shared" si="0"/>
        <v>20</v>
      </c>
    </row>
    <row r="7" spans="1:4" x14ac:dyDescent="0.3">
      <c r="A7">
        <f t="shared" si="1"/>
        <v>1995</v>
      </c>
      <c r="B7">
        <f>[1]META!B7</f>
        <v>4</v>
      </c>
      <c r="C7">
        <f>[1]META!C7</f>
        <v>1</v>
      </c>
      <c r="D7">
        <f t="shared" si="0"/>
        <v>25</v>
      </c>
    </row>
    <row r="8" spans="1:4" x14ac:dyDescent="0.3">
      <c r="A8">
        <f t="shared" si="1"/>
        <v>1996</v>
      </c>
      <c r="B8">
        <f>[1]META!B8</f>
        <v>1</v>
      </c>
      <c r="C8">
        <f>[1]META!C8</f>
        <v>0</v>
      </c>
      <c r="D8">
        <f t="shared" si="0"/>
        <v>0</v>
      </c>
    </row>
    <row r="9" spans="1:4" x14ac:dyDescent="0.3">
      <c r="A9">
        <f t="shared" si="1"/>
        <v>1997</v>
      </c>
      <c r="B9">
        <f>[1]META!B9</f>
        <v>3</v>
      </c>
      <c r="C9">
        <f>[1]META!C9</f>
        <v>0</v>
      </c>
      <c r="D9">
        <f t="shared" si="0"/>
        <v>0</v>
      </c>
    </row>
    <row r="10" spans="1:4" x14ac:dyDescent="0.3">
      <c r="A10">
        <f t="shared" si="1"/>
        <v>1998</v>
      </c>
      <c r="B10">
        <f>[1]META!B10</f>
        <v>2</v>
      </c>
      <c r="C10">
        <f>[1]META!C10</f>
        <v>0</v>
      </c>
      <c r="D10">
        <f t="shared" si="0"/>
        <v>0</v>
      </c>
    </row>
    <row r="11" spans="1:4" x14ac:dyDescent="0.3">
      <c r="A11">
        <f t="shared" si="1"/>
        <v>1999</v>
      </c>
      <c r="B11">
        <f>[1]META!B11</f>
        <v>10</v>
      </c>
      <c r="C11">
        <f>[1]META!C11</f>
        <v>0</v>
      </c>
      <c r="D11">
        <f t="shared" si="0"/>
        <v>0</v>
      </c>
    </row>
    <row r="12" spans="1:4" x14ac:dyDescent="0.3">
      <c r="A12">
        <f t="shared" si="1"/>
        <v>2000</v>
      </c>
      <c r="B12">
        <f>[1]META!B12</f>
        <v>11</v>
      </c>
      <c r="C12">
        <f>[1]META!C12</f>
        <v>4</v>
      </c>
      <c r="D12">
        <f t="shared" si="0"/>
        <v>36.363636363636367</v>
      </c>
    </row>
    <row r="13" spans="1:4" x14ac:dyDescent="0.3">
      <c r="A13">
        <f t="shared" si="1"/>
        <v>2001</v>
      </c>
      <c r="B13">
        <f>[1]META!B13</f>
        <v>18</v>
      </c>
      <c r="C13">
        <f>[1]META!C13</f>
        <v>3</v>
      </c>
      <c r="D13">
        <f t="shared" si="0"/>
        <v>16.666666666666664</v>
      </c>
    </row>
    <row r="14" spans="1:4" x14ac:dyDescent="0.3">
      <c r="A14">
        <f t="shared" si="1"/>
        <v>2002</v>
      </c>
      <c r="B14">
        <f>[1]META!B14</f>
        <v>13</v>
      </c>
      <c r="C14">
        <f>[1]META!C14</f>
        <v>4</v>
      </c>
      <c r="D14">
        <f t="shared" si="0"/>
        <v>30.76923076923077</v>
      </c>
    </row>
    <row r="15" spans="1:4" x14ac:dyDescent="0.3">
      <c r="A15">
        <f t="shared" si="1"/>
        <v>2003</v>
      </c>
      <c r="B15">
        <f>[1]META!B15</f>
        <v>17</v>
      </c>
      <c r="C15">
        <f>[1]META!C15</f>
        <v>4</v>
      </c>
      <c r="D15">
        <f t="shared" si="0"/>
        <v>23.52941176470588</v>
      </c>
    </row>
    <row r="16" spans="1:4" x14ac:dyDescent="0.3">
      <c r="A16">
        <f t="shared" si="1"/>
        <v>2004</v>
      </c>
      <c r="B16">
        <f>[1]META!B16</f>
        <v>32</v>
      </c>
      <c r="C16">
        <f>[1]META!C16</f>
        <v>7</v>
      </c>
      <c r="D16">
        <f t="shared" si="0"/>
        <v>21.875</v>
      </c>
    </row>
    <row r="17" spans="1:4" x14ac:dyDescent="0.3">
      <c r="A17">
        <f t="shared" si="1"/>
        <v>2005</v>
      </c>
      <c r="B17">
        <f>[1]META!B17</f>
        <v>48</v>
      </c>
      <c r="C17">
        <f>[1]META!C17</f>
        <v>11</v>
      </c>
      <c r="D17">
        <f t="shared" si="0"/>
        <v>22.916666666666664</v>
      </c>
    </row>
    <row r="18" spans="1:4" x14ac:dyDescent="0.3">
      <c r="A18">
        <f t="shared" si="1"/>
        <v>2006</v>
      </c>
      <c r="B18">
        <f>[1]META!B18</f>
        <v>64</v>
      </c>
      <c r="C18">
        <f>[1]META!C18</f>
        <v>18</v>
      </c>
      <c r="D18">
        <f t="shared" si="0"/>
        <v>28.125</v>
      </c>
    </row>
    <row r="19" spans="1:4" x14ac:dyDescent="0.3">
      <c r="A19">
        <f t="shared" si="1"/>
        <v>2007</v>
      </c>
      <c r="B19">
        <f>[1]META!B19</f>
        <v>94</v>
      </c>
      <c r="C19">
        <f>[1]META!C19</f>
        <v>20</v>
      </c>
      <c r="D19">
        <f t="shared" si="0"/>
        <v>21.276595744680851</v>
      </c>
    </row>
    <row r="20" spans="1:4" x14ac:dyDescent="0.3">
      <c r="A20">
        <f t="shared" si="1"/>
        <v>2008</v>
      </c>
      <c r="B20">
        <f>[1]META!B20</f>
        <v>146</v>
      </c>
      <c r="C20">
        <f>[1]META!C20</f>
        <v>42</v>
      </c>
      <c r="D20">
        <f t="shared" si="0"/>
        <v>28.767123287671232</v>
      </c>
    </row>
    <row r="21" spans="1:4" x14ac:dyDescent="0.3">
      <c r="A21">
        <f t="shared" ref="A21:A36" si="2">A19+2</f>
        <v>2009</v>
      </c>
      <c r="B21">
        <f>[1]META!B21</f>
        <v>211</v>
      </c>
      <c r="C21">
        <f>[1]META!C21</f>
        <v>73</v>
      </c>
      <c r="D21">
        <f t="shared" si="0"/>
        <v>34.597156398104268</v>
      </c>
    </row>
    <row r="22" spans="1:4" x14ac:dyDescent="0.3">
      <c r="A22">
        <f t="shared" si="2"/>
        <v>2010</v>
      </c>
      <c r="B22">
        <f>[1]META!B22</f>
        <v>322</v>
      </c>
      <c r="C22">
        <f>[1]META!C22</f>
        <v>97</v>
      </c>
      <c r="D22">
        <f t="shared" si="0"/>
        <v>30.124223602484474</v>
      </c>
    </row>
    <row r="23" spans="1:4" x14ac:dyDescent="0.3">
      <c r="A23">
        <f t="shared" si="2"/>
        <v>2011</v>
      </c>
      <c r="B23">
        <f>[1]META!B23</f>
        <v>519</v>
      </c>
      <c r="C23">
        <f>[1]META!C23</f>
        <v>181</v>
      </c>
      <c r="D23">
        <f t="shared" si="0"/>
        <v>34.874759152215802</v>
      </c>
    </row>
    <row r="24" spans="1:4" x14ac:dyDescent="0.3">
      <c r="A24">
        <f>A22+2</f>
        <v>2012</v>
      </c>
      <c r="B24">
        <f>[1]META!B24</f>
        <v>830</v>
      </c>
      <c r="C24">
        <f>[1]META!C24</f>
        <v>276</v>
      </c>
      <c r="D24">
        <f t="shared" si="0"/>
        <v>33.253012048192772</v>
      </c>
    </row>
    <row r="25" spans="1:4" x14ac:dyDescent="0.3">
      <c r="A25">
        <f t="shared" si="2"/>
        <v>2013</v>
      </c>
      <c r="B25">
        <f>[1]META!B25</f>
        <v>1400</v>
      </c>
      <c r="C25">
        <f>[1]META!C25</f>
        <v>514</v>
      </c>
      <c r="D25">
        <f t="shared" si="0"/>
        <v>36.714285714285715</v>
      </c>
    </row>
    <row r="26" spans="1:4" x14ac:dyDescent="0.3">
      <c r="A26">
        <f t="shared" si="2"/>
        <v>2014</v>
      </c>
      <c r="B26">
        <f>[1]META!B26</f>
        <v>1847</v>
      </c>
      <c r="C26">
        <f>[1]META!C26</f>
        <v>730</v>
      </c>
      <c r="D26">
        <f t="shared" si="0"/>
        <v>39.523551705468329</v>
      </c>
    </row>
    <row r="27" spans="1:4" x14ac:dyDescent="0.3">
      <c r="A27">
        <f t="shared" si="2"/>
        <v>2015</v>
      </c>
      <c r="B27">
        <f>[1]META!B27</f>
        <v>2392</v>
      </c>
      <c r="C27">
        <f>[1]META!C27</f>
        <v>941</v>
      </c>
      <c r="D27">
        <f t="shared" si="0"/>
        <v>39.33946488294314</v>
      </c>
    </row>
    <row r="28" spans="1:4" x14ac:dyDescent="0.3">
      <c r="A28">
        <f t="shared" si="2"/>
        <v>2016</v>
      </c>
      <c r="B28">
        <f>[1]META!B28</f>
        <v>2855</v>
      </c>
      <c r="C28">
        <f>[1]META!C28</f>
        <v>1134</v>
      </c>
      <c r="D28">
        <f t="shared" si="0"/>
        <v>39.719789842381786</v>
      </c>
    </row>
    <row r="29" spans="1:4" x14ac:dyDescent="0.3">
      <c r="A29">
        <f t="shared" si="2"/>
        <v>2017</v>
      </c>
      <c r="B29">
        <f>[1]META!B29</f>
        <v>2979</v>
      </c>
      <c r="C29">
        <f>[1]META!C29</f>
        <v>1264</v>
      </c>
      <c r="D29">
        <f t="shared" si="0"/>
        <v>42.430345753608592</v>
      </c>
    </row>
    <row r="30" spans="1:4" x14ac:dyDescent="0.3">
      <c r="A30">
        <f t="shared" si="2"/>
        <v>2018</v>
      </c>
      <c r="B30">
        <f>[1]META!B30</f>
        <v>2927</v>
      </c>
      <c r="C30">
        <f>[1]META!C30</f>
        <v>1266</v>
      </c>
      <c r="D30">
        <f t="shared" si="0"/>
        <v>43.252476938845234</v>
      </c>
    </row>
    <row r="31" spans="1:4" x14ac:dyDescent="0.3">
      <c r="A31">
        <f t="shared" si="2"/>
        <v>2019</v>
      </c>
      <c r="B31">
        <f>[1]META!B31</f>
        <v>3709</v>
      </c>
      <c r="C31">
        <f>[1]META!C31</f>
        <v>1511</v>
      </c>
      <c r="D31">
        <f t="shared" si="0"/>
        <v>40.738743596656782</v>
      </c>
    </row>
    <row r="32" spans="1:4" x14ac:dyDescent="0.3">
      <c r="A32">
        <f t="shared" si="2"/>
        <v>2020</v>
      </c>
      <c r="B32">
        <f>[1]META!B32</f>
        <v>4681</v>
      </c>
      <c r="C32">
        <f>[1]META!C32</f>
        <v>1884</v>
      </c>
      <c r="D32">
        <f t="shared" si="0"/>
        <v>40.247810296945097</v>
      </c>
    </row>
    <row r="33" spans="1:4" x14ac:dyDescent="0.3">
      <c r="A33">
        <f t="shared" si="2"/>
        <v>2021</v>
      </c>
      <c r="B33">
        <f>[1]META!B33</f>
        <v>5694</v>
      </c>
      <c r="C33">
        <f>[1]META!C33</f>
        <v>2184</v>
      </c>
      <c r="D33">
        <f t="shared" si="0"/>
        <v>38.356164383561641</v>
      </c>
    </row>
    <row r="34" spans="1:4" x14ac:dyDescent="0.3">
      <c r="A34">
        <f t="shared" si="2"/>
        <v>2022</v>
      </c>
      <c r="B34">
        <f>[1]META!B34</f>
        <v>6683</v>
      </c>
      <c r="C34">
        <f>[1]META!C34</f>
        <v>2740</v>
      </c>
      <c r="D34">
        <f t="shared" si="0"/>
        <v>40.999551099805473</v>
      </c>
    </row>
    <row r="35" spans="1:4" x14ac:dyDescent="0.3">
      <c r="A35">
        <f t="shared" si="2"/>
        <v>2023</v>
      </c>
      <c r="B35">
        <f>[1]META!B35</f>
        <v>6562</v>
      </c>
      <c r="C35">
        <f>[1]META!C35</f>
        <v>2812</v>
      </c>
      <c r="D35">
        <f t="shared" si="0"/>
        <v>42.85278878390735</v>
      </c>
    </row>
    <row r="36" spans="1:4" x14ac:dyDescent="0.3">
      <c r="A36">
        <f t="shared" si="2"/>
        <v>2024</v>
      </c>
      <c r="B36">
        <f>[1]META!B36</f>
        <v>6794</v>
      </c>
      <c r="C36">
        <f>[1]META!C36</f>
        <v>2962</v>
      </c>
      <c r="D36">
        <f t="shared" si="0"/>
        <v>43.597291727995291</v>
      </c>
    </row>
    <row r="37" spans="1:4" x14ac:dyDescent="0.3">
      <c r="A37">
        <v>2025</v>
      </c>
      <c r="B37">
        <f>[1]META!B37</f>
        <v>5163</v>
      </c>
      <c r="C37">
        <f>[1]META!C37</f>
        <v>2231</v>
      </c>
      <c r="D37">
        <f t="shared" si="0"/>
        <v>43.211311253147393</v>
      </c>
    </row>
    <row r="38" spans="1:4" x14ac:dyDescent="0.3">
      <c r="A38" t="s">
        <v>8</v>
      </c>
      <c r="B38">
        <f>[1]META!B38</f>
        <v>56044</v>
      </c>
      <c r="C38">
        <f>[1]META!C38</f>
        <v>22915</v>
      </c>
    </row>
    <row r="39" spans="1:4" x14ac:dyDescent="0.3">
      <c r="A39" t="s">
        <v>6</v>
      </c>
      <c r="B39">
        <f>[1]META!B39</f>
        <v>6794</v>
      </c>
      <c r="C39">
        <f>[1]META!C39</f>
        <v>2962</v>
      </c>
      <c r="D39">
        <f>MAX(D2:D37)</f>
        <v>43.597291727995291</v>
      </c>
    </row>
    <row r="40" spans="1:4" x14ac:dyDescent="0.3">
      <c r="A40" t="s">
        <v>7</v>
      </c>
      <c r="B40">
        <f>[1]META!B40</f>
        <v>1</v>
      </c>
      <c r="C40">
        <f>[1]META!C40</f>
        <v>0</v>
      </c>
      <c r="D40">
        <f>MIN(D2:D37)</f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D40"/>
  <sheetViews>
    <sheetView workbookViewId="0">
      <selection activeCell="D26" sqref="D26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[1]REVIEW!B1</f>
        <v>Total article count</v>
      </c>
      <c r="C1" t="str">
        <f>[1]REVIEW!C1</f>
        <v>HasPvalue</v>
      </c>
      <c r="D1" t="s">
        <v>1</v>
      </c>
    </row>
    <row r="2" spans="1:4" x14ac:dyDescent="0.3">
      <c r="A2">
        <v>1990</v>
      </c>
      <c r="B2">
        <f>[1]REVIEW!B2</f>
        <v>164</v>
      </c>
      <c r="C2">
        <f>[1]REVIEW!C2</f>
        <v>1</v>
      </c>
      <c r="D2">
        <f>C2/B2*100</f>
        <v>0.6097560975609756</v>
      </c>
    </row>
    <row r="3" spans="1:4" x14ac:dyDescent="0.3">
      <c r="A3">
        <v>1991</v>
      </c>
      <c r="B3">
        <f>[1]REVIEW!B3</f>
        <v>162</v>
      </c>
      <c r="C3">
        <f>[1]REVIEW!C3</f>
        <v>1</v>
      </c>
      <c r="D3">
        <f t="shared" ref="D3:D37" si="0">C3/B3*100</f>
        <v>0.61728395061728392</v>
      </c>
    </row>
    <row r="4" spans="1:4" x14ac:dyDescent="0.3">
      <c r="A4">
        <f>A2+2</f>
        <v>1992</v>
      </c>
      <c r="B4">
        <f>[1]REVIEW!B4</f>
        <v>102</v>
      </c>
      <c r="C4">
        <f>[1]REVIEW!C4</f>
        <v>0</v>
      </c>
      <c r="D4">
        <f t="shared" si="0"/>
        <v>0</v>
      </c>
    </row>
    <row r="5" spans="1:4" x14ac:dyDescent="0.3">
      <c r="A5">
        <f t="shared" ref="A5:A20" si="1">A3+2</f>
        <v>1993</v>
      </c>
      <c r="B5">
        <f>[1]REVIEW!B5</f>
        <v>194</v>
      </c>
      <c r="C5">
        <f>[1]REVIEW!C5</f>
        <v>2</v>
      </c>
      <c r="D5">
        <f t="shared" si="0"/>
        <v>1.0309278350515463</v>
      </c>
    </row>
    <row r="6" spans="1:4" x14ac:dyDescent="0.3">
      <c r="A6">
        <f t="shared" si="1"/>
        <v>1994</v>
      </c>
      <c r="B6">
        <f>[1]REVIEW!B6</f>
        <v>244</v>
      </c>
      <c r="C6">
        <f>[1]REVIEW!C6</f>
        <v>1</v>
      </c>
      <c r="D6">
        <f t="shared" si="0"/>
        <v>0.4098360655737705</v>
      </c>
    </row>
    <row r="7" spans="1:4" x14ac:dyDescent="0.3">
      <c r="A7">
        <f t="shared" si="1"/>
        <v>1995</v>
      </c>
      <c r="B7">
        <f>[1]REVIEW!B7</f>
        <v>206</v>
      </c>
      <c r="C7">
        <f>[1]REVIEW!C7</f>
        <v>1</v>
      </c>
      <c r="D7">
        <f t="shared" si="0"/>
        <v>0.48543689320388345</v>
      </c>
    </row>
    <row r="8" spans="1:4" x14ac:dyDescent="0.3">
      <c r="A8">
        <f t="shared" si="1"/>
        <v>1996</v>
      </c>
      <c r="B8">
        <f>[1]REVIEW!B8</f>
        <v>197</v>
      </c>
      <c r="C8">
        <f>[1]REVIEW!C8</f>
        <v>0</v>
      </c>
      <c r="D8">
        <f t="shared" si="0"/>
        <v>0</v>
      </c>
    </row>
    <row r="9" spans="1:4" x14ac:dyDescent="0.3">
      <c r="A9">
        <f t="shared" si="1"/>
        <v>1997</v>
      </c>
      <c r="B9">
        <f>[1]REVIEW!B9</f>
        <v>287</v>
      </c>
      <c r="C9">
        <f>[1]REVIEW!C9</f>
        <v>6</v>
      </c>
      <c r="D9">
        <f t="shared" si="0"/>
        <v>2.0905923344947737</v>
      </c>
    </row>
    <row r="10" spans="1:4" x14ac:dyDescent="0.3">
      <c r="A10">
        <f t="shared" si="1"/>
        <v>1998</v>
      </c>
      <c r="B10">
        <f>[1]REVIEW!B10</f>
        <v>321</v>
      </c>
      <c r="C10">
        <f>[1]REVIEW!C10</f>
        <v>1</v>
      </c>
      <c r="D10">
        <f t="shared" si="0"/>
        <v>0.3115264797507788</v>
      </c>
    </row>
    <row r="11" spans="1:4" x14ac:dyDescent="0.3">
      <c r="A11">
        <f t="shared" si="1"/>
        <v>1999</v>
      </c>
      <c r="B11">
        <f>[1]REVIEW!B11</f>
        <v>246</v>
      </c>
      <c r="C11">
        <f>[1]REVIEW!C11</f>
        <v>2</v>
      </c>
      <c r="D11">
        <f t="shared" si="0"/>
        <v>0.81300813008130091</v>
      </c>
    </row>
    <row r="12" spans="1:4" x14ac:dyDescent="0.3">
      <c r="A12">
        <f t="shared" si="1"/>
        <v>2000</v>
      </c>
      <c r="B12">
        <f>[1]REVIEW!B12</f>
        <v>432</v>
      </c>
      <c r="C12">
        <f>[1]REVIEW!C12</f>
        <v>2</v>
      </c>
      <c r="D12">
        <f t="shared" si="0"/>
        <v>0.46296296296296291</v>
      </c>
    </row>
    <row r="13" spans="1:4" x14ac:dyDescent="0.3">
      <c r="A13">
        <f t="shared" si="1"/>
        <v>2001</v>
      </c>
      <c r="B13">
        <f>[1]REVIEW!B13</f>
        <v>531</v>
      </c>
      <c r="C13">
        <f>[1]REVIEW!C13</f>
        <v>3</v>
      </c>
      <c r="D13">
        <f t="shared" si="0"/>
        <v>0.56497175141242939</v>
      </c>
    </row>
    <row r="14" spans="1:4" x14ac:dyDescent="0.3">
      <c r="A14">
        <f t="shared" si="1"/>
        <v>2002</v>
      </c>
      <c r="B14">
        <f>[1]REVIEW!B14</f>
        <v>578</v>
      </c>
      <c r="C14">
        <f>[1]REVIEW!C14</f>
        <v>0</v>
      </c>
      <c r="D14">
        <f t="shared" si="0"/>
        <v>0</v>
      </c>
    </row>
    <row r="15" spans="1:4" x14ac:dyDescent="0.3">
      <c r="A15">
        <f t="shared" si="1"/>
        <v>2003</v>
      </c>
      <c r="B15">
        <f>[1]REVIEW!B15</f>
        <v>610</v>
      </c>
      <c r="C15">
        <f>[1]REVIEW!C15</f>
        <v>2</v>
      </c>
      <c r="D15">
        <f t="shared" si="0"/>
        <v>0.32786885245901637</v>
      </c>
    </row>
    <row r="16" spans="1:4" x14ac:dyDescent="0.3">
      <c r="A16">
        <f t="shared" si="1"/>
        <v>2004</v>
      </c>
      <c r="B16">
        <f>[1]REVIEW!B16</f>
        <v>799</v>
      </c>
      <c r="C16">
        <f>[1]REVIEW!C16</f>
        <v>6</v>
      </c>
      <c r="D16">
        <f t="shared" si="0"/>
        <v>0.75093867334167708</v>
      </c>
    </row>
    <row r="17" spans="1:4" x14ac:dyDescent="0.3">
      <c r="A17">
        <f t="shared" si="1"/>
        <v>2005</v>
      </c>
      <c r="B17">
        <f>[1]REVIEW!B17</f>
        <v>895</v>
      </c>
      <c r="C17">
        <f>[1]REVIEW!C17</f>
        <v>2</v>
      </c>
      <c r="D17">
        <f t="shared" si="0"/>
        <v>0.22346368715083798</v>
      </c>
    </row>
    <row r="18" spans="1:4" x14ac:dyDescent="0.3">
      <c r="A18">
        <f t="shared" si="1"/>
        <v>2006</v>
      </c>
      <c r="B18">
        <f>[1]REVIEW!B18</f>
        <v>1531</v>
      </c>
      <c r="C18">
        <f>[1]REVIEW!C18</f>
        <v>10</v>
      </c>
      <c r="D18">
        <f t="shared" si="0"/>
        <v>0.6531678641410843</v>
      </c>
    </row>
    <row r="19" spans="1:4" x14ac:dyDescent="0.3">
      <c r="A19">
        <f t="shared" si="1"/>
        <v>2007</v>
      </c>
      <c r="B19">
        <f>[1]REVIEW!B19</f>
        <v>1705</v>
      </c>
      <c r="C19">
        <f>[1]REVIEW!C19</f>
        <v>9</v>
      </c>
      <c r="D19">
        <f t="shared" si="0"/>
        <v>0.52785923753665687</v>
      </c>
    </row>
    <row r="20" spans="1:4" x14ac:dyDescent="0.3">
      <c r="A20">
        <f t="shared" si="1"/>
        <v>2008</v>
      </c>
      <c r="B20">
        <f>[1]REVIEW!B20</f>
        <v>2089</v>
      </c>
      <c r="C20">
        <f>[1]REVIEW!C20</f>
        <v>13</v>
      </c>
      <c r="D20">
        <f t="shared" si="0"/>
        <v>0.62230732407850642</v>
      </c>
    </row>
    <row r="21" spans="1:4" x14ac:dyDescent="0.3">
      <c r="A21">
        <f t="shared" ref="A21:A36" si="2">A19+2</f>
        <v>2009</v>
      </c>
      <c r="B21">
        <f>[1]REVIEW!B21</f>
        <v>2562</v>
      </c>
      <c r="C21">
        <f>[1]REVIEW!C21</f>
        <v>10</v>
      </c>
      <c r="D21">
        <f t="shared" si="0"/>
        <v>0.39032006245120998</v>
      </c>
    </row>
    <row r="22" spans="1:4" x14ac:dyDescent="0.3">
      <c r="A22">
        <f t="shared" si="2"/>
        <v>2010</v>
      </c>
      <c r="B22">
        <f>[1]REVIEW!B22</f>
        <v>3866</v>
      </c>
      <c r="C22">
        <f>[1]REVIEW!C22</f>
        <v>28</v>
      </c>
      <c r="D22">
        <f t="shared" si="0"/>
        <v>0.72426280393171238</v>
      </c>
    </row>
    <row r="23" spans="1:4" x14ac:dyDescent="0.3">
      <c r="A23">
        <f t="shared" si="2"/>
        <v>2011</v>
      </c>
      <c r="B23">
        <f>[1]REVIEW!B23</f>
        <v>4395</v>
      </c>
      <c r="C23">
        <f>[1]REVIEW!C23</f>
        <v>35</v>
      </c>
      <c r="D23">
        <f t="shared" si="0"/>
        <v>0.79635949943117168</v>
      </c>
    </row>
    <row r="24" spans="1:4" x14ac:dyDescent="0.3">
      <c r="A24">
        <f>A22+2</f>
        <v>2012</v>
      </c>
      <c r="B24">
        <f>[1]REVIEW!B24</f>
        <v>5900</v>
      </c>
      <c r="C24">
        <f>[1]REVIEW!C24</f>
        <v>36</v>
      </c>
      <c r="D24">
        <f t="shared" si="0"/>
        <v>0.61016949152542377</v>
      </c>
    </row>
    <row r="25" spans="1:4" x14ac:dyDescent="0.3">
      <c r="A25">
        <f t="shared" si="2"/>
        <v>2013</v>
      </c>
      <c r="B25">
        <f>[1]REVIEW!B25</f>
        <v>10518</v>
      </c>
      <c r="C25">
        <f>[1]REVIEW!C25</f>
        <v>82</v>
      </c>
      <c r="D25">
        <f t="shared" si="0"/>
        <v>0.77961589655828112</v>
      </c>
    </row>
    <row r="26" spans="1:4" x14ac:dyDescent="0.3">
      <c r="A26">
        <f t="shared" si="2"/>
        <v>2014</v>
      </c>
      <c r="B26">
        <f>[1]REVIEW!B26</f>
        <v>16871</v>
      </c>
      <c r="C26">
        <f>[1]REVIEW!C26</f>
        <v>147</v>
      </c>
      <c r="D26">
        <f t="shared" si="0"/>
        <v>0.87131764566415748</v>
      </c>
    </row>
    <row r="27" spans="1:4" x14ac:dyDescent="0.3">
      <c r="A27">
        <f t="shared" si="2"/>
        <v>2015</v>
      </c>
      <c r="B27">
        <f>[1]REVIEW!B27</f>
        <v>18749</v>
      </c>
      <c r="C27">
        <f>[1]REVIEW!C27</f>
        <v>208</v>
      </c>
      <c r="D27">
        <f t="shared" si="0"/>
        <v>1.1093925009333832</v>
      </c>
    </row>
    <row r="28" spans="1:4" x14ac:dyDescent="0.3">
      <c r="A28">
        <f t="shared" si="2"/>
        <v>2016</v>
      </c>
      <c r="B28">
        <f>[1]REVIEW!B28</f>
        <v>21081</v>
      </c>
      <c r="C28">
        <f>[1]REVIEW!C28</f>
        <v>270</v>
      </c>
      <c r="D28">
        <f t="shared" si="0"/>
        <v>1.2807741568236801</v>
      </c>
    </row>
    <row r="29" spans="1:4" x14ac:dyDescent="0.3">
      <c r="A29">
        <f t="shared" si="2"/>
        <v>2017</v>
      </c>
      <c r="B29">
        <f>[1]REVIEW!B29</f>
        <v>23799</v>
      </c>
      <c r="C29">
        <f>[1]REVIEW!C29</f>
        <v>269</v>
      </c>
      <c r="D29">
        <f t="shared" si="0"/>
        <v>1.1302995924198496</v>
      </c>
    </row>
    <row r="30" spans="1:4" x14ac:dyDescent="0.3">
      <c r="A30">
        <f t="shared" si="2"/>
        <v>2018</v>
      </c>
      <c r="B30">
        <f>[1]REVIEW!B30</f>
        <v>28176</v>
      </c>
      <c r="C30">
        <f>[1]REVIEW!C30</f>
        <v>407</v>
      </c>
      <c r="D30">
        <f t="shared" si="0"/>
        <v>1.4444917660420216</v>
      </c>
    </row>
    <row r="31" spans="1:4" x14ac:dyDescent="0.3">
      <c r="A31">
        <f t="shared" si="2"/>
        <v>2019</v>
      </c>
      <c r="B31">
        <f>[1]REVIEW!B31</f>
        <v>32576</v>
      </c>
      <c r="C31">
        <f>[1]REVIEW!C31</f>
        <v>476</v>
      </c>
      <c r="D31">
        <f t="shared" si="0"/>
        <v>1.4611984282907662</v>
      </c>
    </row>
    <row r="32" spans="1:4" x14ac:dyDescent="0.3">
      <c r="A32">
        <f t="shared" si="2"/>
        <v>2020</v>
      </c>
      <c r="B32">
        <f>[1]REVIEW!B32</f>
        <v>51478</v>
      </c>
      <c r="C32">
        <f>[1]REVIEW!C32</f>
        <v>665</v>
      </c>
      <c r="D32">
        <f t="shared" si="0"/>
        <v>1.2918139787870546</v>
      </c>
    </row>
    <row r="33" spans="1:4" x14ac:dyDescent="0.3">
      <c r="A33">
        <f t="shared" si="2"/>
        <v>2021</v>
      </c>
      <c r="B33">
        <f>[1]REVIEW!B33</f>
        <v>72610</v>
      </c>
      <c r="C33">
        <f>[1]REVIEW!C33</f>
        <v>1051</v>
      </c>
      <c r="D33">
        <f t="shared" si="0"/>
        <v>1.4474590276821373</v>
      </c>
    </row>
    <row r="34" spans="1:4" x14ac:dyDescent="0.3">
      <c r="A34">
        <f t="shared" si="2"/>
        <v>2022</v>
      </c>
      <c r="B34">
        <f>[1]REVIEW!B34</f>
        <v>77474</v>
      </c>
      <c r="C34">
        <f>[1]REVIEW!C34</f>
        <v>1613</v>
      </c>
      <c r="D34">
        <f t="shared" si="0"/>
        <v>2.0819887962413195</v>
      </c>
    </row>
    <row r="35" spans="1:4" x14ac:dyDescent="0.3">
      <c r="A35">
        <f t="shared" si="2"/>
        <v>2023</v>
      </c>
      <c r="B35">
        <f>[1]REVIEW!B35</f>
        <v>70690</v>
      </c>
      <c r="C35">
        <f>[1]REVIEW!C35</f>
        <v>1635</v>
      </c>
      <c r="D35">
        <f t="shared" si="0"/>
        <v>2.3129155467534304</v>
      </c>
    </row>
    <row r="36" spans="1:4" x14ac:dyDescent="0.3">
      <c r="A36">
        <f t="shared" si="2"/>
        <v>2024</v>
      </c>
      <c r="B36">
        <f>[1]REVIEW!B36</f>
        <v>65048</v>
      </c>
      <c r="C36">
        <f>[1]REVIEW!C36</f>
        <v>1413</v>
      </c>
      <c r="D36">
        <f t="shared" si="0"/>
        <v>2.1722420366498585</v>
      </c>
    </row>
    <row r="37" spans="1:4" x14ac:dyDescent="0.3">
      <c r="A37">
        <v>2025</v>
      </c>
      <c r="B37">
        <f>[1]REVIEW!B37</f>
        <v>41045</v>
      </c>
      <c r="C37">
        <f>[1]REVIEW!C37</f>
        <v>953</v>
      </c>
      <c r="D37">
        <f t="shared" si="0"/>
        <v>2.3218418808624679</v>
      </c>
    </row>
    <row r="38" spans="1:4" x14ac:dyDescent="0.3">
      <c r="A38" t="s">
        <v>8</v>
      </c>
      <c r="B38">
        <f>[1]REVIEW!B38</f>
        <v>558131</v>
      </c>
      <c r="C38">
        <f>[1]REVIEW!C38</f>
        <v>9360</v>
      </c>
    </row>
    <row r="39" spans="1:4" x14ac:dyDescent="0.3">
      <c r="A39" t="s">
        <v>6</v>
      </c>
      <c r="B39">
        <f>[1]REVIEW!B39</f>
        <v>77474</v>
      </c>
      <c r="C39">
        <f>[1]REVIEW!C39</f>
        <v>1635</v>
      </c>
      <c r="D39">
        <f>MAX(D2:D37)</f>
        <v>2.3218418808624679</v>
      </c>
    </row>
    <row r="40" spans="1:4" x14ac:dyDescent="0.3">
      <c r="A40" t="s">
        <v>7</v>
      </c>
      <c r="B40">
        <f>[1]REVIEW!B40</f>
        <v>102</v>
      </c>
      <c r="C40">
        <f>[1]REVIEW!C40</f>
        <v>0</v>
      </c>
      <c r="D40">
        <f>MIN(D2:D37)</f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D40"/>
  <sheetViews>
    <sheetView workbookViewId="0">
      <selection activeCell="B9" sqref="B9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[1]CCJ!B1</f>
        <v>Total article count</v>
      </c>
      <c r="C1" t="str">
        <f>[1]CCJ!C1</f>
        <v>HasPvalue</v>
      </c>
      <c r="D1" t="s">
        <v>1</v>
      </c>
    </row>
    <row r="2" spans="1:4" x14ac:dyDescent="0.3">
      <c r="A2">
        <v>1990</v>
      </c>
      <c r="B2">
        <f>[1]CCJ!B2</f>
        <v>338</v>
      </c>
      <c r="C2">
        <f>[1]CCJ!C2</f>
        <v>52</v>
      </c>
      <c r="D2">
        <f>C2/B2*100</f>
        <v>15.384615384615385</v>
      </c>
    </row>
    <row r="3" spans="1:4" x14ac:dyDescent="0.3">
      <c r="A3">
        <v>1991</v>
      </c>
      <c r="B3">
        <f>[1]CCJ!B3</f>
        <v>380</v>
      </c>
      <c r="C3">
        <f>[1]CCJ!C3</f>
        <v>75</v>
      </c>
      <c r="D3">
        <f t="shared" ref="D3:D37" si="0">C3/B3*100</f>
        <v>19.736842105263158</v>
      </c>
    </row>
    <row r="4" spans="1:4" x14ac:dyDescent="0.3">
      <c r="A4">
        <f>A2+2</f>
        <v>1992</v>
      </c>
      <c r="B4">
        <f>[1]CCJ!B4</f>
        <v>371</v>
      </c>
      <c r="C4">
        <f>[1]CCJ!C4</f>
        <v>78</v>
      </c>
      <c r="D4">
        <f t="shared" si="0"/>
        <v>21.024258760107816</v>
      </c>
    </row>
    <row r="5" spans="1:4" x14ac:dyDescent="0.3">
      <c r="A5">
        <f t="shared" ref="A5:A20" si="1">A3+2</f>
        <v>1993</v>
      </c>
      <c r="B5">
        <f>[1]CCJ!B5</f>
        <v>453</v>
      </c>
      <c r="C5">
        <f>[1]CCJ!C5</f>
        <v>98</v>
      </c>
      <c r="D5">
        <f t="shared" si="0"/>
        <v>21.633554083885208</v>
      </c>
    </row>
    <row r="6" spans="1:4" x14ac:dyDescent="0.3">
      <c r="A6">
        <f t="shared" si="1"/>
        <v>1994</v>
      </c>
      <c r="B6">
        <f>[1]CCJ!B6</f>
        <v>436</v>
      </c>
      <c r="C6">
        <f>[1]CCJ!C6</f>
        <v>115</v>
      </c>
      <c r="D6">
        <f t="shared" si="0"/>
        <v>26.376146788990823</v>
      </c>
    </row>
    <row r="7" spans="1:4" x14ac:dyDescent="0.3">
      <c r="A7">
        <f t="shared" si="1"/>
        <v>1995</v>
      </c>
      <c r="B7">
        <f>[1]CCJ!B7</f>
        <v>520</v>
      </c>
      <c r="C7">
        <f>[1]CCJ!C7</f>
        <v>122</v>
      </c>
      <c r="D7">
        <f t="shared" si="0"/>
        <v>23.46153846153846</v>
      </c>
    </row>
    <row r="8" spans="1:4" x14ac:dyDescent="0.3">
      <c r="A8">
        <f t="shared" si="1"/>
        <v>1996</v>
      </c>
      <c r="B8">
        <f>[1]CCJ!B8</f>
        <v>632</v>
      </c>
      <c r="C8">
        <f>[1]CCJ!C8</f>
        <v>143</v>
      </c>
      <c r="D8">
        <f t="shared" si="0"/>
        <v>22.626582278481013</v>
      </c>
    </row>
    <row r="9" spans="1:4" x14ac:dyDescent="0.3">
      <c r="A9">
        <f t="shared" si="1"/>
        <v>1997</v>
      </c>
      <c r="B9">
        <f>[1]CCJ!B9</f>
        <v>564</v>
      </c>
      <c r="C9">
        <f>[1]CCJ!C9</f>
        <v>142</v>
      </c>
      <c r="D9">
        <f t="shared" si="0"/>
        <v>25.177304964539005</v>
      </c>
    </row>
    <row r="10" spans="1:4" x14ac:dyDescent="0.3">
      <c r="A10">
        <f t="shared" si="1"/>
        <v>1998</v>
      </c>
      <c r="B10">
        <f>[1]CCJ!B10</f>
        <v>670</v>
      </c>
      <c r="C10">
        <f>[1]CCJ!C10</f>
        <v>181</v>
      </c>
      <c r="D10">
        <f t="shared" si="0"/>
        <v>27.014925373134329</v>
      </c>
    </row>
    <row r="11" spans="1:4" x14ac:dyDescent="0.3">
      <c r="A11">
        <f t="shared" si="1"/>
        <v>1999</v>
      </c>
      <c r="B11">
        <f>[1]CCJ!B11</f>
        <v>811</v>
      </c>
      <c r="C11">
        <f>[1]CCJ!C11</f>
        <v>199</v>
      </c>
      <c r="D11">
        <f t="shared" si="0"/>
        <v>24.537607891491987</v>
      </c>
    </row>
    <row r="12" spans="1:4" x14ac:dyDescent="0.3">
      <c r="A12">
        <f t="shared" si="1"/>
        <v>2000</v>
      </c>
      <c r="B12">
        <f>[1]CCJ!B12</f>
        <v>588</v>
      </c>
      <c r="C12">
        <f>[1]CCJ!C12</f>
        <v>153</v>
      </c>
      <c r="D12">
        <f t="shared" si="0"/>
        <v>26.020408163265309</v>
      </c>
    </row>
    <row r="13" spans="1:4" x14ac:dyDescent="0.3">
      <c r="A13">
        <f t="shared" si="1"/>
        <v>2001</v>
      </c>
      <c r="B13">
        <f>[1]CCJ!B13</f>
        <v>591</v>
      </c>
      <c r="C13">
        <f>[1]CCJ!C13</f>
        <v>150</v>
      </c>
      <c r="D13">
        <f t="shared" si="0"/>
        <v>25.380710659898476</v>
      </c>
    </row>
    <row r="14" spans="1:4" x14ac:dyDescent="0.3">
      <c r="A14">
        <f t="shared" si="1"/>
        <v>2002</v>
      </c>
      <c r="B14">
        <f>[1]CCJ!B14</f>
        <v>619</v>
      </c>
      <c r="C14">
        <f>[1]CCJ!C14</f>
        <v>146</v>
      </c>
      <c r="D14">
        <f t="shared" si="0"/>
        <v>23.586429725363487</v>
      </c>
    </row>
    <row r="15" spans="1:4" x14ac:dyDescent="0.3">
      <c r="A15">
        <f t="shared" si="1"/>
        <v>2003</v>
      </c>
      <c r="B15">
        <f>[1]CCJ!B15</f>
        <v>733</v>
      </c>
      <c r="C15">
        <f>[1]CCJ!C15</f>
        <v>181</v>
      </c>
      <c r="D15">
        <f t="shared" si="0"/>
        <v>24.693042291950889</v>
      </c>
    </row>
    <row r="16" spans="1:4" x14ac:dyDescent="0.3">
      <c r="A16">
        <f t="shared" si="1"/>
        <v>2004</v>
      </c>
      <c r="B16">
        <f>[1]CCJ!B16</f>
        <v>783</v>
      </c>
      <c r="C16">
        <f>[1]CCJ!C16</f>
        <v>210</v>
      </c>
      <c r="D16">
        <f t="shared" si="0"/>
        <v>26.819923371647509</v>
      </c>
    </row>
    <row r="17" spans="1:4" x14ac:dyDescent="0.3">
      <c r="A17">
        <f t="shared" si="1"/>
        <v>2005</v>
      </c>
      <c r="B17">
        <f>[1]CCJ!B17</f>
        <v>630</v>
      </c>
      <c r="C17">
        <f>[1]CCJ!C17</f>
        <v>176</v>
      </c>
      <c r="D17">
        <f t="shared" si="0"/>
        <v>27.936507936507937</v>
      </c>
    </row>
    <row r="18" spans="1:4" x14ac:dyDescent="0.3">
      <c r="A18">
        <f t="shared" si="1"/>
        <v>2006</v>
      </c>
      <c r="B18">
        <f>[1]CCJ!B18</f>
        <v>655</v>
      </c>
      <c r="C18">
        <f>[1]CCJ!C18</f>
        <v>181</v>
      </c>
      <c r="D18">
        <f t="shared" si="0"/>
        <v>27.633587786259543</v>
      </c>
    </row>
    <row r="19" spans="1:4" x14ac:dyDescent="0.3">
      <c r="A19">
        <f t="shared" si="1"/>
        <v>2007</v>
      </c>
      <c r="B19">
        <f>[1]CCJ!B19</f>
        <v>844</v>
      </c>
      <c r="C19">
        <f>[1]CCJ!C19</f>
        <v>244</v>
      </c>
      <c r="D19">
        <f t="shared" si="0"/>
        <v>28.90995260663507</v>
      </c>
    </row>
    <row r="20" spans="1:4" x14ac:dyDescent="0.3">
      <c r="A20">
        <f t="shared" si="1"/>
        <v>2008</v>
      </c>
      <c r="B20">
        <f>[1]CCJ!B20</f>
        <v>1513</v>
      </c>
      <c r="C20">
        <f>[1]CCJ!C20</f>
        <v>484</v>
      </c>
      <c r="D20">
        <f t="shared" si="0"/>
        <v>31.989424983476539</v>
      </c>
    </row>
    <row r="21" spans="1:4" x14ac:dyDescent="0.3">
      <c r="A21">
        <f t="shared" ref="A21:A36" si="2">A19+2</f>
        <v>2009</v>
      </c>
      <c r="B21">
        <f>[1]CCJ!B21</f>
        <v>1928</v>
      </c>
      <c r="C21">
        <f>[1]CCJ!C21</f>
        <v>683</v>
      </c>
      <c r="D21">
        <f t="shared" si="0"/>
        <v>35.425311203319502</v>
      </c>
    </row>
    <row r="22" spans="1:4" x14ac:dyDescent="0.3">
      <c r="A22">
        <f t="shared" si="2"/>
        <v>2010</v>
      </c>
      <c r="B22">
        <f>[1]CCJ!B22</f>
        <v>2081</v>
      </c>
      <c r="C22">
        <f>[1]CCJ!C22</f>
        <v>770</v>
      </c>
      <c r="D22">
        <f t="shared" si="0"/>
        <v>37.00144161460836</v>
      </c>
    </row>
    <row r="23" spans="1:4" x14ac:dyDescent="0.3">
      <c r="A23">
        <f t="shared" si="2"/>
        <v>2011</v>
      </c>
      <c r="B23">
        <f>[1]CCJ!B23</f>
        <v>2205</v>
      </c>
      <c r="C23">
        <f>[1]CCJ!C23</f>
        <v>771</v>
      </c>
      <c r="D23">
        <f t="shared" si="0"/>
        <v>34.965986394557824</v>
      </c>
    </row>
    <row r="24" spans="1:4" x14ac:dyDescent="0.3">
      <c r="A24">
        <f>A22+2</f>
        <v>2012</v>
      </c>
      <c r="B24">
        <f>[1]CCJ!B24</f>
        <v>2464</v>
      </c>
      <c r="C24">
        <f>[1]CCJ!C24</f>
        <v>773</v>
      </c>
      <c r="D24">
        <f t="shared" si="0"/>
        <v>31.371753246753247</v>
      </c>
    </row>
    <row r="25" spans="1:4" x14ac:dyDescent="0.3">
      <c r="A25">
        <f t="shared" si="2"/>
        <v>2013</v>
      </c>
      <c r="B25">
        <f>[1]CCJ!B25</f>
        <v>3238</v>
      </c>
      <c r="C25">
        <f>[1]CCJ!C25</f>
        <v>1100</v>
      </c>
      <c r="D25">
        <f t="shared" si="0"/>
        <v>33.971587399629399</v>
      </c>
    </row>
    <row r="26" spans="1:4" x14ac:dyDescent="0.3">
      <c r="A26">
        <f t="shared" si="2"/>
        <v>2014</v>
      </c>
      <c r="B26">
        <f>[1]CCJ!B26</f>
        <v>3718</v>
      </c>
      <c r="C26">
        <f>[1]CCJ!C26</f>
        <v>1146</v>
      </c>
      <c r="D26">
        <f t="shared" si="0"/>
        <v>30.823023130715438</v>
      </c>
    </row>
    <row r="27" spans="1:4" x14ac:dyDescent="0.3">
      <c r="A27">
        <f t="shared" si="2"/>
        <v>2015</v>
      </c>
      <c r="B27">
        <f>[1]CCJ!B27</f>
        <v>5328</v>
      </c>
      <c r="C27">
        <f>[1]CCJ!C27</f>
        <v>1806</v>
      </c>
      <c r="D27">
        <f t="shared" si="0"/>
        <v>33.896396396396398</v>
      </c>
    </row>
    <row r="28" spans="1:4" x14ac:dyDescent="0.3">
      <c r="A28">
        <f t="shared" si="2"/>
        <v>2016</v>
      </c>
      <c r="B28">
        <f>[1]CCJ!B28</f>
        <v>6736</v>
      </c>
      <c r="C28">
        <f>[1]CCJ!C28</f>
        <v>2505</v>
      </c>
      <c r="D28">
        <f t="shared" si="0"/>
        <v>37.188242280285031</v>
      </c>
    </row>
    <row r="29" spans="1:4" x14ac:dyDescent="0.3">
      <c r="A29">
        <f t="shared" si="2"/>
        <v>2017</v>
      </c>
      <c r="B29">
        <f>[1]CCJ!B29</f>
        <v>7385</v>
      </c>
      <c r="C29">
        <f>[1]CCJ!C29</f>
        <v>2409</v>
      </c>
      <c r="D29">
        <f t="shared" si="0"/>
        <v>32.620176032498307</v>
      </c>
    </row>
    <row r="30" spans="1:4" x14ac:dyDescent="0.3">
      <c r="A30">
        <f t="shared" si="2"/>
        <v>2018</v>
      </c>
      <c r="B30">
        <f>[1]CCJ!B30</f>
        <v>8296</v>
      </c>
      <c r="C30">
        <f>[1]CCJ!C30</f>
        <v>2509</v>
      </c>
      <c r="D30">
        <f t="shared" si="0"/>
        <v>30.243490838958536</v>
      </c>
    </row>
    <row r="31" spans="1:4" x14ac:dyDescent="0.3">
      <c r="A31">
        <f t="shared" si="2"/>
        <v>2019</v>
      </c>
      <c r="B31">
        <f>[1]CCJ!B31</f>
        <v>9155</v>
      </c>
      <c r="C31">
        <f>[1]CCJ!C31</f>
        <v>2712</v>
      </c>
      <c r="D31">
        <f t="shared" si="0"/>
        <v>29.623156744948115</v>
      </c>
    </row>
    <row r="32" spans="1:4" x14ac:dyDescent="0.3">
      <c r="A32">
        <f t="shared" si="2"/>
        <v>2020</v>
      </c>
      <c r="B32">
        <f>[1]CCJ!B32</f>
        <v>12859</v>
      </c>
      <c r="C32">
        <f>[1]CCJ!C32</f>
        <v>3380</v>
      </c>
      <c r="D32">
        <f t="shared" si="0"/>
        <v>26.285092153355627</v>
      </c>
    </row>
    <row r="33" spans="1:4" x14ac:dyDescent="0.3">
      <c r="A33">
        <f t="shared" si="2"/>
        <v>2021</v>
      </c>
      <c r="B33">
        <f>[1]CCJ!B33</f>
        <v>13836</v>
      </c>
      <c r="C33">
        <f>[1]CCJ!C33</f>
        <v>3989</v>
      </c>
      <c r="D33">
        <f t="shared" si="0"/>
        <v>28.830586874819314</v>
      </c>
    </row>
    <row r="34" spans="1:4" x14ac:dyDescent="0.3">
      <c r="A34">
        <f t="shared" si="2"/>
        <v>2022</v>
      </c>
      <c r="B34">
        <f>[1]CCJ!B34</f>
        <v>14222</v>
      </c>
      <c r="C34">
        <f>[1]CCJ!C34</f>
        <v>4245</v>
      </c>
      <c r="D34">
        <f t="shared" si="0"/>
        <v>29.848122626916044</v>
      </c>
    </row>
    <row r="35" spans="1:4" x14ac:dyDescent="0.3">
      <c r="A35">
        <f t="shared" si="2"/>
        <v>2023</v>
      </c>
      <c r="B35">
        <f>[1]CCJ!B35</f>
        <v>12499</v>
      </c>
      <c r="C35">
        <f>[1]CCJ!C35</f>
        <v>3999</v>
      </c>
      <c r="D35">
        <f t="shared" si="0"/>
        <v>31.994559564765179</v>
      </c>
    </row>
    <row r="36" spans="1:4" x14ac:dyDescent="0.3">
      <c r="A36">
        <f t="shared" si="2"/>
        <v>2024</v>
      </c>
      <c r="B36">
        <f>[1]CCJ!B36</f>
        <v>11634</v>
      </c>
      <c r="C36">
        <f>[1]CCJ!C36</f>
        <v>4035</v>
      </c>
      <c r="D36">
        <f t="shared" si="0"/>
        <v>34.682826199071684</v>
      </c>
    </row>
    <row r="37" spans="1:4" x14ac:dyDescent="0.3">
      <c r="A37">
        <v>2025</v>
      </c>
      <c r="B37">
        <f>[1]CCJ!B37</f>
        <v>10930</v>
      </c>
      <c r="C37">
        <f>[1]CCJ!C37</f>
        <v>3795</v>
      </c>
      <c r="D37">
        <f t="shared" si="0"/>
        <v>34.720951509606586</v>
      </c>
    </row>
    <row r="38" spans="1:4" x14ac:dyDescent="0.3">
      <c r="A38" t="s">
        <v>8</v>
      </c>
      <c r="B38">
        <f>[1]CCJ!B38</f>
        <v>140645</v>
      </c>
      <c r="C38">
        <f>[1]CCJ!C38</f>
        <v>43757</v>
      </c>
    </row>
    <row r="39" spans="1:4" x14ac:dyDescent="0.3">
      <c r="A39" t="s">
        <v>6</v>
      </c>
      <c r="B39">
        <f>[1]CCJ!B39</f>
        <v>14222</v>
      </c>
      <c r="C39">
        <f>[1]CCJ!C39</f>
        <v>4245</v>
      </c>
      <c r="D39">
        <f>MAX(D2:D37)</f>
        <v>37.188242280285031</v>
      </c>
    </row>
    <row r="40" spans="1:4" x14ac:dyDescent="0.3">
      <c r="A40" t="s">
        <v>7</v>
      </c>
      <c r="B40">
        <f>[1]CCJ!B40</f>
        <v>338</v>
      </c>
      <c r="C40">
        <f>[1]CCJ!C40</f>
        <v>52</v>
      </c>
      <c r="D40">
        <f>MIN(D2:D37)</f>
        <v>15.384615384615385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D40"/>
  <sheetViews>
    <sheetView topLeftCell="A13" workbookViewId="0">
      <selection activeCell="C35" sqref="C35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[1]ALL!B1</f>
        <v>Total article count</v>
      </c>
      <c r="C1" t="str">
        <f>[1]ALL!C1</f>
        <v>HasPvalue</v>
      </c>
      <c r="D1" t="s">
        <v>1</v>
      </c>
    </row>
    <row r="2" spans="1:4" x14ac:dyDescent="0.3">
      <c r="A2">
        <v>1990</v>
      </c>
      <c r="B2">
        <f>[1]ALL!B2</f>
        <v>2340</v>
      </c>
      <c r="C2">
        <f>[1]ALL!C2</f>
        <v>90</v>
      </c>
      <c r="D2">
        <f>C2/B2*100</f>
        <v>3.8461538461538463</v>
      </c>
    </row>
    <row r="3" spans="1:4" x14ac:dyDescent="0.3">
      <c r="A3">
        <v>1991</v>
      </c>
      <c r="B3">
        <f>[1]ALL!B3</f>
        <v>2408</v>
      </c>
      <c r="C3">
        <f>[1]ALL!C3</f>
        <v>139</v>
      </c>
      <c r="D3">
        <f t="shared" ref="D3:D37" si="0">C3/B3*100</f>
        <v>5.7724252491694354</v>
      </c>
    </row>
    <row r="4" spans="1:4" x14ac:dyDescent="0.3">
      <c r="A4">
        <f>A2+2</f>
        <v>1992</v>
      </c>
      <c r="B4">
        <f>[1]ALL!B4</f>
        <v>2444</v>
      </c>
      <c r="C4">
        <f>[1]ALL!C4</f>
        <v>143</v>
      </c>
      <c r="D4">
        <f t="shared" si="0"/>
        <v>5.8510638297872344</v>
      </c>
    </row>
    <row r="5" spans="1:4" x14ac:dyDescent="0.3">
      <c r="A5">
        <f t="shared" ref="A5:A20" si="1">A3+2</f>
        <v>1993</v>
      </c>
      <c r="B5">
        <f>[1]ALL!B5</f>
        <v>2815</v>
      </c>
      <c r="C5">
        <f>[1]ALL!C5</f>
        <v>198</v>
      </c>
      <c r="D5">
        <f t="shared" si="0"/>
        <v>7.0337477797513319</v>
      </c>
    </row>
    <row r="6" spans="1:4" x14ac:dyDescent="0.3">
      <c r="A6">
        <f t="shared" si="1"/>
        <v>1994</v>
      </c>
      <c r="B6">
        <f>[1]ALL!B6</f>
        <v>3102</v>
      </c>
      <c r="C6">
        <f>[1]ALL!C6</f>
        <v>230</v>
      </c>
      <c r="D6">
        <f t="shared" si="0"/>
        <v>7.4145712443584779</v>
      </c>
    </row>
    <row r="7" spans="1:4" x14ac:dyDescent="0.3">
      <c r="A7">
        <f t="shared" si="1"/>
        <v>1995</v>
      </c>
      <c r="B7">
        <f>[1]ALL!B7</f>
        <v>2947</v>
      </c>
      <c r="C7">
        <f>[1]ALL!C7</f>
        <v>224</v>
      </c>
      <c r="D7">
        <f t="shared" si="0"/>
        <v>7.6009501187648461</v>
      </c>
    </row>
    <row r="8" spans="1:4" x14ac:dyDescent="0.3">
      <c r="A8">
        <f t="shared" si="1"/>
        <v>1996</v>
      </c>
      <c r="B8">
        <f>[1]ALL!B8</f>
        <v>3102</v>
      </c>
      <c r="C8">
        <f>[1]ALL!C8</f>
        <v>271</v>
      </c>
      <c r="D8">
        <f t="shared" si="0"/>
        <v>8.7362991618310772</v>
      </c>
    </row>
    <row r="9" spans="1:4" x14ac:dyDescent="0.3">
      <c r="A9">
        <f t="shared" si="1"/>
        <v>1997</v>
      </c>
      <c r="B9">
        <f>[1]ALL!B9</f>
        <v>3244</v>
      </c>
      <c r="C9">
        <f>[1]ALL!C9</f>
        <v>292</v>
      </c>
      <c r="D9">
        <f t="shared" si="0"/>
        <v>9.001233045622687</v>
      </c>
    </row>
    <row r="10" spans="1:4" x14ac:dyDescent="0.3">
      <c r="A10">
        <f t="shared" si="1"/>
        <v>1998</v>
      </c>
      <c r="B10">
        <f>[1]ALL!B10</f>
        <v>3421</v>
      </c>
      <c r="C10">
        <f>[1]ALL!C10</f>
        <v>328</v>
      </c>
      <c r="D10">
        <f t="shared" si="0"/>
        <v>9.5878398129201994</v>
      </c>
    </row>
    <row r="11" spans="1:4" x14ac:dyDescent="0.3">
      <c r="A11">
        <f t="shared" si="1"/>
        <v>1999</v>
      </c>
      <c r="B11">
        <f>[1]ALL!B11</f>
        <v>3516</v>
      </c>
      <c r="C11">
        <f>[1]ALL!C11</f>
        <v>364</v>
      </c>
      <c r="D11">
        <f t="shared" si="0"/>
        <v>10.352673492605232</v>
      </c>
    </row>
    <row r="12" spans="1:4" x14ac:dyDescent="0.3">
      <c r="A12">
        <f t="shared" si="1"/>
        <v>2000</v>
      </c>
      <c r="B12">
        <f>[1]ALL!B12</f>
        <v>3833</v>
      </c>
      <c r="C12">
        <f>[1]ALL!C12</f>
        <v>354</v>
      </c>
      <c r="D12">
        <f t="shared" si="0"/>
        <v>9.2355857031046185</v>
      </c>
    </row>
    <row r="13" spans="1:4" x14ac:dyDescent="0.3">
      <c r="A13">
        <f t="shared" si="1"/>
        <v>2001</v>
      </c>
      <c r="B13">
        <f>[1]ALL!B13</f>
        <v>4861</v>
      </c>
      <c r="C13">
        <f>[1]ALL!C13</f>
        <v>449</v>
      </c>
      <c r="D13">
        <f t="shared" si="0"/>
        <v>9.2367825550298299</v>
      </c>
    </row>
    <row r="14" spans="1:4" x14ac:dyDescent="0.3">
      <c r="A14">
        <f t="shared" si="1"/>
        <v>2002</v>
      </c>
      <c r="B14">
        <f>[1]ALL!B14</f>
        <v>5456</v>
      </c>
      <c r="C14">
        <f>[1]ALL!C14</f>
        <v>538</v>
      </c>
      <c r="D14">
        <f t="shared" si="0"/>
        <v>9.8607038123167143</v>
      </c>
    </row>
    <row r="15" spans="1:4" x14ac:dyDescent="0.3">
      <c r="A15">
        <f t="shared" si="1"/>
        <v>2003</v>
      </c>
      <c r="B15">
        <f>[1]ALL!B15</f>
        <v>6348</v>
      </c>
      <c r="C15">
        <f>[1]ALL!C15</f>
        <v>663</v>
      </c>
      <c r="D15">
        <f t="shared" si="0"/>
        <v>10.444234404536862</v>
      </c>
    </row>
    <row r="16" spans="1:4" x14ac:dyDescent="0.3">
      <c r="A16">
        <f t="shared" si="1"/>
        <v>2004</v>
      </c>
      <c r="B16">
        <f>[1]ALL!B16</f>
        <v>8615</v>
      </c>
      <c r="C16">
        <f>[1]ALL!C16</f>
        <v>936</v>
      </c>
      <c r="D16">
        <f t="shared" si="0"/>
        <v>10.864770748694138</v>
      </c>
    </row>
    <row r="17" spans="1:4" x14ac:dyDescent="0.3">
      <c r="A17">
        <f t="shared" si="1"/>
        <v>2005</v>
      </c>
      <c r="B17">
        <f>[1]ALL!B17</f>
        <v>13145</v>
      </c>
      <c r="C17">
        <f>[1]ALL!C17</f>
        <v>1374</v>
      </c>
      <c r="D17">
        <f t="shared" si="0"/>
        <v>10.452643590718905</v>
      </c>
    </row>
    <row r="18" spans="1:4" x14ac:dyDescent="0.3">
      <c r="A18">
        <f t="shared" si="1"/>
        <v>2006</v>
      </c>
      <c r="B18">
        <f>[1]ALL!B18</f>
        <v>17503</v>
      </c>
      <c r="C18">
        <f>[1]ALL!C18</f>
        <v>1978</v>
      </c>
      <c r="D18">
        <f t="shared" si="0"/>
        <v>11.300919842312746</v>
      </c>
    </row>
    <row r="19" spans="1:4" x14ac:dyDescent="0.3">
      <c r="A19">
        <f t="shared" si="1"/>
        <v>2007</v>
      </c>
      <c r="B19">
        <f>[1]ALL!B19</f>
        <v>24455</v>
      </c>
      <c r="C19">
        <f>[1]ALL!C19</f>
        <v>2682</v>
      </c>
      <c r="D19">
        <f t="shared" si="0"/>
        <v>10.967082396237988</v>
      </c>
    </row>
    <row r="20" spans="1:4" x14ac:dyDescent="0.3">
      <c r="A20">
        <f t="shared" si="1"/>
        <v>2008</v>
      </c>
      <c r="B20">
        <f>[1]ALL!B20</f>
        <v>38979</v>
      </c>
      <c r="C20">
        <f>[1]ALL!C20</f>
        <v>4055</v>
      </c>
      <c r="D20">
        <f t="shared" si="0"/>
        <v>10.403037533030608</v>
      </c>
    </row>
    <row r="21" spans="1:4" x14ac:dyDescent="0.3">
      <c r="A21">
        <f t="shared" ref="A21:A36" si="2">A19+2</f>
        <v>2009</v>
      </c>
      <c r="B21">
        <f>[1]ALL!B21</f>
        <v>52975</v>
      </c>
      <c r="C21">
        <f>[1]ALL!C21</f>
        <v>5604</v>
      </c>
      <c r="D21">
        <f t="shared" si="0"/>
        <v>10.578574799433694</v>
      </c>
    </row>
    <row r="22" spans="1:4" x14ac:dyDescent="0.3">
      <c r="A22">
        <f t="shared" si="2"/>
        <v>2010</v>
      </c>
      <c r="B22">
        <f>[1]ALL!B22</f>
        <v>71976</v>
      </c>
      <c r="C22">
        <f>[1]ALL!C22</f>
        <v>8241</v>
      </c>
      <c r="D22">
        <f t="shared" si="0"/>
        <v>11.44964988329443</v>
      </c>
    </row>
    <row r="23" spans="1:4" x14ac:dyDescent="0.3">
      <c r="A23">
        <f t="shared" si="2"/>
        <v>2011</v>
      </c>
      <c r="B23">
        <f>[1]ALL!B23</f>
        <v>98163</v>
      </c>
      <c r="C23">
        <f>[1]ALL!C23</f>
        <v>11843</v>
      </c>
      <c r="D23">
        <f t="shared" si="0"/>
        <v>12.06462720169514</v>
      </c>
    </row>
    <row r="24" spans="1:4" x14ac:dyDescent="0.3">
      <c r="A24">
        <f>A22+2</f>
        <v>2012</v>
      </c>
      <c r="B24">
        <f>[1]ALL!B24</f>
        <v>132750</v>
      </c>
      <c r="C24">
        <f>[1]ALL!C24</f>
        <v>17471</v>
      </c>
      <c r="D24">
        <f t="shared" si="0"/>
        <v>13.160828625235405</v>
      </c>
    </row>
    <row r="25" spans="1:4" x14ac:dyDescent="0.3">
      <c r="A25">
        <f t="shared" si="2"/>
        <v>2013</v>
      </c>
      <c r="B25">
        <f>[1]ALL!B25</f>
        <v>165606</v>
      </c>
      <c r="C25">
        <f>[1]ALL!C25</f>
        <v>23618</v>
      </c>
      <c r="D25">
        <f t="shared" si="0"/>
        <v>14.261560571476878</v>
      </c>
    </row>
    <row r="26" spans="1:4" x14ac:dyDescent="0.3">
      <c r="A26">
        <f t="shared" si="2"/>
        <v>2014</v>
      </c>
      <c r="B26">
        <f>[1]ALL!B26</f>
        <v>199504</v>
      </c>
      <c r="C26">
        <f>[1]ALL!C26</f>
        <v>29512</v>
      </c>
      <c r="D26">
        <f t="shared" si="0"/>
        <v>14.792685860935121</v>
      </c>
    </row>
    <row r="27" spans="1:4" x14ac:dyDescent="0.3">
      <c r="A27">
        <f t="shared" si="2"/>
        <v>2015</v>
      </c>
      <c r="B27">
        <f>[1]ALL!B27</f>
        <v>224992</v>
      </c>
      <c r="C27">
        <f>[1]ALL!C27</f>
        <v>34265</v>
      </c>
      <c r="D27">
        <f t="shared" si="0"/>
        <v>15.229430379746836</v>
      </c>
    </row>
    <row r="28" spans="1:4" x14ac:dyDescent="0.3">
      <c r="A28">
        <f t="shared" si="2"/>
        <v>2016</v>
      </c>
      <c r="B28">
        <f>[1]ALL!B28</f>
        <v>254848</v>
      </c>
      <c r="C28">
        <f>[1]ALL!C28</f>
        <v>39710</v>
      </c>
      <c r="D28">
        <f t="shared" si="0"/>
        <v>15.581837016574585</v>
      </c>
    </row>
    <row r="29" spans="1:4" x14ac:dyDescent="0.3">
      <c r="A29">
        <f t="shared" si="2"/>
        <v>2017</v>
      </c>
      <c r="B29">
        <f>[1]ALL!B29</f>
        <v>288944</v>
      </c>
      <c r="C29">
        <f>[1]ALL!C29</f>
        <v>45295</v>
      </c>
      <c r="D29">
        <f t="shared" si="0"/>
        <v>15.676047953928791</v>
      </c>
    </row>
    <row r="30" spans="1:4" x14ac:dyDescent="0.3">
      <c r="A30">
        <f t="shared" si="2"/>
        <v>2018</v>
      </c>
      <c r="B30">
        <f>[1]ALL!B30</f>
        <v>321135</v>
      </c>
      <c r="C30">
        <f>[1]ALL!C30</f>
        <v>50687</v>
      </c>
      <c r="D30">
        <f t="shared" si="0"/>
        <v>15.783704672489762</v>
      </c>
    </row>
    <row r="31" spans="1:4" x14ac:dyDescent="0.3">
      <c r="A31">
        <f t="shared" si="2"/>
        <v>2019</v>
      </c>
      <c r="B31">
        <f>[1]ALL!B31</f>
        <v>376411</v>
      </c>
      <c r="C31">
        <f>[1]ALL!C31</f>
        <v>60196</v>
      </c>
      <c r="D31">
        <f t="shared" si="0"/>
        <v>15.992093748588642</v>
      </c>
    </row>
    <row r="32" spans="1:4" x14ac:dyDescent="0.3">
      <c r="A32">
        <f t="shared" si="2"/>
        <v>2020</v>
      </c>
      <c r="B32">
        <f>[1]ALL!B32</f>
        <v>503238</v>
      </c>
      <c r="C32">
        <f>[1]ALL!C32</f>
        <v>79539</v>
      </c>
      <c r="D32">
        <f t="shared" si="0"/>
        <v>15.805443945012101</v>
      </c>
    </row>
    <row r="33" spans="1:4" x14ac:dyDescent="0.3">
      <c r="A33">
        <f t="shared" si="2"/>
        <v>2021</v>
      </c>
      <c r="B33">
        <f>[1]ALL!B33</f>
        <v>636841</v>
      </c>
      <c r="C33">
        <f>[1]ALL!C33</f>
        <v>105271</v>
      </c>
      <c r="D33">
        <f t="shared" si="0"/>
        <v>16.530185713545453</v>
      </c>
    </row>
    <row r="34" spans="1:4" x14ac:dyDescent="0.3">
      <c r="A34">
        <f t="shared" si="2"/>
        <v>2022</v>
      </c>
      <c r="B34">
        <f>[1]ALL!B34</f>
        <v>728254</v>
      </c>
      <c r="C34">
        <f>[1]ALL!C34</f>
        <v>122606</v>
      </c>
      <c r="D34">
        <f t="shared" si="0"/>
        <v>16.835609553809523</v>
      </c>
    </row>
    <row r="35" spans="1:4" x14ac:dyDescent="0.3">
      <c r="A35">
        <f t="shared" si="2"/>
        <v>2023</v>
      </c>
      <c r="B35">
        <f>[1]ALL!B35</f>
        <v>653607</v>
      </c>
      <c r="C35">
        <f>[1]ALL!C35</f>
        <v>109684</v>
      </c>
      <c r="D35">
        <f t="shared" si="0"/>
        <v>16.781338021165624</v>
      </c>
    </row>
    <row r="36" spans="1:4" x14ac:dyDescent="0.3">
      <c r="A36">
        <f t="shared" si="2"/>
        <v>2024</v>
      </c>
      <c r="B36">
        <f>[1]ALL!B36</f>
        <v>656318</v>
      </c>
      <c r="C36">
        <f>[1]ALL!C36</f>
        <v>115246</v>
      </c>
      <c r="D36">
        <f t="shared" si="0"/>
        <v>17.559475741942169</v>
      </c>
    </row>
    <row r="37" spans="1:4" x14ac:dyDescent="0.3">
      <c r="A37">
        <v>2025</v>
      </c>
      <c r="B37">
        <f>[1]ALL!B37</f>
        <v>513363</v>
      </c>
      <c r="C37">
        <f>[1]ALL!C37</f>
        <v>99906</v>
      </c>
      <c r="D37">
        <f t="shared" si="0"/>
        <v>19.461083093249805</v>
      </c>
    </row>
    <row r="38" spans="1:4" x14ac:dyDescent="0.3">
      <c r="A38" t="s">
        <v>8</v>
      </c>
      <c r="B38">
        <f>[1]ALL!B38</f>
        <v>6031459</v>
      </c>
      <c r="C38">
        <f>[1]ALL!C38</f>
        <v>974002</v>
      </c>
    </row>
    <row r="39" spans="1:4" x14ac:dyDescent="0.3">
      <c r="A39" t="s">
        <v>6</v>
      </c>
      <c r="B39">
        <f>[1]ALL!B39</f>
        <v>728254</v>
      </c>
      <c r="C39">
        <f>[1]ALL!C39</f>
        <v>122606</v>
      </c>
      <c r="D39">
        <f>MAX(D2:D37)</f>
        <v>19.461083093249805</v>
      </c>
    </row>
    <row r="40" spans="1:4" x14ac:dyDescent="0.3">
      <c r="A40" t="s">
        <v>7</v>
      </c>
      <c r="B40">
        <f>[1]ALL!B40</f>
        <v>2340</v>
      </c>
      <c r="C40">
        <f>[1]ALL!C40</f>
        <v>90</v>
      </c>
      <c r="D40">
        <f>MIN(D2:D37)</f>
        <v>3.8461538461538463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BD1B-ACB1-4044-B4CE-82E1D526CE3A}">
  <dimension ref="A1:D40"/>
  <sheetViews>
    <sheetView workbookViewId="0">
      <selection activeCell="C20" sqref="C20"/>
    </sheetView>
  </sheetViews>
  <sheetFormatPr defaultRowHeight="17.25" x14ac:dyDescent="0.3"/>
  <sheetData>
    <row r="1" spans="1:4" x14ac:dyDescent="0.3">
      <c r="A1" t="s">
        <v>0</v>
      </c>
      <c r="B1" t="str">
        <f>[1]OBS!B1</f>
        <v>Total article count</v>
      </c>
      <c r="C1" t="str">
        <f>[1]OBS!C1</f>
        <v>HasPvalue</v>
      </c>
      <c r="D1" t="s">
        <v>1</v>
      </c>
    </row>
    <row r="2" spans="1:4" x14ac:dyDescent="0.3">
      <c r="A2">
        <v>1990</v>
      </c>
      <c r="B2">
        <f>[1]OBS!B2</f>
        <v>0</v>
      </c>
      <c r="C2">
        <f>[1]OBS!C2</f>
        <v>0</v>
      </c>
      <c r="D2" t="e">
        <f>C2/B2*100</f>
        <v>#DIV/0!</v>
      </c>
    </row>
    <row r="3" spans="1:4" x14ac:dyDescent="0.3">
      <c r="A3">
        <f>A2+1</f>
        <v>1991</v>
      </c>
      <c r="B3">
        <f>[1]OBS!B3</f>
        <v>0</v>
      </c>
      <c r="C3">
        <f>[1]OBS!C3</f>
        <v>0</v>
      </c>
      <c r="D3" t="e">
        <f t="shared" ref="D3:D40" si="0">C3/B3*100</f>
        <v>#DIV/0!</v>
      </c>
    </row>
    <row r="4" spans="1:4" x14ac:dyDescent="0.3">
      <c r="A4">
        <f t="shared" ref="A4:A37" si="1">A3+1</f>
        <v>1992</v>
      </c>
      <c r="B4">
        <f>[1]OBS!B4</f>
        <v>0</v>
      </c>
      <c r="C4">
        <f>[1]OBS!C4</f>
        <v>0</v>
      </c>
      <c r="D4" t="e">
        <f t="shared" si="0"/>
        <v>#DIV/0!</v>
      </c>
    </row>
    <row r="5" spans="1:4" x14ac:dyDescent="0.3">
      <c r="A5">
        <f t="shared" si="1"/>
        <v>1993</v>
      </c>
      <c r="B5">
        <f>[1]OBS!B5</f>
        <v>0</v>
      </c>
      <c r="C5">
        <f>[1]OBS!C5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[1]OBS!B6</f>
        <v>0</v>
      </c>
      <c r="C6">
        <f>[1]OBS!C6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[1]OBS!B7</f>
        <v>0</v>
      </c>
      <c r="C7">
        <f>[1]OBS!C7</f>
        <v>0</v>
      </c>
      <c r="D7" t="e">
        <f t="shared" si="0"/>
        <v>#DIV/0!</v>
      </c>
    </row>
    <row r="8" spans="1:4" x14ac:dyDescent="0.3">
      <c r="A8">
        <f t="shared" si="1"/>
        <v>1996</v>
      </c>
      <c r="B8">
        <f>[1]OBS!B8</f>
        <v>0</v>
      </c>
      <c r="C8">
        <f>[1]OBS!C8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[1]OBS!B9</f>
        <v>0</v>
      </c>
      <c r="C9">
        <f>[1]OBS!C9</f>
        <v>0</v>
      </c>
      <c r="D9" t="e">
        <f t="shared" si="0"/>
        <v>#DIV/0!</v>
      </c>
    </row>
    <row r="10" spans="1:4" x14ac:dyDescent="0.3">
      <c r="A10">
        <f t="shared" si="1"/>
        <v>1998</v>
      </c>
      <c r="B10">
        <f>[1]OBS!B10</f>
        <v>0</v>
      </c>
      <c r="C10">
        <f>[1]OBS!C10</f>
        <v>0</v>
      </c>
      <c r="D10" t="e">
        <f t="shared" si="0"/>
        <v>#DIV/0!</v>
      </c>
    </row>
    <row r="11" spans="1:4" x14ac:dyDescent="0.3">
      <c r="A11">
        <f t="shared" si="1"/>
        <v>1999</v>
      </c>
      <c r="B11">
        <f>[1]OBS!B11</f>
        <v>0</v>
      </c>
      <c r="C11">
        <f>[1]OBS!C11</f>
        <v>0</v>
      </c>
      <c r="D11" t="e">
        <f t="shared" si="0"/>
        <v>#DIV/0!</v>
      </c>
    </row>
    <row r="12" spans="1:4" x14ac:dyDescent="0.3">
      <c r="A12">
        <f t="shared" si="1"/>
        <v>2000</v>
      </c>
      <c r="B12">
        <f>[1]OBS!B12</f>
        <v>0</v>
      </c>
      <c r="C12">
        <f>[1]OBS!C12</f>
        <v>0</v>
      </c>
      <c r="D12" t="e">
        <f t="shared" si="0"/>
        <v>#DIV/0!</v>
      </c>
    </row>
    <row r="13" spans="1:4" x14ac:dyDescent="0.3">
      <c r="A13">
        <f t="shared" si="1"/>
        <v>2001</v>
      </c>
      <c r="B13">
        <f>[1]OBS!B13</f>
        <v>0</v>
      </c>
      <c r="C13">
        <f>[1]OBS!C13</f>
        <v>0</v>
      </c>
      <c r="D13" t="e">
        <f t="shared" si="0"/>
        <v>#DIV/0!</v>
      </c>
    </row>
    <row r="14" spans="1:4" x14ac:dyDescent="0.3">
      <c r="A14">
        <f t="shared" si="1"/>
        <v>2002</v>
      </c>
      <c r="B14">
        <f>[1]OBS!B14</f>
        <v>0</v>
      </c>
      <c r="C14">
        <f>[1]OBS!C14</f>
        <v>0</v>
      </c>
      <c r="D14" t="e">
        <f t="shared" si="0"/>
        <v>#DIV/0!</v>
      </c>
    </row>
    <row r="15" spans="1:4" x14ac:dyDescent="0.3">
      <c r="A15">
        <f t="shared" si="1"/>
        <v>2003</v>
      </c>
      <c r="B15">
        <f>[1]OBS!B15</f>
        <v>0</v>
      </c>
      <c r="C15">
        <f>[1]OBS!C15</f>
        <v>0</v>
      </c>
      <c r="D15" t="e">
        <f t="shared" si="0"/>
        <v>#DIV/0!</v>
      </c>
    </row>
    <row r="16" spans="1:4" x14ac:dyDescent="0.3">
      <c r="A16">
        <f t="shared" si="1"/>
        <v>2004</v>
      </c>
      <c r="B16">
        <f>[1]OBS!B16</f>
        <v>0</v>
      </c>
      <c r="C16">
        <f>[1]OBS!C16</f>
        <v>0</v>
      </c>
      <c r="D16" t="e">
        <f t="shared" si="0"/>
        <v>#DIV/0!</v>
      </c>
    </row>
    <row r="17" spans="1:4" x14ac:dyDescent="0.3">
      <c r="A17">
        <f t="shared" si="1"/>
        <v>2005</v>
      </c>
      <c r="B17">
        <f>[1]OBS!B17</f>
        <v>0</v>
      </c>
      <c r="C17">
        <f>[1]OBS!C17</f>
        <v>0</v>
      </c>
      <c r="D17" t="e">
        <f t="shared" si="0"/>
        <v>#DIV/0!</v>
      </c>
    </row>
    <row r="18" spans="1:4" x14ac:dyDescent="0.3">
      <c r="A18">
        <f t="shared" si="1"/>
        <v>2006</v>
      </c>
      <c r="B18">
        <f>[1]OBS!B18</f>
        <v>1</v>
      </c>
      <c r="C18">
        <f>[1]OBS!C18</f>
        <v>0</v>
      </c>
      <c r="D18">
        <f t="shared" si="0"/>
        <v>0</v>
      </c>
    </row>
    <row r="19" spans="1:4" x14ac:dyDescent="0.3">
      <c r="A19">
        <f t="shared" si="1"/>
        <v>2007</v>
      </c>
      <c r="B19">
        <f>[1]OBS!B19</f>
        <v>0</v>
      </c>
      <c r="C19">
        <f>[1]OBS!C19</f>
        <v>0</v>
      </c>
      <c r="D19" t="e">
        <f t="shared" si="0"/>
        <v>#DIV/0!</v>
      </c>
    </row>
    <row r="20" spans="1:4" x14ac:dyDescent="0.3">
      <c r="A20">
        <f t="shared" si="1"/>
        <v>2008</v>
      </c>
      <c r="B20">
        <f>[1]OBS!B20</f>
        <v>0</v>
      </c>
      <c r="C20">
        <f>[1]OBS!C20</f>
        <v>0</v>
      </c>
      <c r="D20" t="e">
        <f t="shared" si="0"/>
        <v>#DIV/0!</v>
      </c>
    </row>
    <row r="21" spans="1:4" x14ac:dyDescent="0.3">
      <c r="A21">
        <f t="shared" si="1"/>
        <v>2009</v>
      </c>
      <c r="B21">
        <f>[1]OBS!B21</f>
        <v>0</v>
      </c>
      <c r="C21">
        <f>[1]OBS!C21</f>
        <v>0</v>
      </c>
      <c r="D21" t="e">
        <f t="shared" si="0"/>
        <v>#DIV/0!</v>
      </c>
    </row>
    <row r="22" spans="1:4" x14ac:dyDescent="0.3">
      <c r="A22">
        <f t="shared" si="1"/>
        <v>2010</v>
      </c>
      <c r="B22">
        <f>[1]OBS!B22</f>
        <v>0</v>
      </c>
      <c r="C22">
        <f>[1]OBS!C22</f>
        <v>0</v>
      </c>
      <c r="D22" t="e">
        <f t="shared" si="0"/>
        <v>#DIV/0!</v>
      </c>
    </row>
    <row r="23" spans="1:4" x14ac:dyDescent="0.3">
      <c r="A23">
        <f t="shared" si="1"/>
        <v>2011</v>
      </c>
      <c r="B23">
        <f>[1]OBS!B23</f>
        <v>1</v>
      </c>
      <c r="C23">
        <f>[1]OBS!C23</f>
        <v>0</v>
      </c>
      <c r="D23">
        <f t="shared" si="0"/>
        <v>0</v>
      </c>
    </row>
    <row r="24" spans="1:4" x14ac:dyDescent="0.3">
      <c r="A24">
        <f t="shared" si="1"/>
        <v>2012</v>
      </c>
      <c r="B24">
        <f>[1]OBS!B24</f>
        <v>49</v>
      </c>
      <c r="C24">
        <f>[1]OBS!C24</f>
        <v>29</v>
      </c>
      <c r="D24">
        <f t="shared" si="0"/>
        <v>59.183673469387756</v>
      </c>
    </row>
    <row r="25" spans="1:4" x14ac:dyDescent="0.3">
      <c r="A25">
        <f t="shared" si="1"/>
        <v>2013</v>
      </c>
      <c r="B25">
        <f>[1]OBS!B25</f>
        <v>595</v>
      </c>
      <c r="C25">
        <f>[1]OBS!C25</f>
        <v>294</v>
      </c>
      <c r="D25">
        <f t="shared" si="0"/>
        <v>49.411764705882355</v>
      </c>
    </row>
    <row r="26" spans="1:4" x14ac:dyDescent="0.3">
      <c r="A26">
        <f t="shared" si="1"/>
        <v>2014</v>
      </c>
      <c r="B26">
        <f>[1]OBS!B26</f>
        <v>1464</v>
      </c>
      <c r="C26">
        <f>[1]OBS!C26</f>
        <v>674</v>
      </c>
      <c r="D26">
        <f t="shared" si="0"/>
        <v>46.038251366120221</v>
      </c>
    </row>
    <row r="27" spans="1:4" x14ac:dyDescent="0.3">
      <c r="A27">
        <f t="shared" si="1"/>
        <v>2015</v>
      </c>
      <c r="B27">
        <f>[1]OBS!B27</f>
        <v>2388</v>
      </c>
      <c r="C27">
        <f>[1]OBS!C27</f>
        <v>1199</v>
      </c>
      <c r="D27">
        <f t="shared" si="0"/>
        <v>50.209380234505865</v>
      </c>
    </row>
    <row r="28" spans="1:4" x14ac:dyDescent="0.3">
      <c r="A28">
        <f t="shared" si="1"/>
        <v>2016</v>
      </c>
      <c r="B28">
        <f>[1]OBS!B28</f>
        <v>3060</v>
      </c>
      <c r="C28">
        <f>[1]OBS!C28</f>
        <v>1566</v>
      </c>
      <c r="D28">
        <f t="shared" si="0"/>
        <v>51.17647058823529</v>
      </c>
    </row>
    <row r="29" spans="1:4" x14ac:dyDescent="0.3">
      <c r="A29">
        <f t="shared" si="1"/>
        <v>2017</v>
      </c>
      <c r="B29">
        <f>[1]OBS!B29</f>
        <v>3546</v>
      </c>
      <c r="C29">
        <f>[1]OBS!C29</f>
        <v>1743</v>
      </c>
      <c r="D29">
        <f t="shared" si="0"/>
        <v>49.15397631133672</v>
      </c>
    </row>
    <row r="30" spans="1:4" x14ac:dyDescent="0.3">
      <c r="A30">
        <f t="shared" si="1"/>
        <v>2018</v>
      </c>
      <c r="B30">
        <f>[1]OBS!B30</f>
        <v>3964</v>
      </c>
      <c r="C30">
        <f>[1]OBS!C30</f>
        <v>1939</v>
      </c>
      <c r="D30">
        <f t="shared" si="0"/>
        <v>48.915237134207871</v>
      </c>
    </row>
    <row r="31" spans="1:4" x14ac:dyDescent="0.3">
      <c r="A31">
        <f t="shared" si="1"/>
        <v>2019</v>
      </c>
      <c r="B31">
        <f>[1]OBS!B31</f>
        <v>5016</v>
      </c>
      <c r="C31">
        <f>[1]OBS!C31</f>
        <v>2380</v>
      </c>
      <c r="D31">
        <f t="shared" si="0"/>
        <v>47.448165869218499</v>
      </c>
    </row>
    <row r="32" spans="1:4" x14ac:dyDescent="0.3">
      <c r="A32">
        <f t="shared" si="1"/>
        <v>2020</v>
      </c>
      <c r="B32">
        <f>[1]OBS!B32</f>
        <v>6422</v>
      </c>
      <c r="C32">
        <f>[1]OBS!C32</f>
        <v>3033</v>
      </c>
      <c r="D32">
        <f t="shared" si="0"/>
        <v>47.228277795079414</v>
      </c>
    </row>
    <row r="33" spans="1:4" x14ac:dyDescent="0.3">
      <c r="A33">
        <f t="shared" si="1"/>
        <v>2021</v>
      </c>
      <c r="B33">
        <f>[1]OBS!B33</f>
        <v>7916</v>
      </c>
      <c r="C33">
        <f>[1]OBS!C33</f>
        <v>3682</v>
      </c>
      <c r="D33">
        <f t="shared" si="0"/>
        <v>46.513390601313795</v>
      </c>
    </row>
    <row r="34" spans="1:4" x14ac:dyDescent="0.3">
      <c r="A34">
        <f t="shared" si="1"/>
        <v>2022</v>
      </c>
      <c r="B34">
        <f>[1]OBS!B34</f>
        <v>6510</v>
      </c>
      <c r="C34">
        <f>[1]OBS!C34</f>
        <v>3109</v>
      </c>
      <c r="D34">
        <f t="shared" si="0"/>
        <v>47.757296466973884</v>
      </c>
    </row>
    <row r="35" spans="1:4" x14ac:dyDescent="0.3">
      <c r="A35">
        <f t="shared" si="1"/>
        <v>2023</v>
      </c>
      <c r="B35">
        <f>[1]OBS!B35</f>
        <v>5550</v>
      </c>
      <c r="C35">
        <f>[1]OBS!C35</f>
        <v>2668</v>
      </c>
      <c r="D35">
        <f t="shared" si="0"/>
        <v>48.072072072072068</v>
      </c>
    </row>
    <row r="36" spans="1:4" x14ac:dyDescent="0.3">
      <c r="A36">
        <f t="shared" si="1"/>
        <v>2024</v>
      </c>
      <c r="B36">
        <f>[1]OBS!B36</f>
        <v>6845</v>
      </c>
      <c r="C36">
        <f>[1]OBS!C36</f>
        <v>3357</v>
      </c>
      <c r="D36">
        <f t="shared" si="0"/>
        <v>49.043097151205259</v>
      </c>
    </row>
    <row r="37" spans="1:4" x14ac:dyDescent="0.3">
      <c r="A37">
        <f t="shared" si="1"/>
        <v>2025</v>
      </c>
      <c r="B37">
        <f>[1]OBS!B37</f>
        <v>5852</v>
      </c>
      <c r="C37">
        <f>[1]OBS!C37</f>
        <v>2950</v>
      </c>
      <c r="D37">
        <f t="shared" si="0"/>
        <v>50.410116199589879</v>
      </c>
    </row>
    <row r="38" spans="1:4" x14ac:dyDescent="0.3">
      <c r="A38" t="s">
        <v>8</v>
      </c>
      <c r="B38">
        <f>[1]OBS!B38</f>
        <v>59179</v>
      </c>
      <c r="C38">
        <f>[1]OBS!C38</f>
        <v>28623</v>
      </c>
      <c r="D38">
        <f t="shared" si="0"/>
        <v>48.366819310904205</v>
      </c>
    </row>
    <row r="39" spans="1:4" x14ac:dyDescent="0.3">
      <c r="A39" t="s">
        <v>6</v>
      </c>
      <c r="B39">
        <f>[1]OBS!B39</f>
        <v>7916</v>
      </c>
      <c r="C39">
        <f>[1]OBS!C39</f>
        <v>3682</v>
      </c>
      <c r="D39">
        <f t="shared" si="0"/>
        <v>46.513390601313795</v>
      </c>
    </row>
    <row r="40" spans="1:4" x14ac:dyDescent="0.3">
      <c r="A40" t="s">
        <v>7</v>
      </c>
      <c r="B40">
        <f>[1]OBS!B40</f>
        <v>0</v>
      </c>
      <c r="C40">
        <f>[1]OBS!C40</f>
        <v>0</v>
      </c>
      <c r="D40" t="e">
        <f t="shared" si="0"/>
        <v>#DIV/0!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CD83-FDC0-4D92-8A3D-CD1D1F74C4D6}">
  <dimension ref="A1:D40"/>
  <sheetViews>
    <sheetView topLeftCell="A19" workbookViewId="0">
      <selection activeCell="B32" sqref="B32"/>
    </sheetView>
  </sheetViews>
  <sheetFormatPr defaultRowHeight="17.25" x14ac:dyDescent="0.3"/>
  <sheetData>
    <row r="1" spans="1:4" x14ac:dyDescent="0.3">
      <c r="A1" t="s">
        <v>0</v>
      </c>
      <c r="B1" t="str">
        <f>[1]ALL!B1</f>
        <v>Total article count</v>
      </c>
      <c r="C1" t="str">
        <f>[1]ALL!C1</f>
        <v>HasPvalue</v>
      </c>
      <c r="D1" t="s">
        <v>1</v>
      </c>
    </row>
    <row r="2" spans="1:4" x14ac:dyDescent="0.3">
      <c r="A2">
        <v>1990</v>
      </c>
      <c r="B2">
        <f>[1]SYSREV!B2</f>
        <v>0</v>
      </c>
      <c r="C2">
        <f>[1]SYSREV!C2</f>
        <v>0</v>
      </c>
      <c r="D2" t="e">
        <f>C2/B2*100</f>
        <v>#DIV/0!</v>
      </c>
    </row>
    <row r="3" spans="1:4" x14ac:dyDescent="0.3">
      <c r="A3">
        <f>A2+1</f>
        <v>1991</v>
      </c>
      <c r="B3">
        <f>[1]SYSREV!B3</f>
        <v>0</v>
      </c>
      <c r="C3">
        <f>[1]SYSREV!C3</f>
        <v>0</v>
      </c>
      <c r="D3" t="e">
        <f t="shared" ref="D3:D40" si="0">C3/B3*100</f>
        <v>#DIV/0!</v>
      </c>
    </row>
    <row r="4" spans="1:4" x14ac:dyDescent="0.3">
      <c r="A4">
        <f t="shared" ref="A4:A37" si="1">A3+1</f>
        <v>1992</v>
      </c>
      <c r="B4">
        <f>[1]SYSREV!B4</f>
        <v>0</v>
      </c>
      <c r="C4">
        <f>[1]SYSREV!C4</f>
        <v>0</v>
      </c>
      <c r="D4" t="e">
        <f t="shared" si="0"/>
        <v>#DIV/0!</v>
      </c>
    </row>
    <row r="5" spans="1:4" x14ac:dyDescent="0.3">
      <c r="A5">
        <f t="shared" si="1"/>
        <v>1993</v>
      </c>
      <c r="B5">
        <f>[1]SYSREV!B5</f>
        <v>0</v>
      </c>
      <c r="C5">
        <f>[1]SYSREV!C5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[1]SYSREV!B6</f>
        <v>1</v>
      </c>
      <c r="C6">
        <f>[1]SYSREV!C6</f>
        <v>0</v>
      </c>
      <c r="D6">
        <f t="shared" si="0"/>
        <v>0</v>
      </c>
    </row>
    <row r="7" spans="1:4" x14ac:dyDescent="0.3">
      <c r="A7">
        <f t="shared" si="1"/>
        <v>1995</v>
      </c>
      <c r="B7">
        <f>[1]SYSREV!B7</f>
        <v>1</v>
      </c>
      <c r="C7">
        <f>[1]SYSREV!C7</f>
        <v>0</v>
      </c>
      <c r="D7">
        <f t="shared" si="0"/>
        <v>0</v>
      </c>
    </row>
    <row r="8" spans="1:4" x14ac:dyDescent="0.3">
      <c r="A8">
        <f t="shared" si="1"/>
        <v>1996</v>
      </c>
      <c r="B8">
        <f>[1]SYSREV!B8</f>
        <v>0</v>
      </c>
      <c r="C8">
        <f>[1]SYSREV!C8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[1]SYSREV!B9</f>
        <v>1</v>
      </c>
      <c r="C9">
        <f>[1]SYSREV!C9</f>
        <v>0</v>
      </c>
      <c r="D9">
        <f t="shared" si="0"/>
        <v>0</v>
      </c>
    </row>
    <row r="10" spans="1:4" x14ac:dyDescent="0.3">
      <c r="A10">
        <f t="shared" si="1"/>
        <v>1998</v>
      </c>
      <c r="B10">
        <f>[1]SYSREV!B10</f>
        <v>2</v>
      </c>
      <c r="C10">
        <f>[1]SYSREV!C10</f>
        <v>0</v>
      </c>
      <c r="D10">
        <f t="shared" si="0"/>
        <v>0</v>
      </c>
    </row>
    <row r="11" spans="1:4" x14ac:dyDescent="0.3">
      <c r="A11">
        <f t="shared" si="1"/>
        <v>1999</v>
      </c>
      <c r="B11">
        <f>[1]SYSREV!B11</f>
        <v>1</v>
      </c>
      <c r="C11">
        <f>[1]SYSREV!C11</f>
        <v>0</v>
      </c>
      <c r="D11">
        <f t="shared" si="0"/>
        <v>0</v>
      </c>
    </row>
    <row r="12" spans="1:4" x14ac:dyDescent="0.3">
      <c r="A12">
        <f t="shared" si="1"/>
        <v>2000</v>
      </c>
      <c r="B12">
        <f>[1]SYSREV!B12</f>
        <v>3</v>
      </c>
      <c r="C12">
        <f>[1]SYSREV!C12</f>
        <v>0</v>
      </c>
      <c r="D12">
        <f t="shared" si="0"/>
        <v>0</v>
      </c>
    </row>
    <row r="13" spans="1:4" x14ac:dyDescent="0.3">
      <c r="A13">
        <f t="shared" si="1"/>
        <v>2001</v>
      </c>
      <c r="B13">
        <f>[1]SYSREV!B13</f>
        <v>11</v>
      </c>
      <c r="C13">
        <f>[1]SYSREV!C13</f>
        <v>2</v>
      </c>
      <c r="D13">
        <f t="shared" si="0"/>
        <v>18.181818181818183</v>
      </c>
    </row>
    <row r="14" spans="1:4" x14ac:dyDescent="0.3">
      <c r="A14">
        <f t="shared" si="1"/>
        <v>2002</v>
      </c>
      <c r="B14">
        <f>[1]SYSREV!B14</f>
        <v>17</v>
      </c>
      <c r="C14">
        <f>[1]SYSREV!C14</f>
        <v>6</v>
      </c>
      <c r="D14">
        <f t="shared" si="0"/>
        <v>35.294117647058826</v>
      </c>
    </row>
    <row r="15" spans="1:4" x14ac:dyDescent="0.3">
      <c r="A15">
        <f t="shared" si="1"/>
        <v>2003</v>
      </c>
      <c r="B15">
        <f>[1]SYSREV!B15</f>
        <v>15</v>
      </c>
      <c r="C15">
        <f>[1]SYSREV!C15</f>
        <v>1</v>
      </c>
      <c r="D15">
        <f t="shared" si="0"/>
        <v>6.666666666666667</v>
      </c>
    </row>
    <row r="16" spans="1:4" x14ac:dyDescent="0.3">
      <c r="A16">
        <f t="shared" si="1"/>
        <v>2004</v>
      </c>
      <c r="B16">
        <f>[1]SYSREV!B16</f>
        <v>30</v>
      </c>
      <c r="C16">
        <f>[1]SYSREV!C16</f>
        <v>3</v>
      </c>
      <c r="D16">
        <f t="shared" si="0"/>
        <v>10</v>
      </c>
    </row>
    <row r="17" spans="1:4" x14ac:dyDescent="0.3">
      <c r="A17">
        <f t="shared" si="1"/>
        <v>2005</v>
      </c>
      <c r="B17">
        <f>[1]SYSREV!B17</f>
        <v>48</v>
      </c>
      <c r="C17">
        <f>[1]SYSREV!C17</f>
        <v>6</v>
      </c>
      <c r="D17">
        <f t="shared" si="0"/>
        <v>12.5</v>
      </c>
    </row>
    <row r="18" spans="1:4" x14ac:dyDescent="0.3">
      <c r="A18">
        <f t="shared" si="1"/>
        <v>2006</v>
      </c>
      <c r="B18">
        <f>[1]SYSREV!B18</f>
        <v>86</v>
      </c>
      <c r="C18">
        <f>[1]SYSREV!C18</f>
        <v>11</v>
      </c>
      <c r="D18">
        <f t="shared" si="0"/>
        <v>12.790697674418606</v>
      </c>
    </row>
    <row r="19" spans="1:4" x14ac:dyDescent="0.3">
      <c r="A19">
        <f t="shared" si="1"/>
        <v>2007</v>
      </c>
      <c r="B19">
        <f>[1]SYSREV!B19</f>
        <v>95</v>
      </c>
      <c r="C19">
        <f>[1]SYSREV!C19</f>
        <v>13</v>
      </c>
      <c r="D19">
        <f t="shared" si="0"/>
        <v>13.684210526315791</v>
      </c>
    </row>
    <row r="20" spans="1:4" x14ac:dyDescent="0.3">
      <c r="A20">
        <f t="shared" si="1"/>
        <v>2008</v>
      </c>
      <c r="B20">
        <f>[1]SYSREV!B20</f>
        <v>160</v>
      </c>
      <c r="C20">
        <f>[1]SYSREV!C20</f>
        <v>21</v>
      </c>
      <c r="D20">
        <f t="shared" si="0"/>
        <v>13.125</v>
      </c>
    </row>
    <row r="21" spans="1:4" x14ac:dyDescent="0.3">
      <c r="A21">
        <f t="shared" si="1"/>
        <v>2009</v>
      </c>
      <c r="B21">
        <f>[1]SYSREV!B21</f>
        <v>222</v>
      </c>
      <c r="C21">
        <f>[1]SYSREV!C21</f>
        <v>34</v>
      </c>
      <c r="D21">
        <f t="shared" si="0"/>
        <v>15.315315315315313</v>
      </c>
    </row>
    <row r="22" spans="1:4" x14ac:dyDescent="0.3">
      <c r="A22">
        <f t="shared" si="1"/>
        <v>2010</v>
      </c>
      <c r="B22">
        <f>[1]SYSREV!B22</f>
        <v>354</v>
      </c>
      <c r="C22">
        <f>[1]SYSREV!C22</f>
        <v>57</v>
      </c>
      <c r="D22">
        <f t="shared" si="0"/>
        <v>16.101694915254235</v>
      </c>
    </row>
    <row r="23" spans="1:4" x14ac:dyDescent="0.3">
      <c r="A23">
        <f t="shared" si="1"/>
        <v>2011</v>
      </c>
      <c r="B23">
        <f>[1]SYSREV!B23</f>
        <v>515</v>
      </c>
      <c r="C23">
        <f>[1]SYSREV!C23</f>
        <v>65</v>
      </c>
      <c r="D23">
        <f t="shared" si="0"/>
        <v>12.621359223300971</v>
      </c>
    </row>
    <row r="24" spans="1:4" x14ac:dyDescent="0.3">
      <c r="A24">
        <f t="shared" si="1"/>
        <v>2012</v>
      </c>
      <c r="B24">
        <f>[1]SYSREV!B24</f>
        <v>744</v>
      </c>
      <c r="C24">
        <f>[1]SYSREV!C24</f>
        <v>118</v>
      </c>
      <c r="D24">
        <f t="shared" si="0"/>
        <v>15.86021505376344</v>
      </c>
    </row>
    <row r="25" spans="1:4" x14ac:dyDescent="0.3">
      <c r="A25">
        <f t="shared" si="1"/>
        <v>2013</v>
      </c>
      <c r="B25">
        <f>[1]SYSREV!B25</f>
        <v>1178</v>
      </c>
      <c r="C25">
        <f>[1]SYSREV!C25</f>
        <v>206</v>
      </c>
      <c r="D25">
        <f t="shared" si="0"/>
        <v>17.487266553480477</v>
      </c>
    </row>
    <row r="26" spans="1:4" x14ac:dyDescent="0.3">
      <c r="A26">
        <f t="shared" si="1"/>
        <v>2014</v>
      </c>
      <c r="B26">
        <f>[1]SYSREV!B26</f>
        <v>1666</v>
      </c>
      <c r="C26">
        <f>[1]SYSREV!C26</f>
        <v>316</v>
      </c>
      <c r="D26">
        <f t="shared" si="0"/>
        <v>18.967587034813928</v>
      </c>
    </row>
    <row r="27" spans="1:4" x14ac:dyDescent="0.3">
      <c r="A27">
        <f t="shared" si="1"/>
        <v>2015</v>
      </c>
      <c r="B27">
        <f>[1]SYSREV!B27</f>
        <v>2147</v>
      </c>
      <c r="C27">
        <f>[1]SYSREV!C27</f>
        <v>456</v>
      </c>
      <c r="D27">
        <f t="shared" si="0"/>
        <v>21.238938053097346</v>
      </c>
    </row>
    <row r="28" spans="1:4" x14ac:dyDescent="0.3">
      <c r="A28">
        <f t="shared" si="1"/>
        <v>2016</v>
      </c>
      <c r="B28">
        <f>[1]SYSREV!B28</f>
        <v>2652</v>
      </c>
      <c r="C28">
        <f>[1]SYSREV!C28</f>
        <v>577</v>
      </c>
      <c r="D28">
        <f t="shared" si="0"/>
        <v>21.757164404223229</v>
      </c>
    </row>
    <row r="29" spans="1:4" x14ac:dyDescent="0.3">
      <c r="A29">
        <f t="shared" si="1"/>
        <v>2017</v>
      </c>
      <c r="B29">
        <f>[1]SYSREV!B29</f>
        <v>3157</v>
      </c>
      <c r="C29">
        <f>[1]SYSREV!C29</f>
        <v>682</v>
      </c>
      <c r="D29">
        <f t="shared" si="0"/>
        <v>21.602787456445995</v>
      </c>
    </row>
    <row r="30" spans="1:4" x14ac:dyDescent="0.3">
      <c r="A30">
        <f t="shared" si="1"/>
        <v>2018</v>
      </c>
      <c r="B30">
        <f>[1]SYSREV!B30</f>
        <v>3460</v>
      </c>
      <c r="C30">
        <f>[1]SYSREV!C30</f>
        <v>771</v>
      </c>
      <c r="D30">
        <f t="shared" si="0"/>
        <v>22.283236994219653</v>
      </c>
    </row>
    <row r="31" spans="1:4" x14ac:dyDescent="0.3">
      <c r="A31">
        <f t="shared" si="1"/>
        <v>2019</v>
      </c>
      <c r="B31">
        <f>[1]SYSREV!B31</f>
        <v>5341</v>
      </c>
      <c r="C31">
        <f>[1]SYSREV!C31</f>
        <v>1300</v>
      </c>
      <c r="D31">
        <f t="shared" si="0"/>
        <v>24.340011233851339</v>
      </c>
    </row>
    <row r="32" spans="1:4" x14ac:dyDescent="0.3">
      <c r="A32">
        <f t="shared" si="1"/>
        <v>2020</v>
      </c>
      <c r="B32">
        <f>[1]SYSREV!B32</f>
        <v>7293</v>
      </c>
      <c r="C32">
        <f>[1]SYSREV!C32</f>
        <v>1710</v>
      </c>
      <c r="D32">
        <f t="shared" si="0"/>
        <v>23.447141094199917</v>
      </c>
    </row>
    <row r="33" spans="1:4" x14ac:dyDescent="0.3">
      <c r="A33">
        <f t="shared" si="1"/>
        <v>2021</v>
      </c>
      <c r="B33">
        <f>[1]SYSREV!B33</f>
        <v>10296</v>
      </c>
      <c r="C33">
        <f>[1]SYSREV!C33</f>
        <v>2433</v>
      </c>
      <c r="D33">
        <f t="shared" si="0"/>
        <v>23.630536130536132</v>
      </c>
    </row>
    <row r="34" spans="1:4" x14ac:dyDescent="0.3">
      <c r="A34">
        <f t="shared" si="1"/>
        <v>2022</v>
      </c>
      <c r="B34">
        <f>[1]SYSREV!B34</f>
        <v>13058</v>
      </c>
      <c r="C34">
        <f>[1]SYSREV!C34</f>
        <v>3171</v>
      </c>
      <c r="D34">
        <f t="shared" si="0"/>
        <v>24.283963853576353</v>
      </c>
    </row>
    <row r="35" spans="1:4" x14ac:dyDescent="0.3">
      <c r="A35">
        <f t="shared" si="1"/>
        <v>2023</v>
      </c>
      <c r="B35">
        <f>[1]SYSREV!B35</f>
        <v>11272</v>
      </c>
      <c r="C35">
        <f>[1]SYSREV!C35</f>
        <v>2863</v>
      </c>
      <c r="D35">
        <f t="shared" si="0"/>
        <v>25.399219304471256</v>
      </c>
    </row>
    <row r="36" spans="1:4" x14ac:dyDescent="0.3">
      <c r="A36">
        <f t="shared" si="1"/>
        <v>2024</v>
      </c>
      <c r="B36">
        <f>[1]SYSREV!B36</f>
        <v>12580</v>
      </c>
      <c r="C36">
        <f>[1]SYSREV!C36</f>
        <v>3332</v>
      </c>
      <c r="D36">
        <f t="shared" si="0"/>
        <v>26.486486486486488</v>
      </c>
    </row>
    <row r="37" spans="1:4" x14ac:dyDescent="0.3">
      <c r="A37">
        <f t="shared" si="1"/>
        <v>2025</v>
      </c>
      <c r="B37">
        <f>[1]SYSREV!B37</f>
        <v>10242</v>
      </c>
      <c r="C37">
        <f>[1]SYSREV!C37</f>
        <v>2661</v>
      </c>
      <c r="D37">
        <f t="shared" si="0"/>
        <v>25.981253661394259</v>
      </c>
    </row>
    <row r="38" spans="1:4" x14ac:dyDescent="0.3">
      <c r="A38" t="s">
        <v>8</v>
      </c>
      <c r="B38">
        <f>[1]SYSREV!B38</f>
        <v>86648</v>
      </c>
      <c r="C38">
        <f>[1]SYSREV!C38</f>
        <v>20815</v>
      </c>
      <c r="D38">
        <f t="shared" si="0"/>
        <v>24.022481765303297</v>
      </c>
    </row>
    <row r="39" spans="1:4" x14ac:dyDescent="0.3">
      <c r="A39" t="s">
        <v>6</v>
      </c>
      <c r="B39">
        <f>[1]SYSREV!B39</f>
        <v>13058</v>
      </c>
      <c r="C39">
        <f>[1]SYSREV!C39</f>
        <v>3332</v>
      </c>
      <c r="D39">
        <f t="shared" si="0"/>
        <v>25.516924490733651</v>
      </c>
    </row>
    <row r="40" spans="1:4" x14ac:dyDescent="0.3">
      <c r="A40" t="s">
        <v>7</v>
      </c>
      <c r="B40">
        <f>[1]SYSREV!B40</f>
        <v>0</v>
      </c>
      <c r="C40">
        <f>[1]SYSREV!C40</f>
        <v>0</v>
      </c>
      <c r="D40" t="e">
        <f t="shared" si="0"/>
        <v>#DIV/0!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F0F9-94CA-490F-9C28-6720D2398075}">
  <dimension ref="A1:AS40"/>
  <sheetViews>
    <sheetView zoomScale="87" workbookViewId="0">
      <selection activeCell="I6" sqref="I6"/>
    </sheetView>
  </sheetViews>
  <sheetFormatPr defaultColWidth="8.6640625" defaultRowHeight="17.25" x14ac:dyDescent="0.3"/>
  <cols>
    <col min="4" max="4" width="8.77734375"/>
  </cols>
  <sheetData>
    <row r="1" spans="1:45" x14ac:dyDescent="0.3">
      <c r="A1" t="s">
        <v>0</v>
      </c>
      <c r="B1" t="s">
        <v>9</v>
      </c>
      <c r="C1" t="s">
        <v>2</v>
      </c>
      <c r="D1" t="s">
        <v>3</v>
      </c>
      <c r="E1" t="s">
        <v>4</v>
      </c>
      <c r="F1" t="s">
        <v>21</v>
      </c>
      <c r="G1" t="s">
        <v>22</v>
      </c>
      <c r="I1" t="str">
        <f t="array" ref="I1:AS7">TRANSPOSE(A1:G40)</f>
        <v>Year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</row>
    <row r="2" spans="1:45" x14ac:dyDescent="0.3">
      <c r="A2">
        <v>1990</v>
      </c>
      <c r="B2">
        <f>RCT!D2</f>
        <v>27.27272727272727</v>
      </c>
      <c r="C2">
        <f>CT!D2</f>
        <v>10</v>
      </c>
      <c r="D2">
        <f>META!D2</f>
        <v>0</v>
      </c>
      <c r="E2">
        <f>REVIEW!D2</f>
        <v>0.6097560975609756</v>
      </c>
      <c r="F2">
        <f>CCJ!D2</f>
        <v>15.384615384615385</v>
      </c>
      <c r="G2">
        <f>ALL!D2</f>
        <v>3.8461538461538463</v>
      </c>
      <c r="I2" t="str">
        <v>Randomized controlled trial</v>
      </c>
      <c r="J2">
        <v>27.27272727272727</v>
      </c>
      <c r="K2">
        <v>50</v>
      </c>
      <c r="L2">
        <v>37.5</v>
      </c>
      <c r="M2">
        <v>48.275862068965516</v>
      </c>
      <c r="N2">
        <v>50</v>
      </c>
      <c r="O2">
        <v>51.724137931034484</v>
      </c>
      <c r="P2">
        <v>41.860465116279073</v>
      </c>
      <c r="Q2">
        <v>60.714285714285708</v>
      </c>
      <c r="R2">
        <v>58.139534883720934</v>
      </c>
      <c r="S2">
        <v>43.243243243243242</v>
      </c>
      <c r="T2">
        <v>46.666666666666664</v>
      </c>
      <c r="U2">
        <v>52.307692307692314</v>
      </c>
      <c r="V2">
        <v>45.333333333333329</v>
      </c>
      <c r="W2">
        <v>47.368421052631575</v>
      </c>
      <c r="X2">
        <v>44.375</v>
      </c>
      <c r="Y2">
        <v>47.179487179487175</v>
      </c>
      <c r="Z2">
        <v>46.768060836501903</v>
      </c>
      <c r="AA2">
        <v>44.306418219461698</v>
      </c>
      <c r="AB2">
        <v>43.873517786561266</v>
      </c>
      <c r="AC2">
        <v>40.68582020389249</v>
      </c>
      <c r="AD2">
        <v>41.164383561643838</v>
      </c>
      <c r="AE2">
        <v>39.049485546300829</v>
      </c>
      <c r="AF2">
        <v>38.877835256665335</v>
      </c>
      <c r="AG2">
        <v>40.034762456546929</v>
      </c>
      <c r="AH2">
        <v>41.674528301886795</v>
      </c>
      <c r="AI2">
        <v>41.744680851063833</v>
      </c>
      <c r="AJ2">
        <v>44.022169437846401</v>
      </c>
      <c r="AK2">
        <v>43.878854223681813</v>
      </c>
      <c r="AL2">
        <v>48.906485671191554</v>
      </c>
      <c r="AM2">
        <v>51.014492753623188</v>
      </c>
      <c r="AN2">
        <v>51.840796019900495</v>
      </c>
      <c r="AO2">
        <v>53.277476589452931</v>
      </c>
      <c r="AP2">
        <v>53.958398013039435</v>
      </c>
      <c r="AQ2">
        <v>54.21656686626747</v>
      </c>
      <c r="AR2">
        <v>58.101207056638813</v>
      </c>
      <c r="AS2">
        <v>57.904308897593737</v>
      </c>
    </row>
    <row r="3" spans="1:45" x14ac:dyDescent="0.3">
      <c r="A3">
        <v>1991</v>
      </c>
      <c r="B3">
        <f>RCT!D3</f>
        <v>50</v>
      </c>
      <c r="C3">
        <f>CT!D3</f>
        <v>10.714285714285714</v>
      </c>
      <c r="D3">
        <f>META!D3</f>
        <v>0</v>
      </c>
      <c r="E3">
        <f>REVIEW!D3</f>
        <v>0.61728395061728392</v>
      </c>
      <c r="F3">
        <f>CCJ!D3</f>
        <v>19.736842105263158</v>
      </c>
      <c r="G3">
        <f>ALL!D3</f>
        <v>5.7724252491694354</v>
      </c>
      <c r="I3" t="str">
        <v>Clinical trial</v>
      </c>
      <c r="J3">
        <v>10</v>
      </c>
      <c r="K3">
        <v>10.714285714285714</v>
      </c>
      <c r="L3">
        <v>6.666666666666667</v>
      </c>
      <c r="M3">
        <v>20.930232558139537</v>
      </c>
      <c r="N3">
        <v>23.333333333333332</v>
      </c>
      <c r="O3">
        <v>17.1875</v>
      </c>
      <c r="P3">
        <v>12.903225806451612</v>
      </c>
      <c r="Q3">
        <v>20.588235294117645</v>
      </c>
      <c r="R3">
        <v>22.105263157894736</v>
      </c>
      <c r="S3">
        <v>22.330097087378643</v>
      </c>
      <c r="T3">
        <v>25.97402597402597</v>
      </c>
      <c r="U3">
        <v>30.952380952380953</v>
      </c>
      <c r="V3">
        <v>12.222222222222221</v>
      </c>
      <c r="W3">
        <v>24.770642201834864</v>
      </c>
      <c r="X3">
        <v>28.640776699029125</v>
      </c>
      <c r="Y3">
        <v>29.230769230769234</v>
      </c>
      <c r="Z3">
        <v>43.511450381679388</v>
      </c>
      <c r="AA3">
        <v>34.810126582278485</v>
      </c>
      <c r="AB3">
        <v>40.109890109890109</v>
      </c>
      <c r="AC3">
        <v>43.18181818181818</v>
      </c>
      <c r="AD3">
        <v>34.254143646408842</v>
      </c>
      <c r="AE3">
        <v>37.08086785009862</v>
      </c>
      <c r="AF3">
        <v>37.341040462427742</v>
      </c>
      <c r="AG3">
        <v>35.307692307692307</v>
      </c>
      <c r="AH3">
        <v>37.250859106529212</v>
      </c>
      <c r="AI3">
        <v>39.121482498284145</v>
      </c>
      <c r="AJ3">
        <v>41.717376605814735</v>
      </c>
      <c r="AK3">
        <v>41.441441441441441</v>
      </c>
      <c r="AL3">
        <v>37.946183415705661</v>
      </c>
      <c r="AM3">
        <v>38.443506797937175</v>
      </c>
      <c r="AN3">
        <v>39.082855653986456</v>
      </c>
      <c r="AO3">
        <v>38.511749347258487</v>
      </c>
      <c r="AP3">
        <v>41.342756183745585</v>
      </c>
      <c r="AQ3">
        <v>44.098205854579788</v>
      </c>
      <c r="AR3">
        <v>46.136618141097422</v>
      </c>
      <c r="AS3">
        <v>51.330203442879494</v>
      </c>
    </row>
    <row r="4" spans="1:45" x14ac:dyDescent="0.3">
      <c r="A4">
        <f>A2+2</f>
        <v>1992</v>
      </c>
      <c r="B4">
        <f>RCT!D4</f>
        <v>37.5</v>
      </c>
      <c r="C4">
        <f>CT!D4</f>
        <v>6.666666666666667</v>
      </c>
      <c r="D4">
        <f>META!D4</f>
        <v>0</v>
      </c>
      <c r="E4">
        <f>REVIEW!D4</f>
        <v>0</v>
      </c>
      <c r="F4">
        <f>CCJ!D4</f>
        <v>21.024258760107816</v>
      </c>
      <c r="G4">
        <f>ALL!D4</f>
        <v>5.8510638297872344</v>
      </c>
      <c r="I4" t="str">
        <v>Meta-analysis</v>
      </c>
      <c r="J4">
        <v>0</v>
      </c>
      <c r="K4">
        <v>0</v>
      </c>
      <c r="L4">
        <v>0</v>
      </c>
      <c r="M4">
        <v>0</v>
      </c>
      <c r="N4">
        <v>20</v>
      </c>
      <c r="O4">
        <v>25</v>
      </c>
      <c r="P4">
        <v>0</v>
      </c>
      <c r="Q4">
        <v>0</v>
      </c>
      <c r="R4">
        <v>0</v>
      </c>
      <c r="S4">
        <v>0</v>
      </c>
      <c r="T4">
        <v>36.363636363636367</v>
      </c>
      <c r="U4">
        <v>16.666666666666664</v>
      </c>
      <c r="V4">
        <v>30.76923076923077</v>
      </c>
      <c r="W4">
        <v>23.52941176470588</v>
      </c>
      <c r="X4">
        <v>21.875</v>
      </c>
      <c r="Y4">
        <v>22.916666666666664</v>
      </c>
      <c r="Z4">
        <v>28.125</v>
      </c>
      <c r="AA4">
        <v>21.276595744680851</v>
      </c>
      <c r="AB4">
        <v>28.767123287671232</v>
      </c>
      <c r="AC4">
        <v>34.597156398104268</v>
      </c>
      <c r="AD4">
        <v>30.124223602484474</v>
      </c>
      <c r="AE4">
        <v>34.874759152215802</v>
      </c>
      <c r="AF4">
        <v>33.253012048192772</v>
      </c>
      <c r="AG4">
        <v>36.714285714285715</v>
      </c>
      <c r="AH4">
        <v>39.523551705468329</v>
      </c>
      <c r="AI4">
        <v>39.33946488294314</v>
      </c>
      <c r="AJ4">
        <v>39.719789842381786</v>
      </c>
      <c r="AK4">
        <v>42.430345753608592</v>
      </c>
      <c r="AL4">
        <v>43.252476938845234</v>
      </c>
      <c r="AM4">
        <v>40.738743596656782</v>
      </c>
      <c r="AN4">
        <v>40.247810296945097</v>
      </c>
      <c r="AO4">
        <v>38.356164383561641</v>
      </c>
      <c r="AP4">
        <v>40.999551099805473</v>
      </c>
      <c r="AQ4">
        <v>42.85278878390735</v>
      </c>
      <c r="AR4">
        <v>43.597291727995291</v>
      </c>
      <c r="AS4">
        <v>43.211311253147393</v>
      </c>
    </row>
    <row r="5" spans="1:45" x14ac:dyDescent="0.3">
      <c r="A5">
        <f t="shared" ref="A5:A36" si="0">A3+2</f>
        <v>1993</v>
      </c>
      <c r="B5">
        <f>RCT!D5</f>
        <v>48.275862068965516</v>
      </c>
      <c r="C5">
        <f>CT!D5</f>
        <v>20.930232558139537</v>
      </c>
      <c r="D5">
        <f>META!D5</f>
        <v>0</v>
      </c>
      <c r="E5">
        <f>REVIEW!D5</f>
        <v>1.0309278350515463</v>
      </c>
      <c r="F5">
        <f>CCJ!D5</f>
        <v>21.633554083885208</v>
      </c>
      <c r="G5">
        <f>ALL!D5</f>
        <v>7.0337477797513319</v>
      </c>
      <c r="I5" t="str">
        <v>Review</v>
      </c>
      <c r="J5">
        <v>0.6097560975609756</v>
      </c>
      <c r="K5">
        <v>0.61728395061728392</v>
      </c>
      <c r="L5">
        <v>0</v>
      </c>
      <c r="M5">
        <v>1.0309278350515463</v>
      </c>
      <c r="N5">
        <v>0.4098360655737705</v>
      </c>
      <c r="O5">
        <v>0.48543689320388345</v>
      </c>
      <c r="P5">
        <v>0</v>
      </c>
      <c r="Q5">
        <v>2.0905923344947737</v>
      </c>
      <c r="R5">
        <v>0.3115264797507788</v>
      </c>
      <c r="S5">
        <v>0.81300813008130091</v>
      </c>
      <c r="T5">
        <v>0.46296296296296291</v>
      </c>
      <c r="U5">
        <v>0.56497175141242939</v>
      </c>
      <c r="V5">
        <v>0</v>
      </c>
      <c r="W5">
        <v>0.32786885245901637</v>
      </c>
      <c r="X5">
        <v>0.75093867334167708</v>
      </c>
      <c r="Y5">
        <v>0.22346368715083798</v>
      </c>
      <c r="Z5">
        <v>0.6531678641410843</v>
      </c>
      <c r="AA5">
        <v>0.52785923753665687</v>
      </c>
      <c r="AB5">
        <v>0.62230732407850642</v>
      </c>
      <c r="AC5">
        <v>0.39032006245120998</v>
      </c>
      <c r="AD5">
        <v>0.72426280393171238</v>
      </c>
      <c r="AE5">
        <v>0.79635949943117168</v>
      </c>
      <c r="AF5">
        <v>0.61016949152542377</v>
      </c>
      <c r="AG5">
        <v>0.77961589655828112</v>
      </c>
      <c r="AH5">
        <v>0.87131764566415748</v>
      </c>
      <c r="AI5">
        <v>1.1093925009333832</v>
      </c>
      <c r="AJ5">
        <v>1.2807741568236801</v>
      </c>
      <c r="AK5">
        <v>1.1302995924198496</v>
      </c>
      <c r="AL5">
        <v>1.4444917660420216</v>
      </c>
      <c r="AM5">
        <v>1.4611984282907662</v>
      </c>
      <c r="AN5">
        <v>1.2918139787870546</v>
      </c>
      <c r="AO5">
        <v>1.4474590276821373</v>
      </c>
      <c r="AP5">
        <v>2.0819887962413195</v>
      </c>
      <c r="AQ5">
        <v>2.3129155467534304</v>
      </c>
      <c r="AR5">
        <v>2.1722420366498585</v>
      </c>
      <c r="AS5">
        <v>2.3218418808624679</v>
      </c>
    </row>
    <row r="6" spans="1:45" x14ac:dyDescent="0.3">
      <c r="A6">
        <f t="shared" si="0"/>
        <v>1994</v>
      </c>
      <c r="B6">
        <f>RCT!D6</f>
        <v>50</v>
      </c>
      <c r="C6">
        <f>CT!D6</f>
        <v>23.333333333333332</v>
      </c>
      <c r="D6">
        <f>META!D6</f>
        <v>20</v>
      </c>
      <c r="E6">
        <f>REVIEW!D6</f>
        <v>0.4098360655737705</v>
      </c>
      <c r="F6">
        <f>CCJ!D6</f>
        <v>26.376146788990823</v>
      </c>
      <c r="G6">
        <f>ALL!D6</f>
        <v>7.4145712443584779</v>
      </c>
      <c r="I6" t="str">
        <v>Clinical useful journal</v>
      </c>
      <c r="J6">
        <v>15.384615384615385</v>
      </c>
      <c r="K6">
        <v>19.736842105263158</v>
      </c>
      <c r="L6">
        <v>21.024258760107816</v>
      </c>
      <c r="M6">
        <v>21.633554083885208</v>
      </c>
      <c r="N6">
        <v>26.376146788990823</v>
      </c>
      <c r="O6">
        <v>23.46153846153846</v>
      </c>
      <c r="P6">
        <v>22.626582278481013</v>
      </c>
      <c r="Q6">
        <v>25.177304964539005</v>
      </c>
      <c r="R6">
        <v>27.014925373134329</v>
      </c>
      <c r="S6">
        <v>24.537607891491987</v>
      </c>
      <c r="T6">
        <v>26.020408163265309</v>
      </c>
      <c r="U6">
        <v>25.380710659898476</v>
      </c>
      <c r="V6">
        <v>23.586429725363487</v>
      </c>
      <c r="W6">
        <v>24.693042291950889</v>
      </c>
      <c r="X6">
        <v>26.819923371647509</v>
      </c>
      <c r="Y6">
        <v>27.936507936507937</v>
      </c>
      <c r="Z6">
        <v>27.633587786259543</v>
      </c>
      <c r="AA6">
        <v>28.90995260663507</v>
      </c>
      <c r="AB6">
        <v>31.989424983476539</v>
      </c>
      <c r="AC6">
        <v>35.425311203319502</v>
      </c>
      <c r="AD6">
        <v>37.00144161460836</v>
      </c>
      <c r="AE6">
        <v>34.965986394557824</v>
      </c>
      <c r="AF6">
        <v>31.371753246753247</v>
      </c>
      <c r="AG6">
        <v>33.971587399629399</v>
      </c>
      <c r="AH6">
        <v>30.823023130715438</v>
      </c>
      <c r="AI6">
        <v>33.896396396396398</v>
      </c>
      <c r="AJ6">
        <v>37.188242280285031</v>
      </c>
      <c r="AK6">
        <v>32.620176032498307</v>
      </c>
      <c r="AL6">
        <v>30.243490838958536</v>
      </c>
      <c r="AM6">
        <v>29.623156744948115</v>
      </c>
      <c r="AN6">
        <v>26.285092153355627</v>
      </c>
      <c r="AO6">
        <v>28.830586874819314</v>
      </c>
      <c r="AP6">
        <v>29.848122626916044</v>
      </c>
      <c r="AQ6">
        <v>31.994559564765179</v>
      </c>
      <c r="AR6">
        <v>34.682826199071684</v>
      </c>
      <c r="AS6">
        <v>34.720951509606586</v>
      </c>
    </row>
    <row r="7" spans="1:45" x14ac:dyDescent="0.3">
      <c r="A7">
        <f t="shared" si="0"/>
        <v>1995</v>
      </c>
      <c r="B7">
        <f>RCT!D7</f>
        <v>51.724137931034484</v>
      </c>
      <c r="C7">
        <f>CT!D7</f>
        <v>17.1875</v>
      </c>
      <c r="D7">
        <f>META!D7</f>
        <v>25</v>
      </c>
      <c r="E7">
        <f>REVIEW!D7</f>
        <v>0.48543689320388345</v>
      </c>
      <c r="F7">
        <f>CCJ!D7</f>
        <v>23.46153846153846</v>
      </c>
      <c r="G7">
        <f>ALL!D7</f>
        <v>7.6009501187648461</v>
      </c>
      <c r="I7" t="str">
        <v>All PubMed</v>
      </c>
      <c r="J7">
        <v>3.8461538461538463</v>
      </c>
      <c r="K7">
        <v>5.7724252491694354</v>
      </c>
      <c r="L7">
        <v>5.8510638297872344</v>
      </c>
      <c r="M7">
        <v>7.0337477797513319</v>
      </c>
      <c r="N7">
        <v>7.4145712443584779</v>
      </c>
      <c r="O7">
        <v>7.6009501187648461</v>
      </c>
      <c r="P7">
        <v>8.7362991618310772</v>
      </c>
      <c r="Q7">
        <v>9.001233045622687</v>
      </c>
      <c r="R7">
        <v>9.5878398129201994</v>
      </c>
      <c r="S7">
        <v>10.352673492605232</v>
      </c>
      <c r="T7">
        <v>9.2355857031046185</v>
      </c>
      <c r="U7">
        <v>9.2367825550298299</v>
      </c>
      <c r="V7">
        <v>9.8607038123167143</v>
      </c>
      <c r="W7">
        <v>10.444234404536862</v>
      </c>
      <c r="X7">
        <v>10.864770748694138</v>
      </c>
      <c r="Y7">
        <v>10.452643590718905</v>
      </c>
      <c r="Z7">
        <v>11.300919842312746</v>
      </c>
      <c r="AA7">
        <v>10.967082396237988</v>
      </c>
      <c r="AB7">
        <v>10.403037533030608</v>
      </c>
      <c r="AC7">
        <v>10.578574799433694</v>
      </c>
      <c r="AD7">
        <v>11.44964988329443</v>
      </c>
      <c r="AE7">
        <v>12.06462720169514</v>
      </c>
      <c r="AF7">
        <v>13.160828625235405</v>
      </c>
      <c r="AG7">
        <v>14.261560571476878</v>
      </c>
      <c r="AH7">
        <v>14.792685860935121</v>
      </c>
      <c r="AI7">
        <v>15.229430379746836</v>
      </c>
      <c r="AJ7">
        <v>15.581837016574585</v>
      </c>
      <c r="AK7">
        <v>15.676047953928791</v>
      </c>
      <c r="AL7">
        <v>15.783704672489762</v>
      </c>
      <c r="AM7">
        <v>15.992093748588642</v>
      </c>
      <c r="AN7">
        <v>15.805443945012101</v>
      </c>
      <c r="AO7">
        <v>16.530185713545453</v>
      </c>
      <c r="AP7">
        <v>16.835609553809523</v>
      </c>
      <c r="AQ7">
        <v>16.781338021165624</v>
      </c>
      <c r="AR7">
        <v>17.559475741942169</v>
      </c>
      <c r="AS7">
        <v>19.461083093249805</v>
      </c>
    </row>
    <row r="8" spans="1:45" x14ac:dyDescent="0.3">
      <c r="A8">
        <f t="shared" si="0"/>
        <v>1996</v>
      </c>
      <c r="B8">
        <f>RCT!D8</f>
        <v>41.860465116279073</v>
      </c>
      <c r="C8">
        <f>CT!D8</f>
        <v>12.903225806451612</v>
      </c>
      <c r="D8">
        <f>META!D8</f>
        <v>0</v>
      </c>
      <c r="E8">
        <f>REVIEW!D8</f>
        <v>0</v>
      </c>
      <c r="F8">
        <f>CCJ!D8</f>
        <v>22.626582278481013</v>
      </c>
      <c r="G8">
        <f>ALL!D8</f>
        <v>8.7362991618310772</v>
      </c>
    </row>
    <row r="9" spans="1:45" x14ac:dyDescent="0.3">
      <c r="A9">
        <f t="shared" si="0"/>
        <v>1997</v>
      </c>
      <c r="B9">
        <f>RCT!D9</f>
        <v>60.714285714285708</v>
      </c>
      <c r="C9">
        <f>CT!D9</f>
        <v>20.588235294117645</v>
      </c>
      <c r="D9">
        <f>META!D9</f>
        <v>0</v>
      </c>
      <c r="E9">
        <f>REVIEW!D9</f>
        <v>2.0905923344947737</v>
      </c>
      <c r="F9">
        <f>CCJ!D9</f>
        <v>25.177304964539005</v>
      </c>
      <c r="G9">
        <f>ALL!D9</f>
        <v>9.001233045622687</v>
      </c>
    </row>
    <row r="10" spans="1:45" x14ac:dyDescent="0.3">
      <c r="A10">
        <f t="shared" si="0"/>
        <v>1998</v>
      </c>
      <c r="B10">
        <f>RCT!D10</f>
        <v>58.139534883720934</v>
      </c>
      <c r="C10">
        <f>CT!D10</f>
        <v>22.105263157894736</v>
      </c>
      <c r="D10">
        <f>META!D10</f>
        <v>0</v>
      </c>
      <c r="E10">
        <f>REVIEW!D10</f>
        <v>0.3115264797507788</v>
      </c>
      <c r="F10">
        <f>CCJ!D10</f>
        <v>27.014925373134329</v>
      </c>
      <c r="G10">
        <f>ALL!D10</f>
        <v>9.5878398129201994</v>
      </c>
    </row>
    <row r="11" spans="1:45" x14ac:dyDescent="0.3">
      <c r="A11">
        <f t="shared" si="0"/>
        <v>1999</v>
      </c>
      <c r="B11">
        <f>RCT!D11</f>
        <v>43.243243243243242</v>
      </c>
      <c r="C11">
        <f>CT!D11</f>
        <v>22.330097087378643</v>
      </c>
      <c r="D11">
        <f>META!D11</f>
        <v>0</v>
      </c>
      <c r="E11">
        <f>REVIEW!D11</f>
        <v>0.81300813008130091</v>
      </c>
      <c r="F11">
        <f>CCJ!D11</f>
        <v>24.537607891491987</v>
      </c>
      <c r="G11">
        <f>ALL!D11</f>
        <v>10.352673492605232</v>
      </c>
    </row>
    <row r="12" spans="1:45" x14ac:dyDescent="0.3">
      <c r="A12">
        <f t="shared" si="0"/>
        <v>2000</v>
      </c>
      <c r="B12">
        <f>RCT!D12</f>
        <v>46.666666666666664</v>
      </c>
      <c r="C12">
        <f>CT!D12</f>
        <v>25.97402597402597</v>
      </c>
      <c r="D12">
        <f>META!D12</f>
        <v>36.363636363636367</v>
      </c>
      <c r="E12">
        <f>REVIEW!D12</f>
        <v>0.46296296296296291</v>
      </c>
      <c r="F12">
        <f>CCJ!D12</f>
        <v>26.020408163265309</v>
      </c>
      <c r="G12">
        <f>ALL!D12</f>
        <v>9.2355857031046185</v>
      </c>
    </row>
    <row r="13" spans="1:45" x14ac:dyDescent="0.3">
      <c r="A13">
        <f t="shared" si="0"/>
        <v>2001</v>
      </c>
      <c r="B13">
        <f>RCT!D13</f>
        <v>52.307692307692314</v>
      </c>
      <c r="C13">
        <f>CT!D13</f>
        <v>30.952380952380953</v>
      </c>
      <c r="D13">
        <f>META!D13</f>
        <v>16.666666666666664</v>
      </c>
      <c r="E13">
        <f>REVIEW!D13</f>
        <v>0.56497175141242939</v>
      </c>
      <c r="F13">
        <f>CCJ!D13</f>
        <v>25.380710659898476</v>
      </c>
      <c r="G13">
        <f>ALL!D13</f>
        <v>9.2367825550298299</v>
      </c>
    </row>
    <row r="14" spans="1:45" x14ac:dyDescent="0.3">
      <c r="A14">
        <f t="shared" si="0"/>
        <v>2002</v>
      </c>
      <c r="B14">
        <f>RCT!D14</f>
        <v>45.333333333333329</v>
      </c>
      <c r="C14">
        <f>CT!D14</f>
        <v>12.222222222222221</v>
      </c>
      <c r="D14">
        <f>META!D14</f>
        <v>30.76923076923077</v>
      </c>
      <c r="E14">
        <f>REVIEW!D14</f>
        <v>0</v>
      </c>
      <c r="F14">
        <f>CCJ!D14</f>
        <v>23.586429725363487</v>
      </c>
      <c r="G14">
        <f>ALL!D14</f>
        <v>9.8607038123167143</v>
      </c>
    </row>
    <row r="15" spans="1:45" x14ac:dyDescent="0.3">
      <c r="A15">
        <f t="shared" si="0"/>
        <v>2003</v>
      </c>
      <c r="B15">
        <f>RCT!D15</f>
        <v>47.368421052631575</v>
      </c>
      <c r="C15">
        <f>CT!D15</f>
        <v>24.770642201834864</v>
      </c>
      <c r="D15">
        <f>META!D15</f>
        <v>23.52941176470588</v>
      </c>
      <c r="E15">
        <f>REVIEW!D15</f>
        <v>0.32786885245901637</v>
      </c>
      <c r="F15">
        <f>CCJ!D15</f>
        <v>24.693042291950889</v>
      </c>
      <c r="G15">
        <f>ALL!D15</f>
        <v>10.444234404536862</v>
      </c>
    </row>
    <row r="16" spans="1:45" x14ac:dyDescent="0.3">
      <c r="A16">
        <f t="shared" si="0"/>
        <v>2004</v>
      </c>
      <c r="B16">
        <f>RCT!D16</f>
        <v>44.375</v>
      </c>
      <c r="C16">
        <f>CT!D16</f>
        <v>28.640776699029125</v>
      </c>
      <c r="D16">
        <f>META!D16</f>
        <v>21.875</v>
      </c>
      <c r="E16">
        <f>REVIEW!D16</f>
        <v>0.75093867334167708</v>
      </c>
      <c r="F16">
        <f>CCJ!D16</f>
        <v>26.819923371647509</v>
      </c>
      <c r="G16">
        <f>ALL!D16</f>
        <v>10.864770748694138</v>
      </c>
    </row>
    <row r="17" spans="1:7" x14ac:dyDescent="0.3">
      <c r="A17">
        <f t="shared" si="0"/>
        <v>2005</v>
      </c>
      <c r="B17">
        <f>RCT!D17</f>
        <v>47.179487179487175</v>
      </c>
      <c r="C17">
        <f>CT!D17</f>
        <v>29.230769230769234</v>
      </c>
      <c r="D17">
        <f>META!D17</f>
        <v>22.916666666666664</v>
      </c>
      <c r="E17">
        <f>REVIEW!D17</f>
        <v>0.22346368715083798</v>
      </c>
      <c r="F17">
        <f>CCJ!D17</f>
        <v>27.936507936507937</v>
      </c>
      <c r="G17">
        <f>ALL!D17</f>
        <v>10.452643590718905</v>
      </c>
    </row>
    <row r="18" spans="1:7" x14ac:dyDescent="0.3">
      <c r="A18">
        <f t="shared" si="0"/>
        <v>2006</v>
      </c>
      <c r="B18">
        <f>RCT!D18</f>
        <v>46.768060836501903</v>
      </c>
      <c r="C18">
        <f>CT!D18</f>
        <v>43.511450381679388</v>
      </c>
      <c r="D18">
        <f>META!D18</f>
        <v>28.125</v>
      </c>
      <c r="E18">
        <f>REVIEW!D18</f>
        <v>0.6531678641410843</v>
      </c>
      <c r="F18">
        <f>CCJ!D18</f>
        <v>27.633587786259543</v>
      </c>
      <c r="G18">
        <f>ALL!D18</f>
        <v>11.300919842312746</v>
      </c>
    </row>
    <row r="19" spans="1:7" x14ac:dyDescent="0.3">
      <c r="A19">
        <f t="shared" si="0"/>
        <v>2007</v>
      </c>
      <c r="B19">
        <f>RCT!D19</f>
        <v>44.306418219461698</v>
      </c>
      <c r="C19">
        <f>CT!D19</f>
        <v>34.810126582278485</v>
      </c>
      <c r="D19">
        <f>META!D19</f>
        <v>21.276595744680851</v>
      </c>
      <c r="E19">
        <f>REVIEW!D19</f>
        <v>0.52785923753665687</v>
      </c>
      <c r="F19">
        <f>CCJ!D19</f>
        <v>28.90995260663507</v>
      </c>
      <c r="G19">
        <f>ALL!D19</f>
        <v>10.967082396237988</v>
      </c>
    </row>
    <row r="20" spans="1:7" x14ac:dyDescent="0.3">
      <c r="A20">
        <f t="shared" si="0"/>
        <v>2008</v>
      </c>
      <c r="B20">
        <f>RCT!D20</f>
        <v>43.873517786561266</v>
      </c>
      <c r="C20">
        <f>CT!D20</f>
        <v>40.109890109890109</v>
      </c>
      <c r="D20">
        <f>META!D20</f>
        <v>28.767123287671232</v>
      </c>
      <c r="E20">
        <f>REVIEW!D20</f>
        <v>0.62230732407850642</v>
      </c>
      <c r="F20">
        <f>CCJ!D20</f>
        <v>31.989424983476539</v>
      </c>
      <c r="G20">
        <f>ALL!D20</f>
        <v>10.403037533030608</v>
      </c>
    </row>
    <row r="21" spans="1:7" x14ac:dyDescent="0.3">
      <c r="A21">
        <f t="shared" si="0"/>
        <v>2009</v>
      </c>
      <c r="B21">
        <f>RCT!D21</f>
        <v>40.68582020389249</v>
      </c>
      <c r="C21">
        <f>CT!D21</f>
        <v>43.18181818181818</v>
      </c>
      <c r="D21">
        <f>META!D21</f>
        <v>34.597156398104268</v>
      </c>
      <c r="E21">
        <f>REVIEW!D21</f>
        <v>0.39032006245120998</v>
      </c>
      <c r="F21">
        <f>CCJ!D21</f>
        <v>35.425311203319502</v>
      </c>
      <c r="G21">
        <f>ALL!D21</f>
        <v>10.578574799433694</v>
      </c>
    </row>
    <row r="22" spans="1:7" x14ac:dyDescent="0.3">
      <c r="A22">
        <f t="shared" si="0"/>
        <v>2010</v>
      </c>
      <c r="B22">
        <f>RCT!D22</f>
        <v>41.164383561643838</v>
      </c>
      <c r="C22">
        <f>CT!D22</f>
        <v>34.254143646408842</v>
      </c>
      <c r="D22">
        <f>META!D22</f>
        <v>30.124223602484474</v>
      </c>
      <c r="E22">
        <f>REVIEW!D22</f>
        <v>0.72426280393171238</v>
      </c>
      <c r="F22">
        <f>CCJ!D22</f>
        <v>37.00144161460836</v>
      </c>
      <c r="G22">
        <f>ALL!D22</f>
        <v>11.44964988329443</v>
      </c>
    </row>
    <row r="23" spans="1:7" x14ac:dyDescent="0.3">
      <c r="A23">
        <f t="shared" si="0"/>
        <v>2011</v>
      </c>
      <c r="B23">
        <f>RCT!D23</f>
        <v>39.049485546300829</v>
      </c>
      <c r="C23">
        <f>CT!D23</f>
        <v>37.08086785009862</v>
      </c>
      <c r="D23">
        <f>META!D23</f>
        <v>34.874759152215802</v>
      </c>
      <c r="E23">
        <f>REVIEW!D23</f>
        <v>0.79635949943117168</v>
      </c>
      <c r="F23">
        <f>CCJ!D23</f>
        <v>34.965986394557824</v>
      </c>
      <c r="G23">
        <f>ALL!D23</f>
        <v>12.06462720169514</v>
      </c>
    </row>
    <row r="24" spans="1:7" x14ac:dyDescent="0.3">
      <c r="A24">
        <f>A22+2</f>
        <v>2012</v>
      </c>
      <c r="B24">
        <f>RCT!D24</f>
        <v>38.877835256665335</v>
      </c>
      <c r="C24">
        <f>CT!D24</f>
        <v>37.341040462427742</v>
      </c>
      <c r="D24">
        <f>META!D24</f>
        <v>33.253012048192772</v>
      </c>
      <c r="E24">
        <f>REVIEW!D24</f>
        <v>0.61016949152542377</v>
      </c>
      <c r="F24">
        <f>CCJ!D24</f>
        <v>31.371753246753247</v>
      </c>
      <c r="G24">
        <f>ALL!D24</f>
        <v>13.160828625235405</v>
      </c>
    </row>
    <row r="25" spans="1:7" x14ac:dyDescent="0.3">
      <c r="A25">
        <f t="shared" si="0"/>
        <v>2013</v>
      </c>
      <c r="B25">
        <f>RCT!D25</f>
        <v>40.034762456546929</v>
      </c>
      <c r="C25">
        <f>CT!D25</f>
        <v>35.307692307692307</v>
      </c>
      <c r="D25">
        <f>META!D25</f>
        <v>36.714285714285715</v>
      </c>
      <c r="E25">
        <f>REVIEW!D25</f>
        <v>0.77961589655828112</v>
      </c>
      <c r="F25">
        <f>CCJ!D25</f>
        <v>33.971587399629399</v>
      </c>
      <c r="G25">
        <f>ALL!D25</f>
        <v>14.261560571476878</v>
      </c>
    </row>
    <row r="26" spans="1:7" x14ac:dyDescent="0.3">
      <c r="A26">
        <f t="shared" si="0"/>
        <v>2014</v>
      </c>
      <c r="B26">
        <f>RCT!D26</f>
        <v>41.674528301886795</v>
      </c>
      <c r="C26">
        <f>CT!D26</f>
        <v>37.250859106529212</v>
      </c>
      <c r="D26">
        <f>META!D26</f>
        <v>39.523551705468329</v>
      </c>
      <c r="E26">
        <f>REVIEW!D26</f>
        <v>0.87131764566415748</v>
      </c>
      <c r="F26">
        <f>CCJ!D26</f>
        <v>30.823023130715438</v>
      </c>
      <c r="G26">
        <f>ALL!D26</f>
        <v>14.792685860935121</v>
      </c>
    </row>
    <row r="27" spans="1:7" x14ac:dyDescent="0.3">
      <c r="A27">
        <f t="shared" si="0"/>
        <v>2015</v>
      </c>
      <c r="B27">
        <f>RCT!D27</f>
        <v>41.744680851063833</v>
      </c>
      <c r="C27">
        <f>CT!D27</f>
        <v>39.121482498284145</v>
      </c>
      <c r="D27">
        <f>META!D27</f>
        <v>39.33946488294314</v>
      </c>
      <c r="E27">
        <f>REVIEW!D27</f>
        <v>1.1093925009333832</v>
      </c>
      <c r="F27">
        <f>CCJ!D27</f>
        <v>33.896396396396398</v>
      </c>
      <c r="G27">
        <f>ALL!D27</f>
        <v>15.229430379746836</v>
      </c>
    </row>
    <row r="28" spans="1:7" x14ac:dyDescent="0.3">
      <c r="A28">
        <f t="shared" si="0"/>
        <v>2016</v>
      </c>
      <c r="B28">
        <f>RCT!D28</f>
        <v>44.022169437846401</v>
      </c>
      <c r="C28">
        <f>CT!D28</f>
        <v>41.717376605814735</v>
      </c>
      <c r="D28">
        <f>META!D28</f>
        <v>39.719789842381786</v>
      </c>
      <c r="E28">
        <f>REVIEW!D28</f>
        <v>1.2807741568236801</v>
      </c>
      <c r="F28">
        <f>CCJ!D28</f>
        <v>37.188242280285031</v>
      </c>
      <c r="G28">
        <f>ALL!D28</f>
        <v>15.581837016574585</v>
      </c>
    </row>
    <row r="29" spans="1:7" x14ac:dyDescent="0.3">
      <c r="A29">
        <f t="shared" si="0"/>
        <v>2017</v>
      </c>
      <c r="B29">
        <f>RCT!D29</f>
        <v>43.878854223681813</v>
      </c>
      <c r="C29">
        <f>CT!D29</f>
        <v>41.441441441441441</v>
      </c>
      <c r="D29">
        <f>META!D29</f>
        <v>42.430345753608592</v>
      </c>
      <c r="E29">
        <f>REVIEW!D29</f>
        <v>1.1302995924198496</v>
      </c>
      <c r="F29">
        <f>CCJ!D29</f>
        <v>32.620176032498307</v>
      </c>
      <c r="G29">
        <f>ALL!D29</f>
        <v>15.676047953928791</v>
      </c>
    </row>
    <row r="30" spans="1:7" x14ac:dyDescent="0.3">
      <c r="A30">
        <f t="shared" si="0"/>
        <v>2018</v>
      </c>
      <c r="B30">
        <f>RCT!D30</f>
        <v>48.906485671191554</v>
      </c>
      <c r="C30">
        <f>CT!D30</f>
        <v>37.946183415705661</v>
      </c>
      <c r="D30">
        <f>META!D30</f>
        <v>43.252476938845234</v>
      </c>
      <c r="E30">
        <f>REVIEW!D30</f>
        <v>1.4444917660420216</v>
      </c>
      <c r="F30">
        <f>CCJ!D30</f>
        <v>30.243490838958536</v>
      </c>
      <c r="G30">
        <f>ALL!D30</f>
        <v>15.783704672489762</v>
      </c>
    </row>
    <row r="31" spans="1:7" x14ac:dyDescent="0.3">
      <c r="A31">
        <f t="shared" si="0"/>
        <v>2019</v>
      </c>
      <c r="B31">
        <f>RCT!D31</f>
        <v>51.014492753623188</v>
      </c>
      <c r="C31">
        <f>CT!D31</f>
        <v>38.443506797937175</v>
      </c>
      <c r="D31">
        <f>META!D31</f>
        <v>40.738743596656782</v>
      </c>
      <c r="E31">
        <f>REVIEW!D31</f>
        <v>1.4611984282907662</v>
      </c>
      <c r="F31">
        <f>CCJ!D31</f>
        <v>29.623156744948115</v>
      </c>
      <c r="G31">
        <f>ALL!D31</f>
        <v>15.992093748588642</v>
      </c>
    </row>
    <row r="32" spans="1:7" x14ac:dyDescent="0.3">
      <c r="A32">
        <f t="shared" si="0"/>
        <v>2020</v>
      </c>
      <c r="B32">
        <f>RCT!D32</f>
        <v>51.840796019900495</v>
      </c>
      <c r="C32">
        <f>CT!D32</f>
        <v>39.082855653986456</v>
      </c>
      <c r="D32">
        <f>META!D32</f>
        <v>40.247810296945097</v>
      </c>
      <c r="E32">
        <f>REVIEW!D32</f>
        <v>1.2918139787870546</v>
      </c>
      <c r="F32">
        <f>CCJ!D32</f>
        <v>26.285092153355627</v>
      </c>
      <c r="G32">
        <f>ALL!D32</f>
        <v>15.805443945012101</v>
      </c>
    </row>
    <row r="33" spans="1:7" x14ac:dyDescent="0.3">
      <c r="A33">
        <f t="shared" si="0"/>
        <v>2021</v>
      </c>
      <c r="B33">
        <f>RCT!D33</f>
        <v>53.277476589452931</v>
      </c>
      <c r="C33">
        <f>CT!D33</f>
        <v>38.511749347258487</v>
      </c>
      <c r="D33">
        <f>META!D33</f>
        <v>38.356164383561641</v>
      </c>
      <c r="E33">
        <f>REVIEW!D33</f>
        <v>1.4474590276821373</v>
      </c>
      <c r="F33">
        <f>CCJ!D33</f>
        <v>28.830586874819314</v>
      </c>
      <c r="G33">
        <f>ALL!D33</f>
        <v>16.530185713545453</v>
      </c>
    </row>
    <row r="34" spans="1:7" x14ac:dyDescent="0.3">
      <c r="A34">
        <f t="shared" si="0"/>
        <v>2022</v>
      </c>
      <c r="B34">
        <f>RCT!D34</f>
        <v>53.958398013039435</v>
      </c>
      <c r="C34">
        <f>CT!D34</f>
        <v>41.342756183745585</v>
      </c>
      <c r="D34">
        <f>META!D34</f>
        <v>40.999551099805473</v>
      </c>
      <c r="E34">
        <f>REVIEW!D34</f>
        <v>2.0819887962413195</v>
      </c>
      <c r="F34">
        <f>CCJ!D34</f>
        <v>29.848122626916044</v>
      </c>
      <c r="G34">
        <f>ALL!D34</f>
        <v>16.835609553809523</v>
      </c>
    </row>
    <row r="35" spans="1:7" x14ac:dyDescent="0.3">
      <c r="A35">
        <f t="shared" si="0"/>
        <v>2023</v>
      </c>
      <c r="B35">
        <f>RCT!D35</f>
        <v>54.21656686626747</v>
      </c>
      <c r="C35">
        <f>CT!D35</f>
        <v>44.098205854579788</v>
      </c>
      <c r="D35">
        <f>META!D35</f>
        <v>42.85278878390735</v>
      </c>
      <c r="E35">
        <f>REVIEW!D35</f>
        <v>2.3129155467534304</v>
      </c>
      <c r="F35">
        <f>CCJ!D35</f>
        <v>31.994559564765179</v>
      </c>
      <c r="G35">
        <f>ALL!D35</f>
        <v>16.781338021165624</v>
      </c>
    </row>
    <row r="36" spans="1:7" x14ac:dyDescent="0.3">
      <c r="A36">
        <f t="shared" si="0"/>
        <v>2024</v>
      </c>
      <c r="B36">
        <f>RCT!D36</f>
        <v>58.101207056638813</v>
      </c>
      <c r="C36">
        <f>CT!D36</f>
        <v>46.136618141097422</v>
      </c>
      <c r="D36">
        <f>META!D36</f>
        <v>43.597291727995291</v>
      </c>
      <c r="E36">
        <f>REVIEW!D36</f>
        <v>2.1722420366498585</v>
      </c>
      <c r="F36">
        <f>CCJ!D36</f>
        <v>34.682826199071684</v>
      </c>
      <c r="G36">
        <f>ALL!D36</f>
        <v>17.559475741942169</v>
      </c>
    </row>
    <row r="37" spans="1:7" x14ac:dyDescent="0.3">
      <c r="A37">
        <v>2025</v>
      </c>
      <c r="B37">
        <f>RCT!D37</f>
        <v>57.904308897593737</v>
      </c>
      <c r="C37">
        <f>CT!D37</f>
        <v>51.330203442879494</v>
      </c>
      <c r="D37">
        <f>META!D37</f>
        <v>43.211311253147393</v>
      </c>
      <c r="E37">
        <f>REVIEW!D37</f>
        <v>2.3218418808624679</v>
      </c>
      <c r="F37">
        <f>CCJ!D37</f>
        <v>34.720951509606586</v>
      </c>
      <c r="G37">
        <f>ALL!D37</f>
        <v>19.461083093249805</v>
      </c>
    </row>
    <row r="38" spans="1:7" x14ac:dyDescent="0.3">
      <c r="A38" t="s">
        <v>8</v>
      </c>
      <c r="B38">
        <f>RCT!D38</f>
        <v>0</v>
      </c>
      <c r="C38">
        <f>CT!D38</f>
        <v>0</v>
      </c>
      <c r="D38">
        <f>META!D38</f>
        <v>0</v>
      </c>
      <c r="E38">
        <f>REVIEW!D38</f>
        <v>0</v>
      </c>
      <c r="F38">
        <f>CCJ!D38</f>
        <v>0</v>
      </c>
      <c r="G38">
        <f>ALL!D38</f>
        <v>0</v>
      </c>
    </row>
    <row r="39" spans="1:7" x14ac:dyDescent="0.3">
      <c r="A39" t="s">
        <v>6</v>
      </c>
      <c r="B39">
        <f>RCT!D39</f>
        <v>60.714285714285708</v>
      </c>
      <c r="C39">
        <f>CT!D39</f>
        <v>51.330203442879494</v>
      </c>
      <c r="D39">
        <f>META!D39</f>
        <v>43.597291727995291</v>
      </c>
      <c r="E39">
        <f>REVIEW!D39</f>
        <v>2.3218418808624679</v>
      </c>
      <c r="F39">
        <f>CCJ!D39</f>
        <v>37.188242280285031</v>
      </c>
      <c r="G39">
        <f>ALL!D39</f>
        <v>19.461083093249805</v>
      </c>
    </row>
    <row r="40" spans="1:7" x14ac:dyDescent="0.3">
      <c r="A40" t="s">
        <v>7</v>
      </c>
      <c r="B40">
        <f>RCT!D40</f>
        <v>27.27272727272727</v>
      </c>
      <c r="C40">
        <f>CT!D40</f>
        <v>6.666666666666667</v>
      </c>
      <c r="D40">
        <f>META!D40</f>
        <v>0</v>
      </c>
      <c r="E40">
        <f>REVIEW!D40</f>
        <v>0</v>
      </c>
      <c r="F40">
        <f>CCJ!D40</f>
        <v>15.384615384615385</v>
      </c>
      <c r="G40">
        <f>ALL!D40</f>
        <v>3.8461538461538463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33F-4400-7C4F-8D08-3AA3EF037CC0}">
  <dimension ref="I1:AS47"/>
  <sheetViews>
    <sheetView tabSelected="1" topLeftCell="I8" zoomScale="85" zoomScaleNormal="85" workbookViewId="0">
      <selection activeCell="J40" sqref="J40:K45"/>
    </sheetView>
  </sheetViews>
  <sheetFormatPr defaultColWidth="11.44140625" defaultRowHeight="17.25" x14ac:dyDescent="0.3"/>
  <cols>
    <col min="1" max="8" width="0" hidden="1" customWidth="1"/>
  </cols>
  <sheetData>
    <row r="1" spans="9:45" x14ac:dyDescent="0.3">
      <c r="I1" t="str">
        <f>NEWagg!K1</f>
        <v>Year</v>
      </c>
      <c r="J1">
        <f>NEWagg!L1</f>
        <v>1990</v>
      </c>
      <c r="K1">
        <f>NEWagg!M1</f>
        <v>1991</v>
      </c>
      <c r="L1">
        <f>NEWagg!N1</f>
        <v>1992</v>
      </c>
      <c r="M1">
        <f>NEWagg!O1</f>
        <v>1993</v>
      </c>
      <c r="N1">
        <f>NEWagg!P1</f>
        <v>1994</v>
      </c>
      <c r="O1">
        <f>NEWagg!Q1</f>
        <v>1995</v>
      </c>
      <c r="P1">
        <f>NEWagg!R1</f>
        <v>1996</v>
      </c>
      <c r="Q1">
        <f>NEWagg!S1</f>
        <v>1997</v>
      </c>
      <c r="R1">
        <f>NEWagg!T1</f>
        <v>1998</v>
      </c>
      <c r="S1">
        <f>NEWagg!U1</f>
        <v>1999</v>
      </c>
      <c r="T1">
        <f>NEWagg!V1</f>
        <v>2000</v>
      </c>
      <c r="U1">
        <f>NEWagg!W1</f>
        <v>2001</v>
      </c>
      <c r="V1">
        <f>NEWagg!X1</f>
        <v>2002</v>
      </c>
      <c r="W1">
        <f>NEWagg!Y1</f>
        <v>2003</v>
      </c>
      <c r="X1">
        <f>NEWagg!Z1</f>
        <v>2004</v>
      </c>
      <c r="Y1">
        <f>NEWagg!AA1</f>
        <v>2005</v>
      </c>
      <c r="Z1">
        <f>NEWagg!AB1</f>
        <v>2006</v>
      </c>
      <c r="AA1">
        <f>NEWagg!AC1</f>
        <v>2007</v>
      </c>
      <c r="AB1">
        <f>NEWagg!AD1</f>
        <v>2008</v>
      </c>
      <c r="AC1">
        <f>NEWagg!AE1</f>
        <v>2009</v>
      </c>
      <c r="AD1">
        <f>NEWagg!AF1</f>
        <v>2010</v>
      </c>
      <c r="AE1">
        <f>NEWagg!AG1</f>
        <v>2011</v>
      </c>
      <c r="AF1">
        <f>NEWagg!AH1</f>
        <v>2012</v>
      </c>
      <c r="AG1">
        <f>NEWagg!AI1</f>
        <v>2013</v>
      </c>
      <c r="AH1">
        <f>NEWagg!AJ1</f>
        <v>2014</v>
      </c>
      <c r="AI1">
        <f>NEWagg!AK1</f>
        <v>2015</v>
      </c>
      <c r="AJ1">
        <f>NEWagg!AL1</f>
        <v>2016</v>
      </c>
      <c r="AK1">
        <f>NEWagg!AM1</f>
        <v>2017</v>
      </c>
      <c r="AL1">
        <f>NEWagg!AN1</f>
        <v>2018</v>
      </c>
      <c r="AM1">
        <f>NEWagg!AO1</f>
        <v>2019</v>
      </c>
      <c r="AN1">
        <f>NEWagg!AP1</f>
        <v>2020</v>
      </c>
      <c r="AO1">
        <f>NEWagg!AQ1</f>
        <v>2021</v>
      </c>
      <c r="AP1">
        <f>NEWagg!AR1</f>
        <v>2022</v>
      </c>
      <c r="AQ1">
        <f>NEWagg!AS1</f>
        <v>2023</v>
      </c>
      <c r="AR1">
        <f>NEWagg!AT1</f>
        <v>2024</v>
      </c>
      <c r="AS1">
        <f>NEWagg!AU1</f>
        <v>2025</v>
      </c>
    </row>
    <row r="2" spans="9:45" x14ac:dyDescent="0.3">
      <c r="I2" t="str">
        <f>NEWagg!K2</f>
        <v>Randomized controlled trial</v>
      </c>
      <c r="J2">
        <f>NEWagg!L2</f>
        <v>27.27272727272727</v>
      </c>
      <c r="K2">
        <f>NEWagg!M2</f>
        <v>50</v>
      </c>
      <c r="L2">
        <f>NEWagg!N2</f>
        <v>37.5</v>
      </c>
      <c r="M2">
        <f>NEWagg!O2</f>
        <v>48.275862068965516</v>
      </c>
      <c r="N2">
        <f>NEWagg!P2</f>
        <v>50</v>
      </c>
      <c r="O2">
        <f>NEWagg!Q2</f>
        <v>51.724137931034484</v>
      </c>
      <c r="P2">
        <f>NEWagg!R2</f>
        <v>41.860465116279073</v>
      </c>
      <c r="Q2">
        <f>NEWagg!S2</f>
        <v>60.714285714285708</v>
      </c>
      <c r="R2">
        <f>NEWagg!T2</f>
        <v>58.139534883720934</v>
      </c>
      <c r="S2">
        <f>NEWagg!U2</f>
        <v>43.243243243243242</v>
      </c>
      <c r="T2">
        <f>NEWagg!V2</f>
        <v>46.666666666666664</v>
      </c>
      <c r="U2">
        <f>NEWagg!W2</f>
        <v>52.307692307692314</v>
      </c>
      <c r="V2">
        <f>NEWagg!X2</f>
        <v>45.333333333333329</v>
      </c>
      <c r="W2">
        <f>NEWagg!Y2</f>
        <v>47.368421052631575</v>
      </c>
      <c r="X2">
        <f>NEWagg!Z2</f>
        <v>44.375</v>
      </c>
      <c r="Y2">
        <f>NEWagg!AA2</f>
        <v>47.179487179487175</v>
      </c>
      <c r="Z2">
        <f>NEWagg!AB2</f>
        <v>46.768060836501903</v>
      </c>
      <c r="AA2">
        <f>NEWagg!AC2</f>
        <v>44.306418219461698</v>
      </c>
      <c r="AB2">
        <f>NEWagg!AD2</f>
        <v>43.873517786561266</v>
      </c>
      <c r="AC2">
        <f>NEWagg!AE2</f>
        <v>40.68582020389249</v>
      </c>
      <c r="AD2">
        <f>NEWagg!AF2</f>
        <v>41.164383561643838</v>
      </c>
      <c r="AE2">
        <f>NEWagg!AG2</f>
        <v>39.049485546300829</v>
      </c>
      <c r="AF2">
        <f>NEWagg!AH2</f>
        <v>38.877835256665335</v>
      </c>
      <c r="AG2">
        <f>NEWagg!AI2</f>
        <v>40.034762456546929</v>
      </c>
      <c r="AH2">
        <f>NEWagg!AJ2</f>
        <v>41.674528301886795</v>
      </c>
      <c r="AI2">
        <f>NEWagg!AK2</f>
        <v>41.744680851063833</v>
      </c>
      <c r="AJ2">
        <f>NEWagg!AL2</f>
        <v>44.022169437846401</v>
      </c>
      <c r="AK2">
        <f>NEWagg!AM2</f>
        <v>43.878854223681813</v>
      </c>
      <c r="AL2">
        <f>NEWagg!AN2</f>
        <v>48.906485671191554</v>
      </c>
      <c r="AM2">
        <f>NEWagg!AO2</f>
        <v>51.014492753623188</v>
      </c>
      <c r="AN2">
        <f>NEWagg!AP2</f>
        <v>51.840796019900495</v>
      </c>
      <c r="AO2">
        <f>NEWagg!AQ2</f>
        <v>53.277476589452931</v>
      </c>
      <c r="AP2">
        <f>NEWagg!AR2</f>
        <v>53.958398013039435</v>
      </c>
      <c r="AQ2">
        <f>NEWagg!AS2</f>
        <v>54.21656686626747</v>
      </c>
      <c r="AR2">
        <f>NEWagg!AT2</f>
        <v>58.101207056638813</v>
      </c>
      <c r="AS2">
        <f>NEWagg!AU2</f>
        <v>57.904308897593737</v>
      </c>
    </row>
    <row r="3" spans="9:45" x14ac:dyDescent="0.3">
      <c r="I3" t="str">
        <f>NEWagg!K3</f>
        <v>Clinical trial</v>
      </c>
      <c r="J3">
        <f>NEWagg!L3</f>
        <v>10</v>
      </c>
      <c r="K3">
        <f>NEWagg!M3</f>
        <v>10.714285714285714</v>
      </c>
      <c r="L3">
        <f>NEWagg!N3</f>
        <v>6.666666666666667</v>
      </c>
      <c r="M3">
        <f>NEWagg!O3</f>
        <v>20.930232558139537</v>
      </c>
      <c r="N3">
        <f>NEWagg!P3</f>
        <v>23.333333333333332</v>
      </c>
      <c r="O3">
        <f>NEWagg!Q3</f>
        <v>17.1875</v>
      </c>
      <c r="P3">
        <f>NEWagg!R3</f>
        <v>12.903225806451612</v>
      </c>
      <c r="Q3">
        <f>NEWagg!S3</f>
        <v>20.588235294117645</v>
      </c>
      <c r="R3">
        <f>NEWagg!T3</f>
        <v>22.105263157894736</v>
      </c>
      <c r="S3">
        <f>NEWagg!U3</f>
        <v>22.330097087378643</v>
      </c>
      <c r="T3">
        <f>NEWagg!V3</f>
        <v>25.97402597402597</v>
      </c>
      <c r="U3">
        <f>NEWagg!W3</f>
        <v>30.952380952380953</v>
      </c>
      <c r="V3">
        <f>NEWagg!X3</f>
        <v>12.222222222222221</v>
      </c>
      <c r="W3">
        <f>NEWagg!Y3</f>
        <v>24.770642201834864</v>
      </c>
      <c r="X3">
        <f>NEWagg!Z3</f>
        <v>28.640776699029125</v>
      </c>
      <c r="Y3">
        <f>NEWagg!AA3</f>
        <v>29.230769230769234</v>
      </c>
      <c r="Z3">
        <f>NEWagg!AB3</f>
        <v>43.511450381679388</v>
      </c>
      <c r="AA3">
        <f>NEWagg!AC3</f>
        <v>34.810126582278485</v>
      </c>
      <c r="AB3">
        <f>NEWagg!AD3</f>
        <v>40.109890109890109</v>
      </c>
      <c r="AC3">
        <f>NEWagg!AE3</f>
        <v>43.18181818181818</v>
      </c>
      <c r="AD3">
        <f>NEWagg!AF3</f>
        <v>34.254143646408842</v>
      </c>
      <c r="AE3">
        <f>NEWagg!AG3</f>
        <v>37.08086785009862</v>
      </c>
      <c r="AF3">
        <f>NEWagg!AH3</f>
        <v>37.341040462427742</v>
      </c>
      <c r="AG3">
        <f>NEWagg!AI3</f>
        <v>35.307692307692307</v>
      </c>
      <c r="AH3">
        <f>NEWagg!AJ3</f>
        <v>37.250859106529212</v>
      </c>
      <c r="AI3">
        <f>NEWagg!AK3</f>
        <v>39.121482498284145</v>
      </c>
      <c r="AJ3">
        <f>NEWagg!AL3</f>
        <v>41.717376605814735</v>
      </c>
      <c r="AK3">
        <f>NEWagg!AM3</f>
        <v>41.441441441441441</v>
      </c>
      <c r="AL3">
        <f>NEWagg!AN3</f>
        <v>37.946183415705661</v>
      </c>
      <c r="AM3">
        <f>NEWagg!AO3</f>
        <v>38.443506797937175</v>
      </c>
      <c r="AN3">
        <f>NEWagg!AP3</f>
        <v>39.082855653986456</v>
      </c>
      <c r="AO3">
        <f>NEWagg!AQ3</f>
        <v>38.511749347258487</v>
      </c>
      <c r="AP3">
        <f>NEWagg!AR3</f>
        <v>41.342756183745585</v>
      </c>
      <c r="AQ3">
        <f>NEWagg!AS3</f>
        <v>44.098205854579788</v>
      </c>
      <c r="AR3">
        <f>NEWagg!AT3</f>
        <v>46.136618141097422</v>
      </c>
      <c r="AS3">
        <f>NEWagg!AU3</f>
        <v>51.330203442879494</v>
      </c>
    </row>
    <row r="4" spans="9:45" x14ac:dyDescent="0.3">
      <c r="I4" t="str">
        <f>NEWagg!K4</f>
        <v>Meta-analysis</v>
      </c>
      <c r="J4">
        <f>NEWagg!L4</f>
        <v>0</v>
      </c>
      <c r="K4">
        <f>NEWagg!M4</f>
        <v>0</v>
      </c>
      <c r="L4">
        <f>NEWagg!N4</f>
        <v>0</v>
      </c>
      <c r="M4">
        <f>NEWagg!O4</f>
        <v>0</v>
      </c>
      <c r="N4">
        <f>NEWagg!P4</f>
        <v>20</v>
      </c>
      <c r="O4">
        <f>NEWagg!Q4</f>
        <v>25</v>
      </c>
      <c r="P4">
        <f>NEWagg!R4</f>
        <v>0</v>
      </c>
      <c r="Q4">
        <f>NEWagg!S4</f>
        <v>0</v>
      </c>
      <c r="R4">
        <f>NEWagg!T4</f>
        <v>0</v>
      </c>
      <c r="S4">
        <f>NEWagg!U4</f>
        <v>0</v>
      </c>
      <c r="T4">
        <f>NEWagg!V4</f>
        <v>36.363636363636367</v>
      </c>
      <c r="U4">
        <f>NEWagg!W4</f>
        <v>16.666666666666664</v>
      </c>
      <c r="V4">
        <f>NEWagg!X4</f>
        <v>30.76923076923077</v>
      </c>
      <c r="W4">
        <f>NEWagg!Y4</f>
        <v>23.52941176470588</v>
      </c>
      <c r="X4">
        <f>NEWagg!Z4</f>
        <v>21.875</v>
      </c>
      <c r="Y4">
        <f>NEWagg!AA4</f>
        <v>22.916666666666664</v>
      </c>
      <c r="Z4">
        <f>NEWagg!AB4</f>
        <v>28.125</v>
      </c>
      <c r="AA4">
        <f>NEWagg!AC4</f>
        <v>21.276595744680851</v>
      </c>
      <c r="AB4">
        <f>NEWagg!AD4</f>
        <v>28.767123287671232</v>
      </c>
      <c r="AC4">
        <f>NEWagg!AE4</f>
        <v>34.597156398104268</v>
      </c>
      <c r="AD4">
        <f>NEWagg!AF4</f>
        <v>30.124223602484474</v>
      </c>
      <c r="AE4">
        <f>NEWagg!AG4</f>
        <v>34.874759152215802</v>
      </c>
      <c r="AF4">
        <f>NEWagg!AH4</f>
        <v>33.253012048192772</v>
      </c>
      <c r="AG4">
        <f>NEWagg!AI4</f>
        <v>36.714285714285715</v>
      </c>
      <c r="AH4">
        <f>NEWagg!AJ4</f>
        <v>39.523551705468329</v>
      </c>
      <c r="AI4">
        <f>NEWagg!AK4</f>
        <v>39.33946488294314</v>
      </c>
      <c r="AJ4">
        <f>NEWagg!AL4</f>
        <v>39.719789842381786</v>
      </c>
      <c r="AK4">
        <f>NEWagg!AM4</f>
        <v>42.430345753608592</v>
      </c>
      <c r="AL4">
        <f>NEWagg!AN4</f>
        <v>43.252476938845234</v>
      </c>
      <c r="AM4">
        <f>NEWagg!AO4</f>
        <v>40.738743596656782</v>
      </c>
      <c r="AN4">
        <f>NEWagg!AP4</f>
        <v>40.247810296945097</v>
      </c>
      <c r="AO4">
        <f>NEWagg!AQ4</f>
        <v>38.356164383561641</v>
      </c>
      <c r="AP4">
        <f>NEWagg!AR4</f>
        <v>40.999551099805473</v>
      </c>
      <c r="AQ4">
        <f>NEWagg!AS4</f>
        <v>42.85278878390735</v>
      </c>
      <c r="AR4">
        <f>NEWagg!AT4</f>
        <v>43.597291727995291</v>
      </c>
      <c r="AS4">
        <f>NEWagg!AU4</f>
        <v>43.211311253147393</v>
      </c>
    </row>
    <row r="5" spans="9:45" x14ac:dyDescent="0.3">
      <c r="I5" t="str">
        <f>NEWagg!K5</f>
        <v>Review</v>
      </c>
      <c r="J5">
        <f>NEWagg!L5</f>
        <v>0.6097560975609756</v>
      </c>
      <c r="K5">
        <f>NEWagg!M5</f>
        <v>0.61728395061728392</v>
      </c>
      <c r="L5">
        <f>NEWagg!N5</f>
        <v>0</v>
      </c>
      <c r="M5">
        <f>NEWagg!O5</f>
        <v>1.0309278350515463</v>
      </c>
      <c r="N5">
        <f>NEWagg!P5</f>
        <v>0.4098360655737705</v>
      </c>
      <c r="O5">
        <f>NEWagg!Q5</f>
        <v>0.48543689320388345</v>
      </c>
      <c r="P5">
        <f>NEWagg!R5</f>
        <v>0</v>
      </c>
      <c r="Q5">
        <f>NEWagg!S5</f>
        <v>2.0905923344947737</v>
      </c>
      <c r="R5">
        <f>NEWagg!T5</f>
        <v>0.3115264797507788</v>
      </c>
      <c r="S5">
        <f>NEWagg!U5</f>
        <v>0.81300813008130091</v>
      </c>
      <c r="T5">
        <f>NEWagg!V5</f>
        <v>0.46296296296296291</v>
      </c>
      <c r="U5">
        <f>NEWagg!W5</f>
        <v>0.56497175141242939</v>
      </c>
      <c r="V5">
        <f>NEWagg!X5</f>
        <v>0</v>
      </c>
      <c r="W5">
        <f>NEWagg!Y5</f>
        <v>0.32786885245901637</v>
      </c>
      <c r="X5">
        <f>NEWagg!Z5</f>
        <v>0.75093867334167708</v>
      </c>
      <c r="Y5">
        <f>NEWagg!AA5</f>
        <v>0.22346368715083798</v>
      </c>
      <c r="Z5">
        <f>NEWagg!AB5</f>
        <v>0.6531678641410843</v>
      </c>
      <c r="AA5">
        <f>NEWagg!AC5</f>
        <v>0.52785923753665687</v>
      </c>
      <c r="AB5">
        <f>NEWagg!AD5</f>
        <v>0.62230732407850642</v>
      </c>
      <c r="AC5">
        <f>NEWagg!AE5</f>
        <v>0.39032006245120998</v>
      </c>
      <c r="AD5">
        <f>NEWagg!AF5</f>
        <v>0.72426280393171238</v>
      </c>
      <c r="AE5">
        <f>NEWagg!AG5</f>
        <v>0.79635949943117168</v>
      </c>
      <c r="AF5">
        <f>NEWagg!AH5</f>
        <v>0.61016949152542377</v>
      </c>
      <c r="AG5">
        <f>NEWagg!AI5</f>
        <v>0.77961589655828112</v>
      </c>
      <c r="AH5">
        <f>NEWagg!AJ5</f>
        <v>0.87131764566415748</v>
      </c>
      <c r="AI5">
        <f>NEWagg!AK5</f>
        <v>1.1093925009333832</v>
      </c>
      <c r="AJ5">
        <f>NEWagg!AL5</f>
        <v>1.2807741568236801</v>
      </c>
      <c r="AK5">
        <f>NEWagg!AM5</f>
        <v>1.1302995924198496</v>
      </c>
      <c r="AL5">
        <f>NEWagg!AN5</f>
        <v>1.4444917660420216</v>
      </c>
      <c r="AM5">
        <f>NEWagg!AO5</f>
        <v>1.4611984282907662</v>
      </c>
      <c r="AN5">
        <f>NEWagg!AP5</f>
        <v>1.2918139787870546</v>
      </c>
      <c r="AO5">
        <f>NEWagg!AQ5</f>
        <v>1.4474590276821373</v>
      </c>
      <c r="AP5">
        <f>NEWagg!AR5</f>
        <v>2.0819887962413195</v>
      </c>
      <c r="AQ5">
        <f>NEWagg!AS5</f>
        <v>2.3129155467534304</v>
      </c>
      <c r="AR5">
        <f>NEWagg!AT5</f>
        <v>2.1722420366498585</v>
      </c>
      <c r="AS5">
        <f>NEWagg!AU5</f>
        <v>2.3218418808624679</v>
      </c>
    </row>
    <row r="6" spans="9:45" x14ac:dyDescent="0.3">
      <c r="I6" t="str">
        <f>NEWagg!K6</f>
        <v>Clinically Useful Journals</v>
      </c>
      <c r="J6">
        <f>NEWagg!L6</f>
        <v>15.384615384615385</v>
      </c>
      <c r="K6">
        <f>NEWagg!M6</f>
        <v>19.736842105263158</v>
      </c>
      <c r="L6">
        <f>NEWagg!N6</f>
        <v>21.024258760107816</v>
      </c>
      <c r="M6">
        <f>NEWagg!O6</f>
        <v>21.633554083885208</v>
      </c>
      <c r="N6">
        <f>NEWagg!P6</f>
        <v>26.376146788990823</v>
      </c>
      <c r="O6">
        <f>NEWagg!Q6</f>
        <v>23.46153846153846</v>
      </c>
      <c r="P6">
        <f>NEWagg!R6</f>
        <v>22.626582278481013</v>
      </c>
      <c r="Q6">
        <f>NEWagg!S6</f>
        <v>25.177304964539005</v>
      </c>
      <c r="R6">
        <f>NEWagg!T6</f>
        <v>27.014925373134329</v>
      </c>
      <c r="S6">
        <f>NEWagg!U6</f>
        <v>24.537607891491987</v>
      </c>
      <c r="T6">
        <f>NEWagg!V6</f>
        <v>26.020408163265309</v>
      </c>
      <c r="U6">
        <f>NEWagg!W6</f>
        <v>25.380710659898476</v>
      </c>
      <c r="V6">
        <f>NEWagg!X6</f>
        <v>23.586429725363487</v>
      </c>
      <c r="W6">
        <f>NEWagg!Y6</f>
        <v>24.693042291950889</v>
      </c>
      <c r="X6">
        <f>NEWagg!Z6</f>
        <v>26.819923371647509</v>
      </c>
      <c r="Y6">
        <f>NEWagg!AA6</f>
        <v>27.936507936507937</v>
      </c>
      <c r="Z6">
        <f>NEWagg!AB6</f>
        <v>27.633587786259543</v>
      </c>
      <c r="AA6">
        <f>NEWagg!AC6</f>
        <v>28.90995260663507</v>
      </c>
      <c r="AB6">
        <f>NEWagg!AD6</f>
        <v>31.989424983476539</v>
      </c>
      <c r="AC6">
        <f>NEWagg!AE6</f>
        <v>35.425311203319502</v>
      </c>
      <c r="AD6">
        <f>NEWagg!AF6</f>
        <v>37.00144161460836</v>
      </c>
      <c r="AE6">
        <f>NEWagg!AG6</f>
        <v>34.965986394557824</v>
      </c>
      <c r="AF6">
        <f>NEWagg!AH6</f>
        <v>31.371753246753247</v>
      </c>
      <c r="AG6">
        <f>NEWagg!AI6</f>
        <v>33.971587399629399</v>
      </c>
      <c r="AH6">
        <f>NEWagg!AJ6</f>
        <v>30.823023130715438</v>
      </c>
      <c r="AI6">
        <f>NEWagg!AK6</f>
        <v>33.896396396396398</v>
      </c>
      <c r="AJ6">
        <f>NEWagg!AL6</f>
        <v>37.188242280285031</v>
      </c>
      <c r="AK6">
        <f>NEWagg!AM6</f>
        <v>32.620176032498307</v>
      </c>
      <c r="AL6">
        <f>NEWagg!AN6</f>
        <v>30.243490838958536</v>
      </c>
      <c r="AM6">
        <f>NEWagg!AO6</f>
        <v>29.623156744948115</v>
      </c>
      <c r="AN6">
        <f>NEWagg!AP6</f>
        <v>26.285092153355627</v>
      </c>
      <c r="AO6">
        <f>NEWagg!AQ6</f>
        <v>28.830586874819314</v>
      </c>
      <c r="AP6">
        <f>NEWagg!AR6</f>
        <v>29.848122626916044</v>
      </c>
      <c r="AQ6">
        <f>NEWagg!AS6</f>
        <v>31.994559564765179</v>
      </c>
      <c r="AR6">
        <f>NEWagg!AT6</f>
        <v>34.682826199071684</v>
      </c>
      <c r="AS6">
        <f>NEWagg!AU6</f>
        <v>34.720951509606586</v>
      </c>
    </row>
    <row r="7" spans="9:45" x14ac:dyDescent="0.3">
      <c r="I7" t="str">
        <f>NEWagg!K7</f>
        <v>All MEDLINE</v>
      </c>
      <c r="J7">
        <f>NEWagg!L7</f>
        <v>3.8461538461538463</v>
      </c>
      <c r="K7">
        <f>NEWagg!M7</f>
        <v>5.7724252491694354</v>
      </c>
      <c r="L7">
        <f>NEWagg!N7</f>
        <v>5.8510638297872344</v>
      </c>
      <c r="M7">
        <f>NEWagg!O7</f>
        <v>7.0337477797513319</v>
      </c>
      <c r="N7">
        <f>NEWagg!P7</f>
        <v>7.4145712443584779</v>
      </c>
      <c r="O7">
        <f>NEWagg!Q7</f>
        <v>7.6009501187648461</v>
      </c>
      <c r="P7">
        <f>NEWagg!R7</f>
        <v>8.7362991618310772</v>
      </c>
      <c r="Q7">
        <f>NEWagg!S7</f>
        <v>9.001233045622687</v>
      </c>
      <c r="R7">
        <f>NEWagg!T7</f>
        <v>9.5878398129201994</v>
      </c>
      <c r="S7">
        <f>NEWagg!U7</f>
        <v>10.352673492605232</v>
      </c>
      <c r="T7">
        <f>NEWagg!V7</f>
        <v>9.2355857031046185</v>
      </c>
      <c r="U7">
        <f>NEWagg!W7</f>
        <v>9.2367825550298299</v>
      </c>
      <c r="V7">
        <f>NEWagg!X7</f>
        <v>9.8607038123167143</v>
      </c>
      <c r="W7">
        <f>NEWagg!Y7</f>
        <v>10.444234404536862</v>
      </c>
      <c r="X7">
        <f>NEWagg!Z7</f>
        <v>10.864770748694138</v>
      </c>
      <c r="Y7">
        <f>NEWagg!AA7</f>
        <v>10.452643590718905</v>
      </c>
      <c r="Z7">
        <f>NEWagg!AB7</f>
        <v>11.300919842312746</v>
      </c>
      <c r="AA7">
        <f>NEWagg!AC7</f>
        <v>10.967082396237988</v>
      </c>
      <c r="AB7">
        <f>NEWagg!AD7</f>
        <v>10.403037533030608</v>
      </c>
      <c r="AC7">
        <f>NEWagg!AE7</f>
        <v>10.578574799433694</v>
      </c>
      <c r="AD7">
        <f>NEWagg!AF7</f>
        <v>11.44964988329443</v>
      </c>
      <c r="AE7">
        <f>NEWagg!AG7</f>
        <v>12.06462720169514</v>
      </c>
      <c r="AF7">
        <f>NEWagg!AH7</f>
        <v>13.160828625235405</v>
      </c>
      <c r="AG7">
        <f>NEWagg!AI7</f>
        <v>14.261560571476878</v>
      </c>
      <c r="AH7">
        <f>NEWagg!AJ7</f>
        <v>14.792685860935121</v>
      </c>
      <c r="AI7">
        <f>NEWagg!AK7</f>
        <v>15.229430379746836</v>
      </c>
      <c r="AJ7">
        <f>NEWagg!AL7</f>
        <v>15.581837016574585</v>
      </c>
      <c r="AK7">
        <f>NEWagg!AM7</f>
        <v>15.676047953928791</v>
      </c>
      <c r="AL7">
        <f>NEWagg!AN7</f>
        <v>15.783704672489762</v>
      </c>
      <c r="AM7">
        <f>NEWagg!AO7</f>
        <v>15.992093748588642</v>
      </c>
      <c r="AN7">
        <f>NEWagg!AP7</f>
        <v>15.805443945012101</v>
      </c>
      <c r="AO7">
        <f>NEWagg!AQ7</f>
        <v>16.530185713545453</v>
      </c>
      <c r="AP7">
        <f>NEWagg!AR7</f>
        <v>16.835609553809523</v>
      </c>
      <c r="AQ7">
        <f>NEWagg!AS7</f>
        <v>16.781338021165624</v>
      </c>
      <c r="AR7">
        <f>NEWagg!AT7</f>
        <v>17.559475741942169</v>
      </c>
      <c r="AS7">
        <f>NEWagg!AU7</f>
        <v>19.461083093249805</v>
      </c>
    </row>
    <row r="8" spans="9:45" x14ac:dyDescent="0.3">
      <c r="I8" t="str">
        <f>NEWagg!K8</f>
        <v>Observational study</v>
      </c>
      <c r="AD8" t="e">
        <f>NEWagg!AF8</f>
        <v>#DIV/0!</v>
      </c>
      <c r="AE8">
        <f>NEWagg!AG8</f>
        <v>0</v>
      </c>
      <c r="AF8">
        <f>NEWagg!AH8</f>
        <v>59.183673469387756</v>
      </c>
      <c r="AG8">
        <f>NEWagg!AI8</f>
        <v>49.411764705882355</v>
      </c>
      <c r="AH8">
        <f>NEWagg!AJ8</f>
        <v>46.038251366120221</v>
      </c>
      <c r="AI8">
        <f>NEWagg!AK8</f>
        <v>50.209380234505865</v>
      </c>
      <c r="AJ8">
        <f>NEWagg!AL8</f>
        <v>51.17647058823529</v>
      </c>
      <c r="AK8">
        <f>NEWagg!AM8</f>
        <v>49.15397631133672</v>
      </c>
      <c r="AL8">
        <f>NEWagg!AN8</f>
        <v>48.915237134207871</v>
      </c>
      <c r="AM8">
        <f>NEWagg!AO8</f>
        <v>47.448165869218499</v>
      </c>
      <c r="AN8">
        <f>NEWagg!AP8</f>
        <v>47.228277795079414</v>
      </c>
      <c r="AO8">
        <f>NEWagg!AQ8</f>
        <v>46.513390601313795</v>
      </c>
      <c r="AP8">
        <f>NEWagg!AR8</f>
        <v>47.757296466973884</v>
      </c>
      <c r="AQ8">
        <f>NEWagg!AS8</f>
        <v>48.072072072072068</v>
      </c>
      <c r="AR8">
        <f>NEWagg!AT8</f>
        <v>49.043097151205259</v>
      </c>
      <c r="AS8">
        <f>NEWagg!AU8</f>
        <v>50.410116199589879</v>
      </c>
    </row>
    <row r="9" spans="9:45" x14ac:dyDescent="0.3">
      <c r="I9" t="str">
        <f>NEWagg!K9</f>
        <v>Systematic review</v>
      </c>
      <c r="Q9">
        <f>NEWagg!S9</f>
        <v>0</v>
      </c>
      <c r="R9">
        <f>NEWagg!T9</f>
        <v>0</v>
      </c>
      <c r="S9">
        <f>NEWagg!U9</f>
        <v>0</v>
      </c>
      <c r="T9">
        <f>NEWagg!V9</f>
        <v>0</v>
      </c>
      <c r="U9">
        <f>NEWagg!W9</f>
        <v>18.181818181818183</v>
      </c>
      <c r="V9">
        <f>NEWagg!X9</f>
        <v>35.294117647058826</v>
      </c>
      <c r="W9">
        <f>NEWagg!Y9</f>
        <v>6.666666666666667</v>
      </c>
      <c r="X9">
        <f>NEWagg!Z9</f>
        <v>10</v>
      </c>
      <c r="Y9">
        <f>NEWagg!AA9</f>
        <v>12.5</v>
      </c>
      <c r="Z9">
        <f>NEWagg!AB9</f>
        <v>12.790697674418606</v>
      </c>
      <c r="AA9">
        <f>NEWagg!AC9</f>
        <v>13.684210526315791</v>
      </c>
      <c r="AB9">
        <f>NEWagg!AD9</f>
        <v>13.125</v>
      </c>
      <c r="AC9">
        <f>NEWagg!AE9</f>
        <v>15.315315315315313</v>
      </c>
      <c r="AD9">
        <f>NEWagg!AF9</f>
        <v>16.101694915254235</v>
      </c>
      <c r="AE9">
        <f>NEWagg!AG9</f>
        <v>12.621359223300971</v>
      </c>
      <c r="AF9">
        <f>NEWagg!AH9</f>
        <v>15.86021505376344</v>
      </c>
      <c r="AG9">
        <f>NEWagg!AI9</f>
        <v>17.487266553480477</v>
      </c>
      <c r="AH9">
        <f>NEWagg!AJ9</f>
        <v>18.967587034813928</v>
      </c>
      <c r="AI9">
        <f>NEWagg!AK9</f>
        <v>21.238938053097346</v>
      </c>
      <c r="AJ9">
        <f>NEWagg!AL9</f>
        <v>21.757164404223229</v>
      </c>
      <c r="AK9">
        <f>NEWagg!AM9</f>
        <v>21.602787456445995</v>
      </c>
      <c r="AL9">
        <f>NEWagg!AN9</f>
        <v>22.283236994219653</v>
      </c>
      <c r="AM9">
        <f>NEWagg!AO9</f>
        <v>24.340011233851339</v>
      </c>
      <c r="AN9">
        <f>NEWagg!AP9</f>
        <v>23.447141094199917</v>
      </c>
      <c r="AO9">
        <f>NEWagg!AQ9</f>
        <v>23.630536130536132</v>
      </c>
      <c r="AP9">
        <f>NEWagg!AR9</f>
        <v>24.283963853576353</v>
      </c>
      <c r="AQ9">
        <f>NEWagg!AS9</f>
        <v>25.399219304471256</v>
      </c>
      <c r="AR9">
        <f>NEWagg!AT9</f>
        <v>26.486486486486488</v>
      </c>
      <c r="AS9">
        <f>NEWagg!AU9</f>
        <v>25.981253661394259</v>
      </c>
    </row>
    <row r="12" spans="9:45" x14ac:dyDescent="0.3">
      <c r="W12" t="s">
        <v>20</v>
      </c>
    </row>
    <row r="39" spans="9:12" x14ac:dyDescent="0.3">
      <c r="I39" t="s">
        <v>10</v>
      </c>
      <c r="J39" t="s">
        <v>11</v>
      </c>
      <c r="K39" t="s">
        <v>12</v>
      </c>
    </row>
    <row r="40" spans="9:12" x14ac:dyDescent="0.3">
      <c r="I40" t="str">
        <f t="shared" ref="I40:I45" si="0">I2</f>
        <v>Randomized controlled trial</v>
      </c>
      <c r="J40">
        <f>[1]RCT!$B$38</f>
        <v>92194</v>
      </c>
      <c r="K40" t="str">
        <f>[1]RCT!$C$38 &amp;" ("&amp;[1]RCT!$C$40&amp;"-"&amp;[1]RCT!$C$39&amp;")"</f>
        <v>45916 (3-5214)</v>
      </c>
    </row>
    <row r="41" spans="9:12" x14ac:dyDescent="0.3">
      <c r="I41" t="str">
        <f t="shared" si="0"/>
        <v>Clinical trial</v>
      </c>
      <c r="J41">
        <f>[1]CT!$B$38</f>
        <v>22949</v>
      </c>
      <c r="K41" t="str">
        <f>[1]CT!$C$38 &amp;" ("&amp;[1]CT!$C$40&amp;"-"&amp;[1]CT!$C$39&amp;")"</f>
        <v>8899 (1-885)</v>
      </c>
    </row>
    <row r="42" spans="9:12" x14ac:dyDescent="0.3">
      <c r="I42" t="str">
        <f t="shared" si="0"/>
        <v>Meta-analysis</v>
      </c>
      <c r="J42">
        <f>[1]META!$B$38</f>
        <v>56044</v>
      </c>
      <c r="K42" t="str">
        <f>[1]META!$C$38 &amp;" ("&amp;[1]META!$C$40&amp;"-"&amp;[1]META!$C$39&amp;")"</f>
        <v>22915 (0-2962)</v>
      </c>
    </row>
    <row r="43" spans="9:12" x14ac:dyDescent="0.3">
      <c r="I43" t="str">
        <f t="shared" si="0"/>
        <v>Review</v>
      </c>
      <c r="J43">
        <f>[1]REVIEW!$B$38</f>
        <v>558131</v>
      </c>
      <c r="K43" t="str">
        <f>[1]REVIEW!$C$38 &amp;" ("&amp;[1]REVIEW!$C$40&amp;"-"&amp;[1]REVIEW!$C$39&amp;")"</f>
        <v>9360 (0-1635)</v>
      </c>
    </row>
    <row r="44" spans="9:12" x14ac:dyDescent="0.3">
      <c r="I44" t="str">
        <f t="shared" si="0"/>
        <v>Clinically Useful Journals</v>
      </c>
      <c r="J44">
        <f>[1]CCJ!$B$38</f>
        <v>140645</v>
      </c>
      <c r="K44" t="str">
        <f>[1]CCJ!$C$38 &amp;" ("&amp;[1]CCJ!$C$40&amp;"-"&amp;[1]CCJ!$C$39&amp;")"</f>
        <v>43757 (52-4245)</v>
      </c>
    </row>
    <row r="45" spans="9:12" x14ac:dyDescent="0.3">
      <c r="I45" t="str">
        <f t="shared" si="0"/>
        <v>All MEDLINE</v>
      </c>
      <c r="J45">
        <f>[1]ALL!$B$38</f>
        <v>6031459</v>
      </c>
      <c r="K45" t="str">
        <f>[1]ALL!$C$38 &amp;" ("&amp;[1]ALL!$C$40&amp;"-"&amp;[1]ALL!$C$39&amp;")"</f>
        <v>974002 (90-122606)</v>
      </c>
    </row>
    <row r="46" spans="9:12" x14ac:dyDescent="0.3">
      <c r="I46" t="s">
        <v>13</v>
      </c>
      <c r="J46">
        <v>215849</v>
      </c>
      <c r="K46" t="s">
        <v>19</v>
      </c>
    </row>
    <row r="47" spans="9:12" ht="18" customHeight="1" x14ac:dyDescent="0.3">
      <c r="I47" t="s">
        <v>15</v>
      </c>
      <c r="J47">
        <v>343422</v>
      </c>
      <c r="K47" t="s">
        <v>18</v>
      </c>
      <c r="L47" s="1" t="s">
        <v>17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C4D9-8136-4D86-812B-9D1196D24A25}">
  <dimension ref="A1:AU40"/>
  <sheetViews>
    <sheetView zoomScaleNormal="100" workbookViewId="0">
      <selection activeCell="F1" sqref="F1"/>
    </sheetView>
  </sheetViews>
  <sheetFormatPr defaultRowHeight="17.25" x14ac:dyDescent="0.3"/>
  <sheetData>
    <row r="1" spans="1:47" x14ac:dyDescent="0.3">
      <c r="A1" t="s">
        <v>0</v>
      </c>
      <c r="B1" t="s">
        <v>9</v>
      </c>
      <c r="C1" t="s">
        <v>2</v>
      </c>
      <c r="D1" t="s">
        <v>3</v>
      </c>
      <c r="E1" t="s">
        <v>4</v>
      </c>
      <c r="F1" t="s">
        <v>23</v>
      </c>
      <c r="G1" t="s">
        <v>5</v>
      </c>
      <c r="H1" t="s">
        <v>14</v>
      </c>
      <c r="I1" t="s">
        <v>16</v>
      </c>
      <c r="K1" t="str" cm="1">
        <f t="array" ref="K1:AU9">TRANSPOSE(A1:I37)</f>
        <v>Year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</row>
    <row r="2" spans="1:47" x14ac:dyDescent="0.3">
      <c r="A2">
        <v>1990</v>
      </c>
      <c r="B2">
        <f>RCT!D2</f>
        <v>27.27272727272727</v>
      </c>
      <c r="C2">
        <f>CT!D2</f>
        <v>10</v>
      </c>
      <c r="D2">
        <f>META!D2</f>
        <v>0</v>
      </c>
      <c r="E2">
        <f>REVIEW!D2</f>
        <v>0.6097560975609756</v>
      </c>
      <c r="F2">
        <f>CCJ!D2</f>
        <v>15.384615384615385</v>
      </c>
      <c r="G2">
        <f>ALL!D2</f>
        <v>3.8461538461538463</v>
      </c>
      <c r="H2" t="e">
        <f>OBS!D2</f>
        <v>#DIV/0!</v>
      </c>
      <c r="I2" t="e">
        <f>SYSREV!D2</f>
        <v>#DIV/0!</v>
      </c>
      <c r="K2" t="str">
        <v>Randomized controlled trial</v>
      </c>
      <c r="L2">
        <v>27.27272727272727</v>
      </c>
      <c r="M2">
        <v>50</v>
      </c>
      <c r="N2">
        <v>37.5</v>
      </c>
      <c r="O2">
        <v>48.275862068965516</v>
      </c>
      <c r="P2">
        <v>50</v>
      </c>
      <c r="Q2">
        <v>51.724137931034484</v>
      </c>
      <c r="R2">
        <v>41.860465116279073</v>
      </c>
      <c r="S2">
        <v>60.714285714285708</v>
      </c>
      <c r="T2">
        <v>58.139534883720934</v>
      </c>
      <c r="U2">
        <v>43.243243243243242</v>
      </c>
      <c r="V2">
        <v>46.666666666666664</v>
      </c>
      <c r="W2">
        <v>52.307692307692314</v>
      </c>
      <c r="X2">
        <v>45.333333333333329</v>
      </c>
      <c r="Y2">
        <v>47.368421052631575</v>
      </c>
      <c r="Z2">
        <v>44.375</v>
      </c>
      <c r="AA2">
        <v>47.179487179487175</v>
      </c>
      <c r="AB2">
        <v>46.768060836501903</v>
      </c>
      <c r="AC2">
        <v>44.306418219461698</v>
      </c>
      <c r="AD2">
        <v>43.873517786561266</v>
      </c>
      <c r="AE2">
        <v>40.68582020389249</v>
      </c>
      <c r="AF2">
        <v>41.164383561643838</v>
      </c>
      <c r="AG2">
        <v>39.049485546300829</v>
      </c>
      <c r="AH2">
        <v>38.877835256665335</v>
      </c>
      <c r="AI2">
        <v>40.034762456546929</v>
      </c>
      <c r="AJ2">
        <v>41.674528301886795</v>
      </c>
      <c r="AK2">
        <v>41.744680851063833</v>
      </c>
      <c r="AL2">
        <v>44.022169437846401</v>
      </c>
      <c r="AM2">
        <v>43.878854223681813</v>
      </c>
      <c r="AN2">
        <v>48.906485671191554</v>
      </c>
      <c r="AO2">
        <v>51.014492753623188</v>
      </c>
      <c r="AP2">
        <v>51.840796019900495</v>
      </c>
      <c r="AQ2">
        <v>53.277476589452931</v>
      </c>
      <c r="AR2">
        <v>53.958398013039435</v>
      </c>
      <c r="AS2">
        <v>54.21656686626747</v>
      </c>
      <c r="AT2">
        <v>58.101207056638813</v>
      </c>
      <c r="AU2">
        <v>57.904308897593737</v>
      </c>
    </row>
    <row r="3" spans="1:47" x14ac:dyDescent="0.3">
      <c r="A3">
        <v>1991</v>
      </c>
      <c r="B3">
        <f>RCT!D3</f>
        <v>50</v>
      </c>
      <c r="C3">
        <f>CT!D3</f>
        <v>10.714285714285714</v>
      </c>
      <c r="D3">
        <f>META!D3</f>
        <v>0</v>
      </c>
      <c r="E3">
        <f>REVIEW!D3</f>
        <v>0.61728395061728392</v>
      </c>
      <c r="F3">
        <f>CCJ!D3</f>
        <v>19.736842105263158</v>
      </c>
      <c r="G3">
        <f>ALL!D3</f>
        <v>5.7724252491694354</v>
      </c>
      <c r="H3" t="e">
        <f>OBS!D3</f>
        <v>#DIV/0!</v>
      </c>
      <c r="I3" t="e">
        <f>SYSREV!D3</f>
        <v>#DIV/0!</v>
      </c>
      <c r="K3" t="str">
        <v>Clinical trial</v>
      </c>
      <c r="L3">
        <v>10</v>
      </c>
      <c r="M3">
        <v>10.714285714285714</v>
      </c>
      <c r="N3">
        <v>6.666666666666667</v>
      </c>
      <c r="O3">
        <v>20.930232558139537</v>
      </c>
      <c r="P3">
        <v>23.333333333333332</v>
      </c>
      <c r="Q3">
        <v>17.1875</v>
      </c>
      <c r="R3">
        <v>12.903225806451612</v>
      </c>
      <c r="S3">
        <v>20.588235294117645</v>
      </c>
      <c r="T3">
        <v>22.105263157894736</v>
      </c>
      <c r="U3">
        <v>22.330097087378643</v>
      </c>
      <c r="V3">
        <v>25.97402597402597</v>
      </c>
      <c r="W3">
        <v>30.952380952380953</v>
      </c>
      <c r="X3">
        <v>12.222222222222221</v>
      </c>
      <c r="Y3">
        <v>24.770642201834864</v>
      </c>
      <c r="Z3">
        <v>28.640776699029125</v>
      </c>
      <c r="AA3">
        <v>29.230769230769234</v>
      </c>
      <c r="AB3">
        <v>43.511450381679388</v>
      </c>
      <c r="AC3">
        <v>34.810126582278485</v>
      </c>
      <c r="AD3">
        <v>40.109890109890109</v>
      </c>
      <c r="AE3">
        <v>43.18181818181818</v>
      </c>
      <c r="AF3">
        <v>34.254143646408842</v>
      </c>
      <c r="AG3">
        <v>37.08086785009862</v>
      </c>
      <c r="AH3">
        <v>37.341040462427742</v>
      </c>
      <c r="AI3">
        <v>35.307692307692307</v>
      </c>
      <c r="AJ3">
        <v>37.250859106529212</v>
      </c>
      <c r="AK3">
        <v>39.121482498284145</v>
      </c>
      <c r="AL3">
        <v>41.717376605814735</v>
      </c>
      <c r="AM3">
        <v>41.441441441441441</v>
      </c>
      <c r="AN3">
        <v>37.946183415705661</v>
      </c>
      <c r="AO3">
        <v>38.443506797937175</v>
      </c>
      <c r="AP3">
        <v>39.082855653986456</v>
      </c>
      <c r="AQ3">
        <v>38.511749347258487</v>
      </c>
      <c r="AR3">
        <v>41.342756183745585</v>
      </c>
      <c r="AS3">
        <v>44.098205854579788</v>
      </c>
      <c r="AT3">
        <v>46.136618141097422</v>
      </c>
      <c r="AU3">
        <v>51.330203442879494</v>
      </c>
    </row>
    <row r="4" spans="1:47" x14ac:dyDescent="0.3">
      <c r="A4">
        <f>A2+2</f>
        <v>1992</v>
      </c>
      <c r="B4">
        <f>RCT!D4</f>
        <v>37.5</v>
      </c>
      <c r="C4">
        <f>CT!D4</f>
        <v>6.666666666666667</v>
      </c>
      <c r="D4">
        <f>META!D4</f>
        <v>0</v>
      </c>
      <c r="E4">
        <f>REVIEW!D4</f>
        <v>0</v>
      </c>
      <c r="F4">
        <f>CCJ!D4</f>
        <v>21.024258760107816</v>
      </c>
      <c r="G4">
        <f>ALL!D4</f>
        <v>5.8510638297872344</v>
      </c>
      <c r="H4" t="e">
        <f>OBS!D4</f>
        <v>#DIV/0!</v>
      </c>
      <c r="I4" t="e">
        <f>SYSREV!D4</f>
        <v>#DIV/0!</v>
      </c>
      <c r="K4" t="str">
        <v>Meta-analysis</v>
      </c>
      <c r="L4">
        <v>0</v>
      </c>
      <c r="M4">
        <v>0</v>
      </c>
      <c r="N4">
        <v>0</v>
      </c>
      <c r="O4">
        <v>0</v>
      </c>
      <c r="P4">
        <v>20</v>
      </c>
      <c r="Q4">
        <v>25</v>
      </c>
      <c r="R4">
        <v>0</v>
      </c>
      <c r="S4">
        <v>0</v>
      </c>
      <c r="T4">
        <v>0</v>
      </c>
      <c r="U4">
        <v>0</v>
      </c>
      <c r="V4">
        <v>36.363636363636367</v>
      </c>
      <c r="W4">
        <v>16.666666666666664</v>
      </c>
      <c r="X4">
        <v>30.76923076923077</v>
      </c>
      <c r="Y4">
        <v>23.52941176470588</v>
      </c>
      <c r="Z4">
        <v>21.875</v>
      </c>
      <c r="AA4">
        <v>22.916666666666664</v>
      </c>
      <c r="AB4">
        <v>28.125</v>
      </c>
      <c r="AC4">
        <v>21.276595744680851</v>
      </c>
      <c r="AD4">
        <v>28.767123287671232</v>
      </c>
      <c r="AE4">
        <v>34.597156398104268</v>
      </c>
      <c r="AF4">
        <v>30.124223602484474</v>
      </c>
      <c r="AG4">
        <v>34.874759152215802</v>
      </c>
      <c r="AH4">
        <v>33.253012048192772</v>
      </c>
      <c r="AI4">
        <v>36.714285714285715</v>
      </c>
      <c r="AJ4">
        <v>39.523551705468329</v>
      </c>
      <c r="AK4">
        <v>39.33946488294314</v>
      </c>
      <c r="AL4">
        <v>39.719789842381786</v>
      </c>
      <c r="AM4">
        <v>42.430345753608592</v>
      </c>
      <c r="AN4">
        <v>43.252476938845234</v>
      </c>
      <c r="AO4">
        <v>40.738743596656782</v>
      </c>
      <c r="AP4">
        <v>40.247810296945097</v>
      </c>
      <c r="AQ4">
        <v>38.356164383561641</v>
      </c>
      <c r="AR4">
        <v>40.999551099805473</v>
      </c>
      <c r="AS4">
        <v>42.85278878390735</v>
      </c>
      <c r="AT4">
        <v>43.597291727995291</v>
      </c>
      <c r="AU4">
        <v>43.211311253147393</v>
      </c>
    </row>
    <row r="5" spans="1:47" x14ac:dyDescent="0.3">
      <c r="A5">
        <f t="shared" ref="A5:A36" si="0">A3+2</f>
        <v>1993</v>
      </c>
      <c r="B5">
        <f>RCT!D5</f>
        <v>48.275862068965516</v>
      </c>
      <c r="C5">
        <f>CT!D5</f>
        <v>20.930232558139537</v>
      </c>
      <c r="D5">
        <f>META!D5</f>
        <v>0</v>
      </c>
      <c r="E5">
        <f>REVIEW!D5</f>
        <v>1.0309278350515463</v>
      </c>
      <c r="F5">
        <f>CCJ!D5</f>
        <v>21.633554083885208</v>
      </c>
      <c r="G5">
        <f>ALL!D5</f>
        <v>7.0337477797513319</v>
      </c>
      <c r="H5" t="e">
        <f>OBS!D5</f>
        <v>#DIV/0!</v>
      </c>
      <c r="I5" t="e">
        <f>SYSREV!D5</f>
        <v>#DIV/0!</v>
      </c>
      <c r="K5" t="str">
        <v>Review</v>
      </c>
      <c r="L5">
        <v>0.6097560975609756</v>
      </c>
      <c r="M5">
        <v>0.61728395061728392</v>
      </c>
      <c r="N5">
        <v>0</v>
      </c>
      <c r="O5">
        <v>1.0309278350515463</v>
      </c>
      <c r="P5">
        <v>0.4098360655737705</v>
      </c>
      <c r="Q5">
        <v>0.48543689320388345</v>
      </c>
      <c r="R5">
        <v>0</v>
      </c>
      <c r="S5">
        <v>2.0905923344947737</v>
      </c>
      <c r="T5">
        <v>0.3115264797507788</v>
      </c>
      <c r="U5">
        <v>0.81300813008130091</v>
      </c>
      <c r="V5">
        <v>0.46296296296296291</v>
      </c>
      <c r="W5">
        <v>0.56497175141242939</v>
      </c>
      <c r="X5">
        <v>0</v>
      </c>
      <c r="Y5">
        <v>0.32786885245901637</v>
      </c>
      <c r="Z5">
        <v>0.75093867334167708</v>
      </c>
      <c r="AA5">
        <v>0.22346368715083798</v>
      </c>
      <c r="AB5">
        <v>0.6531678641410843</v>
      </c>
      <c r="AC5">
        <v>0.52785923753665687</v>
      </c>
      <c r="AD5">
        <v>0.62230732407850642</v>
      </c>
      <c r="AE5">
        <v>0.39032006245120998</v>
      </c>
      <c r="AF5">
        <v>0.72426280393171238</v>
      </c>
      <c r="AG5">
        <v>0.79635949943117168</v>
      </c>
      <c r="AH5">
        <v>0.61016949152542377</v>
      </c>
      <c r="AI5">
        <v>0.77961589655828112</v>
      </c>
      <c r="AJ5">
        <v>0.87131764566415748</v>
      </c>
      <c r="AK5">
        <v>1.1093925009333832</v>
      </c>
      <c r="AL5">
        <v>1.2807741568236801</v>
      </c>
      <c r="AM5">
        <v>1.1302995924198496</v>
      </c>
      <c r="AN5">
        <v>1.4444917660420216</v>
      </c>
      <c r="AO5">
        <v>1.4611984282907662</v>
      </c>
      <c r="AP5">
        <v>1.2918139787870546</v>
      </c>
      <c r="AQ5">
        <v>1.4474590276821373</v>
      </c>
      <c r="AR5">
        <v>2.0819887962413195</v>
      </c>
      <c r="AS5">
        <v>2.3129155467534304</v>
      </c>
      <c r="AT5">
        <v>2.1722420366498585</v>
      </c>
      <c r="AU5">
        <v>2.3218418808624679</v>
      </c>
    </row>
    <row r="6" spans="1:47" x14ac:dyDescent="0.3">
      <c r="A6">
        <f t="shared" si="0"/>
        <v>1994</v>
      </c>
      <c r="B6">
        <f>RCT!D6</f>
        <v>50</v>
      </c>
      <c r="C6">
        <f>CT!D6</f>
        <v>23.333333333333332</v>
      </c>
      <c r="D6">
        <f>META!D6</f>
        <v>20</v>
      </c>
      <c r="E6">
        <f>REVIEW!D6</f>
        <v>0.4098360655737705</v>
      </c>
      <c r="F6">
        <f>CCJ!D6</f>
        <v>26.376146788990823</v>
      </c>
      <c r="G6">
        <f>ALL!D6</f>
        <v>7.4145712443584779</v>
      </c>
      <c r="H6" t="e">
        <f>OBS!D6</f>
        <v>#DIV/0!</v>
      </c>
      <c r="I6">
        <f>SYSREV!D6</f>
        <v>0</v>
      </c>
      <c r="K6" t="str">
        <v>Clinically Useful Journals</v>
      </c>
      <c r="L6">
        <v>15.384615384615385</v>
      </c>
      <c r="M6">
        <v>19.736842105263158</v>
      </c>
      <c r="N6">
        <v>21.024258760107816</v>
      </c>
      <c r="O6">
        <v>21.633554083885208</v>
      </c>
      <c r="P6">
        <v>26.376146788990823</v>
      </c>
      <c r="Q6">
        <v>23.46153846153846</v>
      </c>
      <c r="R6">
        <v>22.626582278481013</v>
      </c>
      <c r="S6">
        <v>25.177304964539005</v>
      </c>
      <c r="T6">
        <v>27.014925373134329</v>
      </c>
      <c r="U6">
        <v>24.537607891491987</v>
      </c>
      <c r="V6">
        <v>26.020408163265309</v>
      </c>
      <c r="W6">
        <v>25.380710659898476</v>
      </c>
      <c r="X6">
        <v>23.586429725363487</v>
      </c>
      <c r="Y6">
        <v>24.693042291950889</v>
      </c>
      <c r="Z6">
        <v>26.819923371647509</v>
      </c>
      <c r="AA6">
        <v>27.936507936507937</v>
      </c>
      <c r="AB6">
        <v>27.633587786259543</v>
      </c>
      <c r="AC6">
        <v>28.90995260663507</v>
      </c>
      <c r="AD6">
        <v>31.989424983476539</v>
      </c>
      <c r="AE6">
        <v>35.425311203319502</v>
      </c>
      <c r="AF6">
        <v>37.00144161460836</v>
      </c>
      <c r="AG6">
        <v>34.965986394557824</v>
      </c>
      <c r="AH6">
        <v>31.371753246753247</v>
      </c>
      <c r="AI6">
        <v>33.971587399629399</v>
      </c>
      <c r="AJ6">
        <v>30.823023130715438</v>
      </c>
      <c r="AK6">
        <v>33.896396396396398</v>
      </c>
      <c r="AL6">
        <v>37.188242280285031</v>
      </c>
      <c r="AM6">
        <v>32.620176032498307</v>
      </c>
      <c r="AN6">
        <v>30.243490838958536</v>
      </c>
      <c r="AO6">
        <v>29.623156744948115</v>
      </c>
      <c r="AP6">
        <v>26.285092153355627</v>
      </c>
      <c r="AQ6">
        <v>28.830586874819314</v>
      </c>
      <c r="AR6">
        <v>29.848122626916044</v>
      </c>
      <c r="AS6">
        <v>31.994559564765179</v>
      </c>
      <c r="AT6">
        <v>34.682826199071684</v>
      </c>
      <c r="AU6">
        <v>34.720951509606586</v>
      </c>
    </row>
    <row r="7" spans="1:47" x14ac:dyDescent="0.3">
      <c r="A7">
        <f t="shared" si="0"/>
        <v>1995</v>
      </c>
      <c r="B7">
        <f>RCT!D7</f>
        <v>51.724137931034484</v>
      </c>
      <c r="C7">
        <f>CT!D7</f>
        <v>17.1875</v>
      </c>
      <c r="D7">
        <f>META!D7</f>
        <v>25</v>
      </c>
      <c r="E7">
        <f>REVIEW!D7</f>
        <v>0.48543689320388345</v>
      </c>
      <c r="F7">
        <f>CCJ!D7</f>
        <v>23.46153846153846</v>
      </c>
      <c r="G7">
        <f>ALL!D7</f>
        <v>7.6009501187648461</v>
      </c>
      <c r="H7" t="e">
        <f>OBS!D7</f>
        <v>#DIV/0!</v>
      </c>
      <c r="I7">
        <f>SYSREV!D7</f>
        <v>0</v>
      </c>
      <c r="K7" t="str">
        <v>All MEDLINE</v>
      </c>
      <c r="L7">
        <v>3.8461538461538463</v>
      </c>
      <c r="M7">
        <v>5.7724252491694354</v>
      </c>
      <c r="N7">
        <v>5.8510638297872344</v>
      </c>
      <c r="O7">
        <v>7.0337477797513319</v>
      </c>
      <c r="P7">
        <v>7.4145712443584779</v>
      </c>
      <c r="Q7">
        <v>7.6009501187648461</v>
      </c>
      <c r="R7">
        <v>8.7362991618310772</v>
      </c>
      <c r="S7">
        <v>9.001233045622687</v>
      </c>
      <c r="T7">
        <v>9.5878398129201994</v>
      </c>
      <c r="U7">
        <v>10.352673492605232</v>
      </c>
      <c r="V7">
        <v>9.2355857031046185</v>
      </c>
      <c r="W7">
        <v>9.2367825550298299</v>
      </c>
      <c r="X7">
        <v>9.8607038123167143</v>
      </c>
      <c r="Y7">
        <v>10.444234404536862</v>
      </c>
      <c r="Z7">
        <v>10.864770748694138</v>
      </c>
      <c r="AA7">
        <v>10.452643590718905</v>
      </c>
      <c r="AB7">
        <v>11.300919842312746</v>
      </c>
      <c r="AC7">
        <v>10.967082396237988</v>
      </c>
      <c r="AD7">
        <v>10.403037533030608</v>
      </c>
      <c r="AE7">
        <v>10.578574799433694</v>
      </c>
      <c r="AF7">
        <v>11.44964988329443</v>
      </c>
      <c r="AG7">
        <v>12.06462720169514</v>
      </c>
      <c r="AH7">
        <v>13.160828625235405</v>
      </c>
      <c r="AI7">
        <v>14.261560571476878</v>
      </c>
      <c r="AJ7">
        <v>14.792685860935121</v>
      </c>
      <c r="AK7">
        <v>15.229430379746836</v>
      </c>
      <c r="AL7">
        <v>15.581837016574585</v>
      </c>
      <c r="AM7">
        <v>15.676047953928791</v>
      </c>
      <c r="AN7">
        <v>15.783704672489762</v>
      </c>
      <c r="AO7">
        <v>15.992093748588642</v>
      </c>
      <c r="AP7">
        <v>15.805443945012101</v>
      </c>
      <c r="AQ7">
        <v>16.530185713545453</v>
      </c>
      <c r="AR7">
        <v>16.835609553809523</v>
      </c>
      <c r="AS7">
        <v>16.781338021165624</v>
      </c>
      <c r="AT7">
        <v>17.559475741942169</v>
      </c>
      <c r="AU7">
        <v>19.461083093249805</v>
      </c>
    </row>
    <row r="8" spans="1:47" x14ac:dyDescent="0.3">
      <c r="A8">
        <f t="shared" si="0"/>
        <v>1996</v>
      </c>
      <c r="B8">
        <f>RCT!D8</f>
        <v>41.860465116279073</v>
      </c>
      <c r="C8">
        <f>CT!D8</f>
        <v>12.903225806451612</v>
      </c>
      <c r="D8">
        <f>META!D8</f>
        <v>0</v>
      </c>
      <c r="E8">
        <f>REVIEW!D8</f>
        <v>0</v>
      </c>
      <c r="F8">
        <f>CCJ!D8</f>
        <v>22.626582278481013</v>
      </c>
      <c r="G8">
        <f>ALL!D8</f>
        <v>8.7362991618310772</v>
      </c>
      <c r="H8" t="e">
        <f>OBS!D8</f>
        <v>#DIV/0!</v>
      </c>
      <c r="I8" t="e">
        <f>SYSREV!D8</f>
        <v>#DIV/0!</v>
      </c>
      <c r="K8" t="str">
        <v>Observational study</v>
      </c>
      <c r="L8" t="e">
        <v>#DIV/0!</v>
      </c>
      <c r="M8" t="e">
        <v>#DIV/0!</v>
      </c>
      <c r="N8" t="e">
        <v>#DIV/0!</v>
      </c>
      <c r="O8" t="e">
        <v>#DIV/0!</v>
      </c>
      <c r="P8" t="e">
        <v>#DIV/0!</v>
      </c>
      <c r="Q8" t="e">
        <v>#DIV/0!</v>
      </c>
      <c r="R8" t="e">
        <v>#DIV/0!</v>
      </c>
      <c r="S8" t="e">
        <v>#DIV/0!</v>
      </c>
      <c r="T8" t="e">
        <v>#DIV/0!</v>
      </c>
      <c r="U8" t="e">
        <v>#DIV/0!</v>
      </c>
      <c r="V8" t="e">
        <v>#DIV/0!</v>
      </c>
      <c r="W8" t="e">
        <v>#DIV/0!</v>
      </c>
      <c r="X8" t="e">
        <v>#DIV/0!</v>
      </c>
      <c r="Y8" t="e">
        <v>#DIV/0!</v>
      </c>
      <c r="Z8" t="e">
        <v>#DIV/0!</v>
      </c>
      <c r="AA8" t="e">
        <v>#DIV/0!</v>
      </c>
      <c r="AB8">
        <v>0</v>
      </c>
      <c r="AC8" t="e">
        <v>#DIV/0!</v>
      </c>
      <c r="AD8" t="e">
        <v>#DIV/0!</v>
      </c>
      <c r="AE8" t="e">
        <v>#DIV/0!</v>
      </c>
      <c r="AF8" t="e">
        <v>#DIV/0!</v>
      </c>
      <c r="AG8">
        <v>0</v>
      </c>
      <c r="AH8">
        <v>59.183673469387756</v>
      </c>
      <c r="AI8">
        <v>49.411764705882355</v>
      </c>
      <c r="AJ8">
        <v>46.038251366120221</v>
      </c>
      <c r="AK8">
        <v>50.209380234505865</v>
      </c>
      <c r="AL8">
        <v>51.17647058823529</v>
      </c>
      <c r="AM8">
        <v>49.15397631133672</v>
      </c>
      <c r="AN8">
        <v>48.915237134207871</v>
      </c>
      <c r="AO8">
        <v>47.448165869218499</v>
      </c>
      <c r="AP8">
        <v>47.228277795079414</v>
      </c>
      <c r="AQ8">
        <v>46.513390601313795</v>
      </c>
      <c r="AR8">
        <v>47.757296466973884</v>
      </c>
      <c r="AS8">
        <v>48.072072072072068</v>
      </c>
      <c r="AT8">
        <v>49.043097151205259</v>
      </c>
      <c r="AU8">
        <v>50.410116199589879</v>
      </c>
    </row>
    <row r="9" spans="1:47" x14ac:dyDescent="0.3">
      <c r="A9">
        <f t="shared" si="0"/>
        <v>1997</v>
      </c>
      <c r="B9">
        <f>RCT!D9</f>
        <v>60.714285714285708</v>
      </c>
      <c r="C9">
        <f>CT!D9</f>
        <v>20.588235294117645</v>
      </c>
      <c r="D9">
        <f>META!D9</f>
        <v>0</v>
      </c>
      <c r="E9">
        <f>REVIEW!D9</f>
        <v>2.0905923344947737</v>
      </c>
      <c r="F9">
        <f>CCJ!D9</f>
        <v>25.177304964539005</v>
      </c>
      <c r="G9">
        <f>ALL!D9</f>
        <v>9.001233045622687</v>
      </c>
      <c r="H9" t="e">
        <f>OBS!D9</f>
        <v>#DIV/0!</v>
      </c>
      <c r="I9">
        <f>SYSREV!D9</f>
        <v>0</v>
      </c>
      <c r="K9" t="str">
        <v>Systematic review</v>
      </c>
      <c r="L9" t="e">
        <v>#DIV/0!</v>
      </c>
      <c r="M9" t="e">
        <v>#DIV/0!</v>
      </c>
      <c r="N9" t="e">
        <v>#DIV/0!</v>
      </c>
      <c r="O9" t="e">
        <v>#DIV/0!</v>
      </c>
      <c r="P9">
        <v>0</v>
      </c>
      <c r="Q9">
        <v>0</v>
      </c>
      <c r="R9" t="e">
        <v>#DIV/0!</v>
      </c>
      <c r="S9">
        <v>0</v>
      </c>
      <c r="T9">
        <v>0</v>
      </c>
      <c r="U9">
        <v>0</v>
      </c>
      <c r="V9">
        <v>0</v>
      </c>
      <c r="W9">
        <v>18.181818181818183</v>
      </c>
      <c r="X9">
        <v>35.294117647058826</v>
      </c>
      <c r="Y9">
        <v>6.666666666666667</v>
      </c>
      <c r="Z9">
        <v>10</v>
      </c>
      <c r="AA9">
        <v>12.5</v>
      </c>
      <c r="AB9">
        <v>12.790697674418606</v>
      </c>
      <c r="AC9">
        <v>13.684210526315791</v>
      </c>
      <c r="AD9">
        <v>13.125</v>
      </c>
      <c r="AE9">
        <v>15.315315315315313</v>
      </c>
      <c r="AF9">
        <v>16.101694915254235</v>
      </c>
      <c r="AG9">
        <v>12.621359223300971</v>
      </c>
      <c r="AH9">
        <v>15.86021505376344</v>
      </c>
      <c r="AI9">
        <v>17.487266553480477</v>
      </c>
      <c r="AJ9">
        <v>18.967587034813928</v>
      </c>
      <c r="AK9">
        <v>21.238938053097346</v>
      </c>
      <c r="AL9">
        <v>21.757164404223229</v>
      </c>
      <c r="AM9">
        <v>21.602787456445995</v>
      </c>
      <c r="AN9">
        <v>22.283236994219653</v>
      </c>
      <c r="AO9">
        <v>24.340011233851339</v>
      </c>
      <c r="AP9">
        <v>23.447141094199917</v>
      </c>
      <c r="AQ9">
        <v>23.630536130536132</v>
      </c>
      <c r="AR9">
        <v>24.283963853576353</v>
      </c>
      <c r="AS9">
        <v>25.399219304471256</v>
      </c>
      <c r="AT9">
        <v>26.486486486486488</v>
      </c>
      <c r="AU9">
        <v>25.981253661394259</v>
      </c>
    </row>
    <row r="10" spans="1:47" x14ac:dyDescent="0.3">
      <c r="A10">
        <f t="shared" si="0"/>
        <v>1998</v>
      </c>
      <c r="B10">
        <f>RCT!D10</f>
        <v>58.139534883720934</v>
      </c>
      <c r="C10">
        <f>CT!D10</f>
        <v>22.105263157894736</v>
      </c>
      <c r="D10">
        <f>META!D10</f>
        <v>0</v>
      </c>
      <c r="E10">
        <f>REVIEW!D10</f>
        <v>0.3115264797507788</v>
      </c>
      <c r="F10">
        <f>CCJ!D10</f>
        <v>27.014925373134329</v>
      </c>
      <c r="G10">
        <f>ALL!D10</f>
        <v>9.5878398129201994</v>
      </c>
      <c r="H10" t="e">
        <f>OBS!D10</f>
        <v>#DIV/0!</v>
      </c>
      <c r="I10">
        <f>SYSREV!D10</f>
        <v>0</v>
      </c>
    </row>
    <row r="11" spans="1:47" x14ac:dyDescent="0.3">
      <c r="A11">
        <f t="shared" si="0"/>
        <v>1999</v>
      </c>
      <c r="B11">
        <f>RCT!D11</f>
        <v>43.243243243243242</v>
      </c>
      <c r="C11">
        <f>CT!D11</f>
        <v>22.330097087378643</v>
      </c>
      <c r="D11">
        <f>META!D11</f>
        <v>0</v>
      </c>
      <c r="E11">
        <f>REVIEW!D11</f>
        <v>0.81300813008130091</v>
      </c>
      <c r="F11">
        <f>CCJ!D11</f>
        <v>24.537607891491987</v>
      </c>
      <c r="G11">
        <f>ALL!D11</f>
        <v>10.352673492605232</v>
      </c>
      <c r="H11" t="e">
        <f>OBS!D11</f>
        <v>#DIV/0!</v>
      </c>
      <c r="I11">
        <f>SYSREV!D11</f>
        <v>0</v>
      </c>
    </row>
    <row r="12" spans="1:47" x14ac:dyDescent="0.3">
      <c r="A12">
        <f t="shared" si="0"/>
        <v>2000</v>
      </c>
      <c r="B12">
        <f>RCT!D12</f>
        <v>46.666666666666664</v>
      </c>
      <c r="C12">
        <f>CT!D12</f>
        <v>25.97402597402597</v>
      </c>
      <c r="D12">
        <f>META!D12</f>
        <v>36.363636363636367</v>
      </c>
      <c r="E12">
        <f>REVIEW!D12</f>
        <v>0.46296296296296291</v>
      </c>
      <c r="F12">
        <f>CCJ!D12</f>
        <v>26.020408163265309</v>
      </c>
      <c r="G12">
        <f>ALL!D12</f>
        <v>9.2355857031046185</v>
      </c>
      <c r="H12" t="e">
        <f>OBS!D12</f>
        <v>#DIV/0!</v>
      </c>
      <c r="I12">
        <f>SYSREV!D12</f>
        <v>0</v>
      </c>
    </row>
    <row r="13" spans="1:47" x14ac:dyDescent="0.3">
      <c r="A13">
        <f t="shared" si="0"/>
        <v>2001</v>
      </c>
      <c r="B13">
        <f>RCT!D13</f>
        <v>52.307692307692314</v>
      </c>
      <c r="C13">
        <f>CT!D13</f>
        <v>30.952380952380953</v>
      </c>
      <c r="D13">
        <f>META!D13</f>
        <v>16.666666666666664</v>
      </c>
      <c r="E13">
        <f>REVIEW!D13</f>
        <v>0.56497175141242939</v>
      </c>
      <c r="F13">
        <f>CCJ!D13</f>
        <v>25.380710659898476</v>
      </c>
      <c r="G13">
        <f>ALL!D13</f>
        <v>9.2367825550298299</v>
      </c>
      <c r="H13" t="e">
        <f>OBS!D13</f>
        <v>#DIV/0!</v>
      </c>
      <c r="I13">
        <f>SYSREV!D13</f>
        <v>18.181818181818183</v>
      </c>
    </row>
    <row r="14" spans="1:47" x14ac:dyDescent="0.3">
      <c r="A14">
        <f t="shared" si="0"/>
        <v>2002</v>
      </c>
      <c r="B14">
        <f>RCT!D14</f>
        <v>45.333333333333329</v>
      </c>
      <c r="C14">
        <f>CT!D14</f>
        <v>12.222222222222221</v>
      </c>
      <c r="D14">
        <f>META!D14</f>
        <v>30.76923076923077</v>
      </c>
      <c r="E14">
        <f>REVIEW!D14</f>
        <v>0</v>
      </c>
      <c r="F14">
        <f>CCJ!D14</f>
        <v>23.586429725363487</v>
      </c>
      <c r="G14">
        <f>ALL!D14</f>
        <v>9.8607038123167143</v>
      </c>
      <c r="H14" t="e">
        <f>OBS!D14</f>
        <v>#DIV/0!</v>
      </c>
      <c r="I14">
        <f>SYSREV!D14</f>
        <v>35.294117647058826</v>
      </c>
    </row>
    <row r="15" spans="1:47" x14ac:dyDescent="0.3">
      <c r="A15">
        <f t="shared" si="0"/>
        <v>2003</v>
      </c>
      <c r="B15">
        <f>RCT!D15</f>
        <v>47.368421052631575</v>
      </c>
      <c r="C15">
        <f>CT!D15</f>
        <v>24.770642201834864</v>
      </c>
      <c r="D15">
        <f>META!D15</f>
        <v>23.52941176470588</v>
      </c>
      <c r="E15">
        <f>REVIEW!D15</f>
        <v>0.32786885245901637</v>
      </c>
      <c r="F15">
        <f>CCJ!D15</f>
        <v>24.693042291950889</v>
      </c>
      <c r="G15">
        <f>ALL!D15</f>
        <v>10.444234404536862</v>
      </c>
      <c r="H15" t="e">
        <f>OBS!D15</f>
        <v>#DIV/0!</v>
      </c>
      <c r="I15">
        <f>SYSREV!D15</f>
        <v>6.666666666666667</v>
      </c>
    </row>
    <row r="16" spans="1:47" x14ac:dyDescent="0.3">
      <c r="A16">
        <f t="shared" si="0"/>
        <v>2004</v>
      </c>
      <c r="B16">
        <f>RCT!D16</f>
        <v>44.375</v>
      </c>
      <c r="C16">
        <f>CT!D16</f>
        <v>28.640776699029125</v>
      </c>
      <c r="D16">
        <f>META!D16</f>
        <v>21.875</v>
      </c>
      <c r="E16">
        <f>REVIEW!D16</f>
        <v>0.75093867334167708</v>
      </c>
      <c r="F16">
        <f>CCJ!D16</f>
        <v>26.819923371647509</v>
      </c>
      <c r="G16">
        <f>ALL!D16</f>
        <v>10.864770748694138</v>
      </c>
      <c r="H16" t="e">
        <f>OBS!D16</f>
        <v>#DIV/0!</v>
      </c>
      <c r="I16">
        <f>SYSREV!D16</f>
        <v>10</v>
      </c>
    </row>
    <row r="17" spans="1:9" x14ac:dyDescent="0.3">
      <c r="A17">
        <f t="shared" si="0"/>
        <v>2005</v>
      </c>
      <c r="B17">
        <f>RCT!D17</f>
        <v>47.179487179487175</v>
      </c>
      <c r="C17">
        <f>CT!D17</f>
        <v>29.230769230769234</v>
      </c>
      <c r="D17">
        <f>META!D17</f>
        <v>22.916666666666664</v>
      </c>
      <c r="E17">
        <f>REVIEW!D17</f>
        <v>0.22346368715083798</v>
      </c>
      <c r="F17">
        <f>CCJ!D17</f>
        <v>27.936507936507937</v>
      </c>
      <c r="G17">
        <f>ALL!D17</f>
        <v>10.452643590718905</v>
      </c>
      <c r="H17" t="e">
        <f>OBS!D17</f>
        <v>#DIV/0!</v>
      </c>
      <c r="I17">
        <f>SYSREV!D17</f>
        <v>12.5</v>
      </c>
    </row>
    <row r="18" spans="1:9" x14ac:dyDescent="0.3">
      <c r="A18">
        <f t="shared" si="0"/>
        <v>2006</v>
      </c>
      <c r="B18">
        <f>RCT!D18</f>
        <v>46.768060836501903</v>
      </c>
      <c r="C18">
        <f>CT!D18</f>
        <v>43.511450381679388</v>
      </c>
      <c r="D18">
        <f>META!D18</f>
        <v>28.125</v>
      </c>
      <c r="E18">
        <f>REVIEW!D18</f>
        <v>0.6531678641410843</v>
      </c>
      <c r="F18">
        <f>CCJ!D18</f>
        <v>27.633587786259543</v>
      </c>
      <c r="G18">
        <f>ALL!D18</f>
        <v>11.300919842312746</v>
      </c>
      <c r="H18">
        <f>OBS!D18</f>
        <v>0</v>
      </c>
      <c r="I18">
        <f>SYSREV!D18</f>
        <v>12.790697674418606</v>
      </c>
    </row>
    <row r="19" spans="1:9" x14ac:dyDescent="0.3">
      <c r="A19">
        <f t="shared" si="0"/>
        <v>2007</v>
      </c>
      <c r="B19">
        <f>RCT!D19</f>
        <v>44.306418219461698</v>
      </c>
      <c r="C19">
        <f>CT!D19</f>
        <v>34.810126582278485</v>
      </c>
      <c r="D19">
        <f>META!D19</f>
        <v>21.276595744680851</v>
      </c>
      <c r="E19">
        <f>REVIEW!D19</f>
        <v>0.52785923753665687</v>
      </c>
      <c r="F19">
        <f>CCJ!D19</f>
        <v>28.90995260663507</v>
      </c>
      <c r="G19">
        <f>ALL!D19</f>
        <v>10.967082396237988</v>
      </c>
      <c r="H19" t="e">
        <f>OBS!D19</f>
        <v>#DIV/0!</v>
      </c>
      <c r="I19">
        <f>SYSREV!D19</f>
        <v>13.684210526315791</v>
      </c>
    </row>
    <row r="20" spans="1:9" x14ac:dyDescent="0.3">
      <c r="A20">
        <f t="shared" si="0"/>
        <v>2008</v>
      </c>
      <c r="B20">
        <f>RCT!D20</f>
        <v>43.873517786561266</v>
      </c>
      <c r="C20">
        <f>CT!D20</f>
        <v>40.109890109890109</v>
      </c>
      <c r="D20">
        <f>META!D20</f>
        <v>28.767123287671232</v>
      </c>
      <c r="E20">
        <f>REVIEW!D20</f>
        <v>0.62230732407850642</v>
      </c>
      <c r="F20">
        <f>CCJ!D20</f>
        <v>31.989424983476539</v>
      </c>
      <c r="G20">
        <f>ALL!D20</f>
        <v>10.403037533030608</v>
      </c>
      <c r="H20" t="e">
        <f>OBS!D20</f>
        <v>#DIV/0!</v>
      </c>
      <c r="I20">
        <f>SYSREV!D20</f>
        <v>13.125</v>
      </c>
    </row>
    <row r="21" spans="1:9" x14ac:dyDescent="0.3">
      <c r="A21">
        <f t="shared" si="0"/>
        <v>2009</v>
      </c>
      <c r="B21">
        <f>RCT!D21</f>
        <v>40.68582020389249</v>
      </c>
      <c r="C21">
        <f>CT!D21</f>
        <v>43.18181818181818</v>
      </c>
      <c r="D21">
        <f>META!D21</f>
        <v>34.597156398104268</v>
      </c>
      <c r="E21">
        <f>REVIEW!D21</f>
        <v>0.39032006245120998</v>
      </c>
      <c r="F21">
        <f>CCJ!D21</f>
        <v>35.425311203319502</v>
      </c>
      <c r="G21">
        <f>ALL!D21</f>
        <v>10.578574799433694</v>
      </c>
      <c r="H21" t="e">
        <f>OBS!D21</f>
        <v>#DIV/0!</v>
      </c>
      <c r="I21">
        <f>SYSREV!D21</f>
        <v>15.315315315315313</v>
      </c>
    </row>
    <row r="22" spans="1:9" x14ac:dyDescent="0.3">
      <c r="A22">
        <f t="shared" si="0"/>
        <v>2010</v>
      </c>
      <c r="B22">
        <f>RCT!D22</f>
        <v>41.164383561643838</v>
      </c>
      <c r="C22">
        <f>CT!D22</f>
        <v>34.254143646408842</v>
      </c>
      <c r="D22">
        <f>META!D22</f>
        <v>30.124223602484474</v>
      </c>
      <c r="E22">
        <f>REVIEW!D22</f>
        <v>0.72426280393171238</v>
      </c>
      <c r="F22">
        <f>CCJ!D22</f>
        <v>37.00144161460836</v>
      </c>
      <c r="G22">
        <f>ALL!D22</f>
        <v>11.44964988329443</v>
      </c>
      <c r="H22" t="e">
        <f>OBS!D22</f>
        <v>#DIV/0!</v>
      </c>
      <c r="I22">
        <f>SYSREV!D22</f>
        <v>16.101694915254235</v>
      </c>
    </row>
    <row r="23" spans="1:9" x14ac:dyDescent="0.3">
      <c r="A23">
        <f t="shared" si="0"/>
        <v>2011</v>
      </c>
      <c r="B23">
        <f>RCT!D23</f>
        <v>39.049485546300829</v>
      </c>
      <c r="C23">
        <f>CT!D23</f>
        <v>37.08086785009862</v>
      </c>
      <c r="D23">
        <f>META!D23</f>
        <v>34.874759152215802</v>
      </c>
      <c r="E23">
        <f>REVIEW!D23</f>
        <v>0.79635949943117168</v>
      </c>
      <c r="F23">
        <f>CCJ!D23</f>
        <v>34.965986394557824</v>
      </c>
      <c r="G23">
        <f>ALL!D23</f>
        <v>12.06462720169514</v>
      </c>
      <c r="H23">
        <f>OBS!D23</f>
        <v>0</v>
      </c>
      <c r="I23">
        <f>SYSREV!D23</f>
        <v>12.621359223300971</v>
      </c>
    </row>
    <row r="24" spans="1:9" x14ac:dyDescent="0.3">
      <c r="A24">
        <f>A22+2</f>
        <v>2012</v>
      </c>
      <c r="B24">
        <f>RCT!D24</f>
        <v>38.877835256665335</v>
      </c>
      <c r="C24">
        <f>CT!D24</f>
        <v>37.341040462427742</v>
      </c>
      <c r="D24">
        <f>META!D24</f>
        <v>33.253012048192772</v>
      </c>
      <c r="E24">
        <f>REVIEW!D24</f>
        <v>0.61016949152542377</v>
      </c>
      <c r="F24">
        <f>CCJ!D24</f>
        <v>31.371753246753247</v>
      </c>
      <c r="G24">
        <f>ALL!D24</f>
        <v>13.160828625235405</v>
      </c>
      <c r="H24">
        <f>OBS!D24</f>
        <v>59.183673469387756</v>
      </c>
      <c r="I24">
        <f>SYSREV!D24</f>
        <v>15.86021505376344</v>
      </c>
    </row>
    <row r="25" spans="1:9" x14ac:dyDescent="0.3">
      <c r="A25">
        <f t="shared" si="0"/>
        <v>2013</v>
      </c>
      <c r="B25">
        <f>RCT!D25</f>
        <v>40.034762456546929</v>
      </c>
      <c r="C25">
        <f>CT!D25</f>
        <v>35.307692307692307</v>
      </c>
      <c r="D25">
        <f>META!D25</f>
        <v>36.714285714285715</v>
      </c>
      <c r="E25">
        <f>REVIEW!D25</f>
        <v>0.77961589655828112</v>
      </c>
      <c r="F25">
        <f>CCJ!D25</f>
        <v>33.971587399629399</v>
      </c>
      <c r="G25">
        <f>ALL!D25</f>
        <v>14.261560571476878</v>
      </c>
      <c r="H25">
        <f>OBS!D25</f>
        <v>49.411764705882355</v>
      </c>
      <c r="I25">
        <f>SYSREV!D25</f>
        <v>17.487266553480477</v>
      </c>
    </row>
    <row r="26" spans="1:9" x14ac:dyDescent="0.3">
      <c r="A26">
        <f t="shared" si="0"/>
        <v>2014</v>
      </c>
      <c r="B26">
        <f>RCT!D26</f>
        <v>41.674528301886795</v>
      </c>
      <c r="C26">
        <f>CT!D26</f>
        <v>37.250859106529212</v>
      </c>
      <c r="D26">
        <f>META!D26</f>
        <v>39.523551705468329</v>
      </c>
      <c r="E26">
        <f>REVIEW!D26</f>
        <v>0.87131764566415748</v>
      </c>
      <c r="F26">
        <f>CCJ!D26</f>
        <v>30.823023130715438</v>
      </c>
      <c r="G26">
        <f>ALL!D26</f>
        <v>14.792685860935121</v>
      </c>
      <c r="H26">
        <f>OBS!D26</f>
        <v>46.038251366120221</v>
      </c>
      <c r="I26">
        <f>SYSREV!D26</f>
        <v>18.967587034813928</v>
      </c>
    </row>
    <row r="27" spans="1:9" x14ac:dyDescent="0.3">
      <c r="A27">
        <f t="shared" si="0"/>
        <v>2015</v>
      </c>
      <c r="B27">
        <f>RCT!D27</f>
        <v>41.744680851063833</v>
      </c>
      <c r="C27">
        <f>CT!D27</f>
        <v>39.121482498284145</v>
      </c>
      <c r="D27">
        <f>META!D27</f>
        <v>39.33946488294314</v>
      </c>
      <c r="E27">
        <f>REVIEW!D27</f>
        <v>1.1093925009333832</v>
      </c>
      <c r="F27">
        <f>CCJ!D27</f>
        <v>33.896396396396398</v>
      </c>
      <c r="G27">
        <f>ALL!D27</f>
        <v>15.229430379746836</v>
      </c>
      <c r="H27">
        <f>OBS!D27</f>
        <v>50.209380234505865</v>
      </c>
      <c r="I27">
        <f>SYSREV!D27</f>
        <v>21.238938053097346</v>
      </c>
    </row>
    <row r="28" spans="1:9" x14ac:dyDescent="0.3">
      <c r="A28">
        <f t="shared" si="0"/>
        <v>2016</v>
      </c>
      <c r="B28">
        <f>RCT!D28</f>
        <v>44.022169437846401</v>
      </c>
      <c r="C28">
        <f>CT!D28</f>
        <v>41.717376605814735</v>
      </c>
      <c r="D28">
        <f>META!D28</f>
        <v>39.719789842381786</v>
      </c>
      <c r="E28">
        <f>REVIEW!D28</f>
        <v>1.2807741568236801</v>
      </c>
      <c r="F28">
        <f>CCJ!D28</f>
        <v>37.188242280285031</v>
      </c>
      <c r="G28">
        <f>ALL!D28</f>
        <v>15.581837016574585</v>
      </c>
      <c r="H28">
        <f>OBS!D28</f>
        <v>51.17647058823529</v>
      </c>
      <c r="I28">
        <f>SYSREV!D28</f>
        <v>21.757164404223229</v>
      </c>
    </row>
    <row r="29" spans="1:9" x14ac:dyDescent="0.3">
      <c r="A29">
        <f t="shared" si="0"/>
        <v>2017</v>
      </c>
      <c r="B29">
        <f>RCT!D29</f>
        <v>43.878854223681813</v>
      </c>
      <c r="C29">
        <f>CT!D29</f>
        <v>41.441441441441441</v>
      </c>
      <c r="D29">
        <f>META!D29</f>
        <v>42.430345753608592</v>
      </c>
      <c r="E29">
        <f>REVIEW!D29</f>
        <v>1.1302995924198496</v>
      </c>
      <c r="F29">
        <f>CCJ!D29</f>
        <v>32.620176032498307</v>
      </c>
      <c r="G29">
        <f>ALL!D29</f>
        <v>15.676047953928791</v>
      </c>
      <c r="H29">
        <f>OBS!D29</f>
        <v>49.15397631133672</v>
      </c>
      <c r="I29">
        <f>SYSREV!D29</f>
        <v>21.602787456445995</v>
      </c>
    </row>
    <row r="30" spans="1:9" x14ac:dyDescent="0.3">
      <c r="A30">
        <f t="shared" si="0"/>
        <v>2018</v>
      </c>
      <c r="B30">
        <f>RCT!D30</f>
        <v>48.906485671191554</v>
      </c>
      <c r="C30">
        <f>CT!D30</f>
        <v>37.946183415705661</v>
      </c>
      <c r="D30">
        <f>META!D30</f>
        <v>43.252476938845234</v>
      </c>
      <c r="E30">
        <f>REVIEW!D30</f>
        <v>1.4444917660420216</v>
      </c>
      <c r="F30">
        <f>CCJ!D30</f>
        <v>30.243490838958536</v>
      </c>
      <c r="G30">
        <f>ALL!D30</f>
        <v>15.783704672489762</v>
      </c>
      <c r="H30">
        <f>OBS!D30</f>
        <v>48.915237134207871</v>
      </c>
      <c r="I30">
        <f>SYSREV!D30</f>
        <v>22.283236994219653</v>
      </c>
    </row>
    <row r="31" spans="1:9" x14ac:dyDescent="0.3">
      <c r="A31">
        <f t="shared" si="0"/>
        <v>2019</v>
      </c>
      <c r="B31">
        <f>RCT!D31</f>
        <v>51.014492753623188</v>
      </c>
      <c r="C31">
        <f>CT!D31</f>
        <v>38.443506797937175</v>
      </c>
      <c r="D31">
        <f>META!D31</f>
        <v>40.738743596656782</v>
      </c>
      <c r="E31">
        <f>REVIEW!D31</f>
        <v>1.4611984282907662</v>
      </c>
      <c r="F31">
        <f>CCJ!D31</f>
        <v>29.623156744948115</v>
      </c>
      <c r="G31">
        <f>ALL!D31</f>
        <v>15.992093748588642</v>
      </c>
      <c r="H31">
        <f>OBS!D31</f>
        <v>47.448165869218499</v>
      </c>
      <c r="I31">
        <f>SYSREV!D31</f>
        <v>24.340011233851339</v>
      </c>
    </row>
    <row r="32" spans="1:9" x14ac:dyDescent="0.3">
      <c r="A32">
        <f t="shared" si="0"/>
        <v>2020</v>
      </c>
      <c r="B32">
        <f>RCT!D32</f>
        <v>51.840796019900495</v>
      </c>
      <c r="C32">
        <f>CT!D32</f>
        <v>39.082855653986456</v>
      </c>
      <c r="D32">
        <f>META!D32</f>
        <v>40.247810296945097</v>
      </c>
      <c r="E32">
        <f>REVIEW!D32</f>
        <v>1.2918139787870546</v>
      </c>
      <c r="F32">
        <f>CCJ!D32</f>
        <v>26.285092153355627</v>
      </c>
      <c r="G32">
        <f>ALL!D32</f>
        <v>15.805443945012101</v>
      </c>
      <c r="H32">
        <f>OBS!D32</f>
        <v>47.228277795079414</v>
      </c>
      <c r="I32">
        <f>SYSREV!D32</f>
        <v>23.447141094199917</v>
      </c>
    </row>
    <row r="33" spans="1:9" x14ac:dyDescent="0.3">
      <c r="A33">
        <f t="shared" si="0"/>
        <v>2021</v>
      </c>
      <c r="B33">
        <f>RCT!D33</f>
        <v>53.277476589452931</v>
      </c>
      <c r="C33">
        <f>CT!D33</f>
        <v>38.511749347258487</v>
      </c>
      <c r="D33">
        <f>META!D33</f>
        <v>38.356164383561641</v>
      </c>
      <c r="E33">
        <f>REVIEW!D33</f>
        <v>1.4474590276821373</v>
      </c>
      <c r="F33">
        <f>CCJ!D33</f>
        <v>28.830586874819314</v>
      </c>
      <c r="G33">
        <f>ALL!D33</f>
        <v>16.530185713545453</v>
      </c>
      <c r="H33">
        <f>OBS!D33</f>
        <v>46.513390601313795</v>
      </c>
      <c r="I33">
        <f>SYSREV!D33</f>
        <v>23.630536130536132</v>
      </c>
    </row>
    <row r="34" spans="1:9" x14ac:dyDescent="0.3">
      <c r="A34">
        <f t="shared" si="0"/>
        <v>2022</v>
      </c>
      <c r="B34">
        <f>RCT!D34</f>
        <v>53.958398013039435</v>
      </c>
      <c r="C34">
        <f>CT!D34</f>
        <v>41.342756183745585</v>
      </c>
      <c r="D34">
        <f>META!D34</f>
        <v>40.999551099805473</v>
      </c>
      <c r="E34">
        <f>REVIEW!D34</f>
        <v>2.0819887962413195</v>
      </c>
      <c r="F34">
        <f>CCJ!D34</f>
        <v>29.848122626916044</v>
      </c>
      <c r="G34">
        <f>ALL!D34</f>
        <v>16.835609553809523</v>
      </c>
      <c r="H34">
        <f>OBS!D34</f>
        <v>47.757296466973884</v>
      </c>
      <c r="I34">
        <f>SYSREV!D34</f>
        <v>24.283963853576353</v>
      </c>
    </row>
    <row r="35" spans="1:9" x14ac:dyDescent="0.3">
      <c r="A35">
        <f t="shared" si="0"/>
        <v>2023</v>
      </c>
      <c r="B35">
        <f>RCT!D35</f>
        <v>54.21656686626747</v>
      </c>
      <c r="C35">
        <f>CT!D35</f>
        <v>44.098205854579788</v>
      </c>
      <c r="D35">
        <f>META!D35</f>
        <v>42.85278878390735</v>
      </c>
      <c r="E35">
        <f>REVIEW!D35</f>
        <v>2.3129155467534304</v>
      </c>
      <c r="F35">
        <f>CCJ!D35</f>
        <v>31.994559564765179</v>
      </c>
      <c r="G35">
        <f>ALL!D35</f>
        <v>16.781338021165624</v>
      </c>
      <c r="H35">
        <f>OBS!D35</f>
        <v>48.072072072072068</v>
      </c>
      <c r="I35">
        <f>SYSREV!D35</f>
        <v>25.399219304471256</v>
      </c>
    </row>
    <row r="36" spans="1:9" x14ac:dyDescent="0.3">
      <c r="A36">
        <f t="shared" si="0"/>
        <v>2024</v>
      </c>
      <c r="B36">
        <f>RCT!D36</f>
        <v>58.101207056638813</v>
      </c>
      <c r="C36">
        <f>CT!D36</f>
        <v>46.136618141097422</v>
      </c>
      <c r="D36">
        <f>META!D36</f>
        <v>43.597291727995291</v>
      </c>
      <c r="E36">
        <f>REVIEW!D36</f>
        <v>2.1722420366498585</v>
      </c>
      <c r="F36">
        <f>CCJ!D36</f>
        <v>34.682826199071684</v>
      </c>
      <c r="G36">
        <f>ALL!D36</f>
        <v>17.559475741942169</v>
      </c>
      <c r="H36">
        <f>OBS!D36</f>
        <v>49.043097151205259</v>
      </c>
      <c r="I36">
        <f>SYSREV!D36</f>
        <v>26.486486486486488</v>
      </c>
    </row>
    <row r="37" spans="1:9" x14ac:dyDescent="0.3">
      <c r="A37">
        <v>2025</v>
      </c>
      <c r="B37">
        <f>RCT!D37</f>
        <v>57.904308897593737</v>
      </c>
      <c r="C37">
        <f>CT!D37</f>
        <v>51.330203442879494</v>
      </c>
      <c r="D37">
        <f>META!D37</f>
        <v>43.211311253147393</v>
      </c>
      <c r="E37">
        <f>REVIEW!D37</f>
        <v>2.3218418808624679</v>
      </c>
      <c r="F37">
        <f>CCJ!D37</f>
        <v>34.720951509606586</v>
      </c>
      <c r="G37">
        <f>ALL!D37</f>
        <v>19.461083093249805</v>
      </c>
      <c r="H37">
        <f>OBS!D37</f>
        <v>50.410116199589879</v>
      </c>
      <c r="I37">
        <f>SYSREV!D37</f>
        <v>25.981253661394259</v>
      </c>
    </row>
    <row r="38" spans="1:9" x14ac:dyDescent="0.3">
      <c r="A38" t="s">
        <v>8</v>
      </c>
    </row>
    <row r="39" spans="1:9" x14ac:dyDescent="0.3">
      <c r="A39" t="s">
        <v>6</v>
      </c>
    </row>
    <row r="40" spans="1:9" x14ac:dyDescent="0.3">
      <c r="A40" t="s">
        <v>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D7C73-130E-4CAC-8AA2-6A6DAB0B6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RCT</vt:lpstr>
      <vt:lpstr>CT</vt:lpstr>
      <vt:lpstr>META</vt:lpstr>
      <vt:lpstr>REVIEW</vt:lpstr>
      <vt:lpstr>CCJ</vt:lpstr>
      <vt:lpstr>ALL</vt:lpstr>
      <vt:lpstr>OBS</vt:lpstr>
      <vt:lpstr>SYSREV</vt:lpstr>
      <vt:lpstr>aggregate</vt:lpstr>
      <vt:lpstr>Sheet1</vt:lpstr>
      <vt:lpstr>NEWagg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2025-09-20T09:37:29Z</dcterms:created>
  <dcterms:modified xsi:type="dcterms:W3CDTF">2025-12-10T08:43:18Z</dcterms:modified>
</cp:coreProperties>
</file>