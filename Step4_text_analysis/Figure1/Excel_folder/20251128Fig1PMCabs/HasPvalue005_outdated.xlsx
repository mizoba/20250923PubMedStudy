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4\Documents\카카오톡 받은 파일\20250923\20251128Fig1PMCabs\"/>
    </mc:Choice>
  </mc:AlternateContent>
  <xr:revisionPtr revIDLastSave="0" documentId="13_ncr:1_{0C57D8BD-9375-457D-83CC-A0BB32B2DD1D}" xr6:coauthVersionLast="47" xr6:coauthVersionMax="47" xr10:uidLastSave="{00000000-0000-0000-0000-000000000000}"/>
  <bookViews>
    <workbookView xWindow="-120" yWindow="-120" windowWidth="29040" windowHeight="15720" activeTab="9" xr2:uid="{DF799AEA-2700-0847-986A-8EA80B3DCF15}"/>
  </bookViews>
  <sheets>
    <sheet name="RCT" sheetId="1" r:id="rId1"/>
    <sheet name="CT" sheetId="2" r:id="rId2"/>
    <sheet name="META" sheetId="3" r:id="rId3"/>
    <sheet name="REVIEW" sheetId="4" r:id="rId4"/>
    <sheet name="CCJ" sheetId="5" r:id="rId5"/>
    <sheet name="ALL" sheetId="6" r:id="rId6"/>
    <sheet name="OBS" sheetId="9" r:id="rId7"/>
    <sheet name="SYSREV" sheetId="10" r:id="rId8"/>
    <sheet name="aggregate" sheetId="8" r:id="rId9"/>
    <sheet name="Sheet1" sheetId="7" r:id="rId10"/>
    <sheet name="NEWagg" sheetId="11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0" l="1"/>
  <c r="C4" i="10"/>
  <c r="C5" i="10"/>
  <c r="C6" i="10"/>
  <c r="C7" i="10"/>
  <c r="C8" i="10"/>
  <c r="C9" i="10"/>
  <c r="C10" i="10"/>
  <c r="C11" i="10"/>
  <c r="C12" i="10"/>
  <c r="C13" i="10"/>
  <c r="C14" i="10"/>
  <c r="C15" i="10"/>
  <c r="D15" i="10" s="1"/>
  <c r="I15" i="11" s="1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D33" i="10" s="1"/>
  <c r="I33" i="11" s="1"/>
  <c r="C34" i="10"/>
  <c r="C35" i="10"/>
  <c r="C36" i="10"/>
  <c r="C37" i="10"/>
  <c r="C38" i="10"/>
  <c r="C39" i="10"/>
  <c r="C40" i="10"/>
  <c r="C1" i="10"/>
  <c r="C2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D30" i="10" s="1"/>
  <c r="I30" i="11" s="1"/>
  <c r="B31" i="10"/>
  <c r="B32" i="10"/>
  <c r="B33" i="10"/>
  <c r="B34" i="10"/>
  <c r="B35" i="10"/>
  <c r="B36" i="10"/>
  <c r="B37" i="10"/>
  <c r="B38" i="10"/>
  <c r="B39" i="10"/>
  <c r="B40" i="10"/>
  <c r="B1" i="10"/>
  <c r="C2" i="9"/>
  <c r="C3" i="9"/>
  <c r="C4" i="9"/>
  <c r="D4" i="9" s="1"/>
  <c r="H4" i="11" s="1"/>
  <c r="C5" i="9"/>
  <c r="C6" i="9"/>
  <c r="C7" i="9"/>
  <c r="C8" i="9"/>
  <c r="C9" i="9"/>
  <c r="C10" i="9"/>
  <c r="C11" i="9"/>
  <c r="C12" i="9"/>
  <c r="D12" i="9" s="1"/>
  <c r="H12" i="11" s="1"/>
  <c r="C13" i="9"/>
  <c r="C14" i="9"/>
  <c r="C15" i="9"/>
  <c r="C16" i="9"/>
  <c r="C17" i="9"/>
  <c r="C18" i="9"/>
  <c r="C19" i="9"/>
  <c r="C20" i="9"/>
  <c r="D20" i="9" s="1"/>
  <c r="H20" i="11" s="1"/>
  <c r="C21" i="9"/>
  <c r="C22" i="9"/>
  <c r="C23" i="9"/>
  <c r="C24" i="9"/>
  <c r="C25" i="9"/>
  <c r="C26" i="9"/>
  <c r="C27" i="9"/>
  <c r="C28" i="9"/>
  <c r="D28" i="9" s="1"/>
  <c r="H28" i="11" s="1"/>
  <c r="C29" i="9"/>
  <c r="C30" i="9"/>
  <c r="C31" i="9"/>
  <c r="C32" i="9"/>
  <c r="C33" i="9"/>
  <c r="C34" i="9"/>
  <c r="C35" i="9"/>
  <c r="C36" i="9"/>
  <c r="C37" i="9"/>
  <c r="C38" i="9"/>
  <c r="C39" i="9"/>
  <c r="C40" i="9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C1" i="9"/>
  <c r="B1" i="9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C1" i="6"/>
  <c r="B1" i="6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C1" i="5"/>
  <c r="B1" i="5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C1" i="4"/>
  <c r="B1" i="4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C1" i="3"/>
  <c r="B1" i="3"/>
  <c r="C1" i="1"/>
  <c r="B1" i="1"/>
  <c r="C1" i="2"/>
  <c r="B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C2" i="2"/>
  <c r="B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C2" i="1"/>
  <c r="B2" i="1"/>
  <c r="A6" i="11"/>
  <c r="A8" i="11" s="1"/>
  <c r="A10" i="11" s="1"/>
  <c r="A12" i="11" s="1"/>
  <c r="A14" i="11" s="1"/>
  <c r="A16" i="11" s="1"/>
  <c r="A18" i="11" s="1"/>
  <c r="A20" i="11" s="1"/>
  <c r="A22" i="11" s="1"/>
  <c r="A24" i="11" s="1"/>
  <c r="A26" i="11" s="1"/>
  <c r="A28" i="11" s="1"/>
  <c r="A30" i="11" s="1"/>
  <c r="A32" i="11" s="1"/>
  <c r="A34" i="11" s="1"/>
  <c r="A36" i="11" s="1"/>
  <c r="A5" i="11"/>
  <c r="A7" i="11" s="1"/>
  <c r="A9" i="11" s="1"/>
  <c r="A11" i="11" s="1"/>
  <c r="A13" i="11" s="1"/>
  <c r="A15" i="11" s="1"/>
  <c r="A17" i="11" s="1"/>
  <c r="A19" i="11" s="1"/>
  <c r="A21" i="11" s="1"/>
  <c r="A23" i="11" s="1"/>
  <c r="A25" i="11" s="1"/>
  <c r="A27" i="11" s="1"/>
  <c r="A29" i="11" s="1"/>
  <c r="A31" i="11" s="1"/>
  <c r="A33" i="11" s="1"/>
  <c r="A35" i="11" s="1"/>
  <c r="A4" i="11"/>
  <c r="D5" i="10"/>
  <c r="I5" i="11" s="1"/>
  <c r="D13" i="10"/>
  <c r="I13" i="11" s="1"/>
  <c r="D21" i="10"/>
  <c r="I21" i="11" s="1"/>
  <c r="D29" i="10"/>
  <c r="I29" i="11" s="1"/>
  <c r="D37" i="10"/>
  <c r="I37" i="11" s="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D36" i="9"/>
  <c r="H36" i="11" s="1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" i="9"/>
  <c r="D2" i="9"/>
  <c r="H2" i="11" s="1"/>
  <c r="D31" i="10" l="1"/>
  <c r="I31" i="11" s="1"/>
  <c r="D23" i="10"/>
  <c r="I23" i="11" s="1"/>
  <c r="D7" i="10"/>
  <c r="I7" i="11" s="1"/>
  <c r="D14" i="10"/>
  <c r="I14" i="11" s="1"/>
  <c r="D6" i="10"/>
  <c r="I6" i="11" s="1"/>
  <c r="D17" i="10"/>
  <c r="I17" i="11" s="1"/>
  <c r="D22" i="10"/>
  <c r="I22" i="11" s="1"/>
  <c r="D25" i="10"/>
  <c r="I25" i="11" s="1"/>
  <c r="D9" i="10"/>
  <c r="I9" i="11" s="1"/>
  <c r="D40" i="10"/>
  <c r="D39" i="10"/>
  <c r="D33" i="9"/>
  <c r="H33" i="11" s="1"/>
  <c r="D9" i="9"/>
  <c r="H9" i="11" s="1"/>
  <c r="D40" i="9"/>
  <c r="D8" i="9"/>
  <c r="H8" i="11" s="1"/>
  <c r="D32" i="9"/>
  <c r="H32" i="11" s="1"/>
  <c r="D38" i="9"/>
  <c r="D17" i="9"/>
  <c r="H17" i="11" s="1"/>
  <c r="D16" i="9"/>
  <c r="H16" i="11" s="1"/>
  <c r="D25" i="9"/>
  <c r="H25" i="11" s="1"/>
  <c r="D24" i="9"/>
  <c r="H24" i="11" s="1"/>
  <c r="D35" i="9"/>
  <c r="H35" i="11" s="1"/>
  <c r="D27" i="9"/>
  <c r="H27" i="11" s="1"/>
  <c r="D19" i="9"/>
  <c r="H19" i="11" s="1"/>
  <c r="D11" i="9"/>
  <c r="H11" i="11" s="1"/>
  <c r="D3" i="9"/>
  <c r="H3" i="11" s="1"/>
  <c r="D30" i="9"/>
  <c r="H30" i="11" s="1"/>
  <c r="D22" i="9"/>
  <c r="H22" i="11" s="1"/>
  <c r="D14" i="9"/>
  <c r="H14" i="11" s="1"/>
  <c r="D6" i="9"/>
  <c r="H6" i="11" s="1"/>
  <c r="D34" i="9"/>
  <c r="H34" i="11" s="1"/>
  <c r="D26" i="9"/>
  <c r="H26" i="11" s="1"/>
  <c r="D18" i="9"/>
  <c r="H18" i="11" s="1"/>
  <c r="D10" i="9"/>
  <c r="H10" i="11" s="1"/>
  <c r="D37" i="9"/>
  <c r="H37" i="11" s="1"/>
  <c r="D29" i="9"/>
  <c r="H29" i="11" s="1"/>
  <c r="D21" i="9"/>
  <c r="H21" i="11" s="1"/>
  <c r="D13" i="9"/>
  <c r="H13" i="11" s="1"/>
  <c r="D5" i="9"/>
  <c r="H5" i="11" s="1"/>
  <c r="D32" i="10"/>
  <c r="I32" i="11" s="1"/>
  <c r="D24" i="10"/>
  <c r="I24" i="11" s="1"/>
  <c r="D16" i="10"/>
  <c r="I16" i="11" s="1"/>
  <c r="D8" i="10"/>
  <c r="I8" i="11" s="1"/>
  <c r="D36" i="10"/>
  <c r="I36" i="11" s="1"/>
  <c r="D28" i="10"/>
  <c r="I28" i="11" s="1"/>
  <c r="D20" i="10"/>
  <c r="I20" i="11" s="1"/>
  <c r="D12" i="10"/>
  <c r="I12" i="11" s="1"/>
  <c r="D4" i="10"/>
  <c r="I4" i="11" s="1"/>
  <c r="D35" i="10"/>
  <c r="I35" i="11" s="1"/>
  <c r="D27" i="10"/>
  <c r="I27" i="11" s="1"/>
  <c r="D19" i="10"/>
  <c r="I19" i="11" s="1"/>
  <c r="D11" i="10"/>
  <c r="I11" i="11" s="1"/>
  <c r="D3" i="10"/>
  <c r="I3" i="11" s="1"/>
  <c r="D39" i="9"/>
  <c r="D38" i="10"/>
  <c r="D31" i="9"/>
  <c r="H31" i="11" s="1"/>
  <c r="D23" i="9"/>
  <c r="H23" i="11" s="1"/>
  <c r="D15" i="9"/>
  <c r="H15" i="11" s="1"/>
  <c r="D7" i="9"/>
  <c r="H7" i="11" s="1"/>
  <c r="D34" i="10"/>
  <c r="I34" i="11" s="1"/>
  <c r="D26" i="10"/>
  <c r="I26" i="11" s="1"/>
  <c r="D18" i="10"/>
  <c r="I18" i="11" s="1"/>
  <c r="D10" i="10"/>
  <c r="I10" i="11" s="1"/>
  <c r="D2" i="10"/>
  <c r="I2" i="11" s="1"/>
  <c r="D14" i="6"/>
  <c r="G14" i="11" s="1"/>
  <c r="G38" i="8"/>
  <c r="F38" i="8"/>
  <c r="E38" i="8"/>
  <c r="B38" i="8"/>
  <c r="D38" i="8"/>
  <c r="C38" i="8"/>
  <c r="A7" i="8"/>
  <c r="A9" i="8" s="1"/>
  <c r="A11" i="8" s="1"/>
  <c r="A13" i="8" s="1"/>
  <c r="A15" i="8" s="1"/>
  <c r="A17" i="8" s="1"/>
  <c r="A19" i="8" s="1"/>
  <c r="A21" i="8" s="1"/>
  <c r="A23" i="8" s="1"/>
  <c r="A25" i="8" s="1"/>
  <c r="A27" i="8" s="1"/>
  <c r="A29" i="8" s="1"/>
  <c r="A31" i="8" s="1"/>
  <c r="A33" i="8" s="1"/>
  <c r="A35" i="8" s="1"/>
  <c r="A6" i="8"/>
  <c r="A8" i="8" s="1"/>
  <c r="A10" i="8" s="1"/>
  <c r="A12" i="8" s="1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5" i="8"/>
  <c r="A4" i="8"/>
  <c r="A5" i="6"/>
  <c r="A7" i="6" s="1"/>
  <c r="A9" i="6" s="1"/>
  <c r="A11" i="6" s="1"/>
  <c r="A13" i="6" s="1"/>
  <c r="A15" i="6" s="1"/>
  <c r="A17" i="6" s="1"/>
  <c r="A19" i="6" s="1"/>
  <c r="A21" i="6" s="1"/>
  <c r="A23" i="6" s="1"/>
  <c r="A25" i="6" s="1"/>
  <c r="A27" i="6" s="1"/>
  <c r="A29" i="6" s="1"/>
  <c r="A31" i="6" s="1"/>
  <c r="A33" i="6" s="1"/>
  <c r="A35" i="6" s="1"/>
  <c r="A4" i="6"/>
  <c r="A6" i="6" s="1"/>
  <c r="A8" i="6" s="1"/>
  <c r="A10" i="6" s="1"/>
  <c r="A12" i="6" s="1"/>
  <c r="A14" i="6" s="1"/>
  <c r="A16" i="6" s="1"/>
  <c r="A18" i="6" s="1"/>
  <c r="A20" i="6" s="1"/>
  <c r="A22" i="6" s="1"/>
  <c r="A24" i="6" s="1"/>
  <c r="A26" i="6" s="1"/>
  <c r="A28" i="6" s="1"/>
  <c r="A30" i="6" s="1"/>
  <c r="A32" i="6" s="1"/>
  <c r="A34" i="6" s="1"/>
  <c r="A36" i="6" s="1"/>
  <c r="A5" i="5"/>
  <c r="A7" i="5" s="1"/>
  <c r="A9" i="5" s="1"/>
  <c r="A11" i="5" s="1"/>
  <c r="A13" i="5" s="1"/>
  <c r="A15" i="5" s="1"/>
  <c r="A17" i="5" s="1"/>
  <c r="A19" i="5" s="1"/>
  <c r="A21" i="5" s="1"/>
  <c r="A23" i="5" s="1"/>
  <c r="A25" i="5" s="1"/>
  <c r="A27" i="5" s="1"/>
  <c r="A29" i="5" s="1"/>
  <c r="A31" i="5" s="1"/>
  <c r="A33" i="5" s="1"/>
  <c r="A35" i="5" s="1"/>
  <c r="A4" i="5"/>
  <c r="A6" i="5" s="1"/>
  <c r="A8" i="5" s="1"/>
  <c r="A10" i="5" s="1"/>
  <c r="A12" i="5" s="1"/>
  <c r="A14" i="5" s="1"/>
  <c r="A16" i="5" s="1"/>
  <c r="A18" i="5" s="1"/>
  <c r="A20" i="5" s="1"/>
  <c r="A22" i="5" s="1"/>
  <c r="A24" i="5" s="1"/>
  <c r="A26" i="5" s="1"/>
  <c r="A28" i="5" s="1"/>
  <c r="A30" i="5" s="1"/>
  <c r="A32" i="5" s="1"/>
  <c r="A34" i="5" s="1"/>
  <c r="A36" i="5" s="1"/>
  <c r="A5" i="4"/>
  <c r="A7" i="4" s="1"/>
  <c r="A9" i="4" s="1"/>
  <c r="A11" i="4" s="1"/>
  <c r="A13" i="4" s="1"/>
  <c r="A15" i="4" s="1"/>
  <c r="A17" i="4" s="1"/>
  <c r="A19" i="4" s="1"/>
  <c r="A21" i="4" s="1"/>
  <c r="A23" i="4" s="1"/>
  <c r="A25" i="4" s="1"/>
  <c r="A27" i="4" s="1"/>
  <c r="A29" i="4" s="1"/>
  <c r="A31" i="4" s="1"/>
  <c r="A33" i="4" s="1"/>
  <c r="A35" i="4" s="1"/>
  <c r="A4" i="4"/>
  <c r="A6" i="4" s="1"/>
  <c r="A8" i="4" s="1"/>
  <c r="A10" i="4" s="1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5" i="3"/>
  <c r="A7" i="3" s="1"/>
  <c r="A9" i="3" s="1"/>
  <c r="A11" i="3" s="1"/>
  <c r="A13" i="3" s="1"/>
  <c r="A15" i="3" s="1"/>
  <c r="A17" i="3" s="1"/>
  <c r="A19" i="3" s="1"/>
  <c r="A21" i="3" s="1"/>
  <c r="A23" i="3" s="1"/>
  <c r="A25" i="3" s="1"/>
  <c r="A27" i="3" s="1"/>
  <c r="A29" i="3" s="1"/>
  <c r="A31" i="3" s="1"/>
  <c r="A33" i="3" s="1"/>
  <c r="A35" i="3" s="1"/>
  <c r="A4" i="3"/>
  <c r="A6" i="3" s="1"/>
  <c r="A8" i="3" s="1"/>
  <c r="A10" i="3" s="1"/>
  <c r="A12" i="3" s="1"/>
  <c r="A14" i="3" s="1"/>
  <c r="A16" i="3" s="1"/>
  <c r="A18" i="3" s="1"/>
  <c r="A20" i="3" s="1"/>
  <c r="A22" i="3" s="1"/>
  <c r="A24" i="3" s="1"/>
  <c r="A26" i="3" s="1"/>
  <c r="A28" i="3" s="1"/>
  <c r="A30" i="3" s="1"/>
  <c r="A32" i="3" s="1"/>
  <c r="A34" i="3" s="1"/>
  <c r="A36" i="3" s="1"/>
  <c r="A5" i="2"/>
  <c r="A7" i="2" s="1"/>
  <c r="A9" i="2" s="1"/>
  <c r="A11" i="2" s="1"/>
  <c r="A13" i="2" s="1"/>
  <c r="A15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4" i="2"/>
  <c r="A6" i="2" s="1"/>
  <c r="A8" i="2" s="1"/>
  <c r="A10" i="2" s="1"/>
  <c r="A12" i="2" s="1"/>
  <c r="A14" i="2" s="1"/>
  <c r="A16" i="2" s="1"/>
  <c r="A18" i="2" s="1"/>
  <c r="A20" i="2" s="1"/>
  <c r="A22" i="2" s="1"/>
  <c r="A24" i="2" s="1"/>
  <c r="A26" i="2" s="1"/>
  <c r="A28" i="2" s="1"/>
  <c r="A30" i="2" s="1"/>
  <c r="A32" i="2" s="1"/>
  <c r="A34" i="2" s="1"/>
  <c r="A36" i="2" s="1"/>
  <c r="A5" i="1"/>
  <c r="A7" i="1" s="1"/>
  <c r="A9" i="1" s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4" i="1"/>
  <c r="A6" i="1" s="1"/>
  <c r="A8" i="1" s="1"/>
  <c r="A10" i="1" s="1"/>
  <c r="A12" i="1" s="1"/>
  <c r="A14" i="1" s="1"/>
  <c r="A16" i="1" s="1"/>
  <c r="A18" i="1" s="1"/>
  <c r="A20" i="1" s="1"/>
  <c r="A22" i="1" s="1"/>
  <c r="A24" i="1" s="1"/>
  <c r="A26" i="1" s="1"/>
  <c r="A28" i="1" s="1"/>
  <c r="A30" i="1" s="1"/>
  <c r="A32" i="1" s="1"/>
  <c r="A34" i="1" s="1"/>
  <c r="A36" i="1" s="1"/>
  <c r="D8" i="6" l="1"/>
  <c r="G8" i="11" s="1"/>
  <c r="D7" i="6"/>
  <c r="G7" i="11" s="1"/>
  <c r="D13" i="6"/>
  <c r="G13" i="11" s="1"/>
  <c r="G8" i="8"/>
  <c r="G7" i="8"/>
  <c r="G14" i="8"/>
  <c r="G13" i="8"/>
  <c r="D11" i="6"/>
  <c r="G11" i="11" s="1"/>
  <c r="D3" i="6"/>
  <c r="G3" i="11" s="1"/>
  <c r="D10" i="6"/>
  <c r="G10" i="11" s="1"/>
  <c r="D12" i="6"/>
  <c r="G12" i="11" s="1"/>
  <c r="D9" i="6"/>
  <c r="G9" i="11" s="1"/>
  <c r="D15" i="6"/>
  <c r="G15" i="11" s="1"/>
  <c r="D16" i="6"/>
  <c r="G16" i="11" s="1"/>
  <c r="D17" i="6"/>
  <c r="G17" i="11" s="1"/>
  <c r="D18" i="6"/>
  <c r="G18" i="11" s="1"/>
  <c r="D2" i="6"/>
  <c r="G2" i="11" s="1"/>
  <c r="D2" i="5"/>
  <c r="F2" i="11" s="1"/>
  <c r="D35" i="4"/>
  <c r="E35" i="11" s="1"/>
  <c r="D30" i="6"/>
  <c r="G30" i="11" s="1"/>
  <c r="D31" i="6"/>
  <c r="G31" i="11" s="1"/>
  <c r="D32" i="6"/>
  <c r="G32" i="11" s="1"/>
  <c r="D33" i="6"/>
  <c r="G33" i="11" s="1"/>
  <c r="D34" i="6"/>
  <c r="G34" i="11" s="1"/>
  <c r="D35" i="6"/>
  <c r="G35" i="11" s="1"/>
  <c r="D36" i="6"/>
  <c r="G36" i="11" s="1"/>
  <c r="D37" i="6"/>
  <c r="G37" i="11" s="1"/>
  <c r="D36" i="4"/>
  <c r="E36" i="11" s="1"/>
  <c r="D19" i="6"/>
  <c r="G19" i="11" s="1"/>
  <c r="D21" i="6"/>
  <c r="G21" i="11" s="1"/>
  <c r="D22" i="6"/>
  <c r="G22" i="11" s="1"/>
  <c r="D20" i="6"/>
  <c r="G20" i="11" s="1"/>
  <c r="D23" i="6"/>
  <c r="G23" i="11" s="1"/>
  <c r="D24" i="6"/>
  <c r="G24" i="11" s="1"/>
  <c r="D25" i="6"/>
  <c r="G25" i="11" s="1"/>
  <c r="D26" i="6"/>
  <c r="G26" i="11" s="1"/>
  <c r="D27" i="6"/>
  <c r="G27" i="11" s="1"/>
  <c r="D6" i="3"/>
  <c r="D6" i="11" s="1"/>
  <c r="D8" i="3"/>
  <c r="D8" i="11" s="1"/>
  <c r="D13" i="3"/>
  <c r="D13" i="11" s="1"/>
  <c r="D17" i="3"/>
  <c r="D17" i="11" s="1"/>
  <c r="D22" i="3"/>
  <c r="D22" i="11" s="1"/>
  <c r="D3" i="3"/>
  <c r="D3" i="11" s="1"/>
  <c r="D9" i="3"/>
  <c r="D9" i="11" s="1"/>
  <c r="D10" i="3"/>
  <c r="D10" i="11" s="1"/>
  <c r="D18" i="3"/>
  <c r="D18" i="11" s="1"/>
  <c r="D24" i="3"/>
  <c r="D24" i="11" s="1"/>
  <c r="D5" i="3"/>
  <c r="D5" i="11" s="1"/>
  <c r="D12" i="3"/>
  <c r="D12" i="11" s="1"/>
  <c r="D16" i="3"/>
  <c r="D16" i="11" s="1"/>
  <c r="D21" i="3"/>
  <c r="D21" i="11" s="1"/>
  <c r="D25" i="3"/>
  <c r="D25" i="11" s="1"/>
  <c r="D4" i="3"/>
  <c r="D4" i="11" s="1"/>
  <c r="D15" i="3"/>
  <c r="D15" i="11" s="1"/>
  <c r="D19" i="3"/>
  <c r="D19" i="11" s="1"/>
  <c r="D23" i="3"/>
  <c r="D23" i="11" s="1"/>
  <c r="D11" i="3"/>
  <c r="D11" i="11" s="1"/>
  <c r="D7" i="3"/>
  <c r="D7" i="11" s="1"/>
  <c r="D14" i="3"/>
  <c r="D14" i="11" s="1"/>
  <c r="D20" i="3"/>
  <c r="D20" i="11" s="1"/>
  <c r="D4" i="6"/>
  <c r="G4" i="11" s="1"/>
  <c r="D5" i="6"/>
  <c r="G5" i="11" s="1"/>
  <c r="D6" i="6"/>
  <c r="G6" i="11" s="1"/>
  <c r="D28" i="6"/>
  <c r="G28" i="11" s="1"/>
  <c r="D29" i="6"/>
  <c r="G29" i="11" s="1"/>
  <c r="D6" i="4"/>
  <c r="E6" i="11" s="1"/>
  <c r="D10" i="4"/>
  <c r="E10" i="11" s="1"/>
  <c r="D13" i="4"/>
  <c r="E13" i="11" s="1"/>
  <c r="D17" i="4"/>
  <c r="E17" i="11" s="1"/>
  <c r="D20" i="4"/>
  <c r="E20" i="11" s="1"/>
  <c r="D23" i="4"/>
  <c r="E23" i="11" s="1"/>
  <c r="D26" i="4"/>
  <c r="E26" i="11" s="1"/>
  <c r="D29" i="4"/>
  <c r="E29" i="11" s="1"/>
  <c r="D32" i="4"/>
  <c r="E32" i="11" s="1"/>
  <c r="D7" i="4"/>
  <c r="E7" i="11" s="1"/>
  <c r="D11" i="4"/>
  <c r="E11" i="11" s="1"/>
  <c r="D14" i="4"/>
  <c r="E14" i="11" s="1"/>
  <c r="D18" i="4"/>
  <c r="E18" i="11" s="1"/>
  <c r="D21" i="4"/>
  <c r="E21" i="11" s="1"/>
  <c r="D24" i="4"/>
  <c r="E24" i="11" s="1"/>
  <c r="D27" i="4"/>
  <c r="E27" i="11" s="1"/>
  <c r="D30" i="4"/>
  <c r="E30" i="11" s="1"/>
  <c r="D33" i="4"/>
  <c r="E33" i="11" s="1"/>
  <c r="D3" i="4"/>
  <c r="E3" i="11" s="1"/>
  <c r="D4" i="4"/>
  <c r="E4" i="11" s="1"/>
  <c r="D5" i="4"/>
  <c r="E5" i="11" s="1"/>
  <c r="D8" i="4"/>
  <c r="E8" i="11" s="1"/>
  <c r="D9" i="4"/>
  <c r="E9" i="11" s="1"/>
  <c r="D12" i="4"/>
  <c r="E12" i="11" s="1"/>
  <c r="D15" i="4"/>
  <c r="E15" i="11" s="1"/>
  <c r="D16" i="4"/>
  <c r="E16" i="11" s="1"/>
  <c r="D19" i="4"/>
  <c r="E19" i="11" s="1"/>
  <c r="D22" i="4"/>
  <c r="E22" i="11" s="1"/>
  <c r="D25" i="4"/>
  <c r="E25" i="11" s="1"/>
  <c r="D28" i="4"/>
  <c r="E28" i="11" s="1"/>
  <c r="D31" i="4"/>
  <c r="E31" i="11" s="1"/>
  <c r="D34" i="4"/>
  <c r="E34" i="11" s="1"/>
  <c r="D2" i="4"/>
  <c r="E2" i="11" s="1"/>
  <c r="D30" i="3"/>
  <c r="D30" i="11" s="1"/>
  <c r="D31" i="3"/>
  <c r="D31" i="11" s="1"/>
  <c r="D32" i="3"/>
  <c r="D32" i="11" s="1"/>
  <c r="D33" i="3"/>
  <c r="D33" i="11" s="1"/>
  <c r="D34" i="3"/>
  <c r="D34" i="11" s="1"/>
  <c r="D35" i="3"/>
  <c r="D35" i="11" s="1"/>
  <c r="D36" i="3"/>
  <c r="D36" i="11" s="1"/>
  <c r="D3" i="5"/>
  <c r="F3" i="11" s="1"/>
  <c r="D4" i="5"/>
  <c r="F4" i="11" s="1"/>
  <c r="D5" i="5"/>
  <c r="F5" i="11" s="1"/>
  <c r="D6" i="5"/>
  <c r="F6" i="11" s="1"/>
  <c r="D7" i="5"/>
  <c r="F7" i="11" s="1"/>
  <c r="D8" i="5"/>
  <c r="F8" i="11" s="1"/>
  <c r="D9" i="5"/>
  <c r="F9" i="11" s="1"/>
  <c r="D10" i="5"/>
  <c r="F10" i="11" s="1"/>
  <c r="D11" i="5"/>
  <c r="F11" i="11" s="1"/>
  <c r="D12" i="5"/>
  <c r="F12" i="11" s="1"/>
  <c r="D13" i="5"/>
  <c r="F13" i="11" s="1"/>
  <c r="D14" i="5"/>
  <c r="F14" i="11" s="1"/>
  <c r="D15" i="5"/>
  <c r="F15" i="11" s="1"/>
  <c r="D16" i="5"/>
  <c r="F16" i="11" s="1"/>
  <c r="D17" i="5"/>
  <c r="F17" i="11" s="1"/>
  <c r="D18" i="5"/>
  <c r="F18" i="11" s="1"/>
  <c r="D19" i="5"/>
  <c r="F19" i="11" s="1"/>
  <c r="D20" i="5"/>
  <c r="F20" i="11" s="1"/>
  <c r="D21" i="5"/>
  <c r="F21" i="11" s="1"/>
  <c r="D22" i="5"/>
  <c r="F22" i="11" s="1"/>
  <c r="D23" i="5"/>
  <c r="F23" i="11" s="1"/>
  <c r="D24" i="5"/>
  <c r="F24" i="11" s="1"/>
  <c r="D25" i="5"/>
  <c r="F25" i="11" s="1"/>
  <c r="D26" i="5"/>
  <c r="F26" i="11" s="1"/>
  <c r="D37" i="4"/>
  <c r="E37" i="11" s="1"/>
  <c r="D26" i="3"/>
  <c r="D26" i="11" s="1"/>
  <c r="D27" i="3"/>
  <c r="D27" i="11" s="1"/>
  <c r="D28" i="3"/>
  <c r="D28" i="11" s="1"/>
  <c r="D29" i="3"/>
  <c r="D29" i="11" s="1"/>
  <c r="D27" i="5"/>
  <c r="F27" i="11" s="1"/>
  <c r="D28" i="5"/>
  <c r="F28" i="11" s="1"/>
  <c r="D29" i="5"/>
  <c r="F29" i="11" s="1"/>
  <c r="D30" i="5"/>
  <c r="F30" i="11" s="1"/>
  <c r="D31" i="5"/>
  <c r="F31" i="11" s="1"/>
  <c r="D32" i="5"/>
  <c r="F32" i="11" s="1"/>
  <c r="D33" i="5"/>
  <c r="F33" i="11" s="1"/>
  <c r="D34" i="5"/>
  <c r="F34" i="11" s="1"/>
  <c r="D35" i="5"/>
  <c r="F35" i="11" s="1"/>
  <c r="D36" i="5"/>
  <c r="F36" i="11" s="1"/>
  <c r="D37" i="5"/>
  <c r="F37" i="11" s="1"/>
  <c r="D37" i="3"/>
  <c r="D37" i="11" s="1"/>
  <c r="D2" i="3"/>
  <c r="D2" i="11" s="1"/>
  <c r="D3" i="2"/>
  <c r="C3" i="11" s="1"/>
  <c r="D5" i="2"/>
  <c r="C5" i="11" s="1"/>
  <c r="D7" i="2"/>
  <c r="C7" i="11" s="1"/>
  <c r="D8" i="2"/>
  <c r="C8" i="11" s="1"/>
  <c r="D9" i="2"/>
  <c r="C9" i="11" s="1"/>
  <c r="D13" i="2"/>
  <c r="C13" i="11" s="1"/>
  <c r="D16" i="2"/>
  <c r="C16" i="11" s="1"/>
  <c r="D19" i="2"/>
  <c r="C19" i="11" s="1"/>
  <c r="D22" i="2"/>
  <c r="C22" i="11" s="1"/>
  <c r="D25" i="2"/>
  <c r="C25" i="11" s="1"/>
  <c r="D27" i="2"/>
  <c r="C27" i="11" s="1"/>
  <c r="D28" i="2"/>
  <c r="C28" i="11" s="1"/>
  <c r="D29" i="2"/>
  <c r="C29" i="11" s="1"/>
  <c r="D30" i="2"/>
  <c r="C30" i="11" s="1"/>
  <c r="D31" i="2"/>
  <c r="C31" i="11" s="1"/>
  <c r="D32" i="2"/>
  <c r="C32" i="11" s="1"/>
  <c r="D33" i="2"/>
  <c r="C33" i="11" s="1"/>
  <c r="D34" i="2"/>
  <c r="C34" i="11" s="1"/>
  <c r="D35" i="2"/>
  <c r="C35" i="11" s="1"/>
  <c r="D36" i="2"/>
  <c r="C36" i="11" s="1"/>
  <c r="D37" i="2"/>
  <c r="C37" i="11" s="1"/>
  <c r="D4" i="2"/>
  <c r="C4" i="11" s="1"/>
  <c r="D10" i="2"/>
  <c r="C10" i="11" s="1"/>
  <c r="D12" i="2"/>
  <c r="C12" i="11" s="1"/>
  <c r="D18" i="2"/>
  <c r="C18" i="11" s="1"/>
  <c r="D21" i="2"/>
  <c r="C21" i="11" s="1"/>
  <c r="D24" i="2"/>
  <c r="C24" i="11" s="1"/>
  <c r="D6" i="2"/>
  <c r="C6" i="11" s="1"/>
  <c r="D11" i="2"/>
  <c r="C11" i="11" s="1"/>
  <c r="D14" i="2"/>
  <c r="C14" i="11" s="1"/>
  <c r="D17" i="2"/>
  <c r="C17" i="11" s="1"/>
  <c r="D20" i="2"/>
  <c r="C20" i="11" s="1"/>
  <c r="D23" i="2"/>
  <c r="C23" i="11" s="1"/>
  <c r="D26" i="2"/>
  <c r="C26" i="11" s="1"/>
  <c r="D2" i="2"/>
  <c r="C2" i="11" s="1"/>
  <c r="D3" i="1"/>
  <c r="B3" i="11" s="1"/>
  <c r="D17" i="1"/>
  <c r="B17" i="11" s="1"/>
  <c r="D19" i="1"/>
  <c r="B19" i="11" s="1"/>
  <c r="D20" i="1"/>
  <c r="B20" i="11" s="1"/>
  <c r="D21" i="1"/>
  <c r="B21" i="11" s="1"/>
  <c r="D22" i="1"/>
  <c r="B22" i="11" s="1"/>
  <c r="D27" i="1"/>
  <c r="B27" i="11" s="1"/>
  <c r="D30" i="1"/>
  <c r="B30" i="11" s="1"/>
  <c r="D31" i="1"/>
  <c r="B31" i="11" s="1"/>
  <c r="D34" i="1"/>
  <c r="B34" i="11" s="1"/>
  <c r="D6" i="1"/>
  <c r="B6" i="11" s="1"/>
  <c r="D4" i="1"/>
  <c r="B4" i="11" s="1"/>
  <c r="D29" i="1"/>
  <c r="B29" i="11" s="1"/>
  <c r="D35" i="1"/>
  <c r="B35" i="11" s="1"/>
  <c r="D37" i="1"/>
  <c r="B37" i="11" s="1"/>
  <c r="D11" i="1"/>
  <c r="B11" i="11" s="1"/>
  <c r="D32" i="1"/>
  <c r="B32" i="11" s="1"/>
  <c r="D36" i="1"/>
  <c r="B36" i="11" s="1"/>
  <c r="D5" i="1"/>
  <c r="B5" i="11" s="1"/>
  <c r="D8" i="1"/>
  <c r="B8" i="11" s="1"/>
  <c r="D12" i="1"/>
  <c r="B12" i="11" s="1"/>
  <c r="D7" i="1"/>
  <c r="B7" i="11" s="1"/>
  <c r="D13" i="1"/>
  <c r="B13" i="11" s="1"/>
  <c r="D26" i="1"/>
  <c r="B26" i="11" s="1"/>
  <c r="D10" i="1"/>
  <c r="B10" i="11" s="1"/>
  <c r="D33" i="1"/>
  <c r="B33" i="11" s="1"/>
  <c r="D25" i="1"/>
  <c r="B25" i="11" s="1"/>
  <c r="D9" i="1"/>
  <c r="B9" i="11" s="1"/>
  <c r="D24" i="1"/>
  <c r="B24" i="11" s="1"/>
  <c r="D16" i="1"/>
  <c r="B16" i="11" s="1"/>
  <c r="D14" i="1"/>
  <c r="B14" i="11" s="1"/>
  <c r="D28" i="1"/>
  <c r="B28" i="11" s="1"/>
  <c r="D18" i="1"/>
  <c r="B18" i="11" s="1"/>
  <c r="D23" i="1"/>
  <c r="B23" i="11" s="1"/>
  <c r="D15" i="1"/>
  <c r="B15" i="11" s="1"/>
  <c r="D2" i="1"/>
  <c r="B2" i="11" s="1"/>
  <c r="B3" i="8" l="1"/>
  <c r="C6" i="8"/>
  <c r="C36" i="8"/>
  <c r="C28" i="8"/>
  <c r="C8" i="8"/>
  <c r="F35" i="8"/>
  <c r="F27" i="8"/>
  <c r="F24" i="8"/>
  <c r="F16" i="8"/>
  <c r="F8" i="8"/>
  <c r="D34" i="8"/>
  <c r="E28" i="8"/>
  <c r="E8" i="8"/>
  <c r="E21" i="8"/>
  <c r="E23" i="8"/>
  <c r="G6" i="8"/>
  <c r="D19" i="8"/>
  <c r="D24" i="8"/>
  <c r="D8" i="8"/>
  <c r="G22" i="8"/>
  <c r="G33" i="8"/>
  <c r="G17" i="8"/>
  <c r="B18" i="8"/>
  <c r="B10" i="8"/>
  <c r="B32" i="8"/>
  <c r="B31" i="8"/>
  <c r="B28" i="8"/>
  <c r="B26" i="8"/>
  <c r="B11" i="8"/>
  <c r="B30" i="8"/>
  <c r="C7" i="8"/>
  <c r="F34" i="8"/>
  <c r="D29" i="8"/>
  <c r="F23" i="8"/>
  <c r="F15" i="8"/>
  <c r="F7" i="8"/>
  <c r="D33" i="8"/>
  <c r="E25" i="8"/>
  <c r="E5" i="8"/>
  <c r="E18" i="8"/>
  <c r="E20" i="8"/>
  <c r="G5" i="8"/>
  <c r="D15" i="8"/>
  <c r="D18" i="8"/>
  <c r="D6" i="8"/>
  <c r="G21" i="8"/>
  <c r="G32" i="8"/>
  <c r="G16" i="8"/>
  <c r="C24" i="8"/>
  <c r="C35" i="8"/>
  <c r="C27" i="8"/>
  <c r="B14" i="8"/>
  <c r="B13" i="8"/>
  <c r="B37" i="8"/>
  <c r="B27" i="8"/>
  <c r="C26" i="8"/>
  <c r="C21" i="8"/>
  <c r="C34" i="8"/>
  <c r="C25" i="8"/>
  <c r="C5" i="8"/>
  <c r="D28" i="8"/>
  <c r="F22" i="8"/>
  <c r="F14" i="8"/>
  <c r="F6" i="8"/>
  <c r="D32" i="8"/>
  <c r="E22" i="8"/>
  <c r="E4" i="8"/>
  <c r="E14" i="8"/>
  <c r="E17" i="8"/>
  <c r="D4" i="8"/>
  <c r="D10" i="8"/>
  <c r="G27" i="8"/>
  <c r="G19" i="8"/>
  <c r="G31" i="8"/>
  <c r="G15" i="8"/>
  <c r="B22" i="8"/>
  <c r="C23" i="8"/>
  <c r="C18" i="8"/>
  <c r="C22" i="8"/>
  <c r="C3" i="8"/>
  <c r="D27" i="8"/>
  <c r="F21" i="8"/>
  <c r="F13" i="8"/>
  <c r="F5" i="8"/>
  <c r="D31" i="8"/>
  <c r="E19" i="8"/>
  <c r="E11" i="8"/>
  <c r="E13" i="8"/>
  <c r="D20" i="8"/>
  <c r="D25" i="8"/>
  <c r="D9" i="8"/>
  <c r="G26" i="8"/>
  <c r="E36" i="8"/>
  <c r="G30" i="8"/>
  <c r="G9" i="8"/>
  <c r="B16" i="8"/>
  <c r="B7" i="8"/>
  <c r="C33" i="8"/>
  <c r="B24" i="8"/>
  <c r="B12" i="8"/>
  <c r="B29" i="8"/>
  <c r="B21" i="8"/>
  <c r="C20" i="8"/>
  <c r="C12" i="8"/>
  <c r="C32" i="8"/>
  <c r="C19" i="8"/>
  <c r="D26" i="8"/>
  <c r="F20" i="8"/>
  <c r="F4" i="8"/>
  <c r="D30" i="8"/>
  <c r="E16" i="8"/>
  <c r="E33" i="8"/>
  <c r="E7" i="8"/>
  <c r="E10" i="8"/>
  <c r="D14" i="8"/>
  <c r="D21" i="8"/>
  <c r="D3" i="8"/>
  <c r="G25" i="8"/>
  <c r="G37" i="8"/>
  <c r="E35" i="8"/>
  <c r="G12" i="8"/>
  <c r="F31" i="8"/>
  <c r="E37" i="8"/>
  <c r="F19" i="8"/>
  <c r="F11" i="8"/>
  <c r="F3" i="8"/>
  <c r="E2" i="8"/>
  <c r="E15" i="8"/>
  <c r="E30" i="8"/>
  <c r="E32" i="8"/>
  <c r="E6" i="8"/>
  <c r="D7" i="8"/>
  <c r="D16" i="8"/>
  <c r="D22" i="8"/>
  <c r="G24" i="8"/>
  <c r="G36" i="8"/>
  <c r="F2" i="8"/>
  <c r="G10" i="8"/>
  <c r="F30" i="8"/>
  <c r="B15" i="8"/>
  <c r="B25" i="8"/>
  <c r="B5" i="8"/>
  <c r="B6" i="8"/>
  <c r="B19" i="8"/>
  <c r="C14" i="8"/>
  <c r="C4" i="8"/>
  <c r="C30" i="8"/>
  <c r="C13" i="8"/>
  <c r="F37" i="8"/>
  <c r="F29" i="8"/>
  <c r="F26" i="8"/>
  <c r="F18" i="8"/>
  <c r="F10" i="8"/>
  <c r="D36" i="8"/>
  <c r="E34" i="8"/>
  <c r="E12" i="8"/>
  <c r="E27" i="8"/>
  <c r="E29" i="8"/>
  <c r="G29" i="8"/>
  <c r="D11" i="8"/>
  <c r="D12" i="8"/>
  <c r="D17" i="8"/>
  <c r="G23" i="8"/>
  <c r="G35" i="8"/>
  <c r="G2" i="8"/>
  <c r="G3" i="8"/>
  <c r="B35" i="8"/>
  <c r="F12" i="8"/>
  <c r="B9" i="8"/>
  <c r="B8" i="8"/>
  <c r="B4" i="8"/>
  <c r="B20" i="8"/>
  <c r="C17" i="8"/>
  <c r="C10" i="8"/>
  <c r="C31" i="8"/>
  <c r="C16" i="8"/>
  <c r="D37" i="8"/>
  <c r="B23" i="8"/>
  <c r="B33" i="8"/>
  <c r="B36" i="8"/>
  <c r="B34" i="8"/>
  <c r="B17" i="8"/>
  <c r="C11" i="8"/>
  <c r="C37" i="8"/>
  <c r="C29" i="8"/>
  <c r="C9" i="8"/>
  <c r="F36" i="8"/>
  <c r="F28" i="8"/>
  <c r="F25" i="8"/>
  <c r="F17" i="8"/>
  <c r="F9" i="8"/>
  <c r="D35" i="8"/>
  <c r="E31" i="8"/>
  <c r="E9" i="8"/>
  <c r="E24" i="8"/>
  <c r="E26" i="8"/>
  <c r="G28" i="8"/>
  <c r="D23" i="8"/>
  <c r="D5" i="8"/>
  <c r="D13" i="8"/>
  <c r="G20" i="8"/>
  <c r="G34" i="8"/>
  <c r="G18" i="8"/>
  <c r="G11" i="8"/>
  <c r="G4" i="8"/>
  <c r="D39" i="6"/>
  <c r="D40" i="6"/>
  <c r="E3" i="8"/>
  <c r="D39" i="4"/>
  <c r="D40" i="4"/>
  <c r="F32" i="8"/>
  <c r="D40" i="5"/>
  <c r="F33" i="8"/>
  <c r="D39" i="5"/>
  <c r="D2" i="8"/>
  <c r="D40" i="3"/>
  <c r="D39" i="3"/>
  <c r="D15" i="2"/>
  <c r="C15" i="11" s="1"/>
  <c r="K1" i="11" s="1" a="1"/>
  <c r="C2" i="8"/>
  <c r="D40" i="1"/>
  <c r="D39" i="1"/>
  <c r="B2" i="8"/>
  <c r="K1" i="11" l="1"/>
  <c r="I1" i="7" s="1"/>
  <c r="P1" i="7"/>
  <c r="X1" i="7"/>
  <c r="AF1" i="7"/>
  <c r="AN1" i="7"/>
  <c r="S2" i="7"/>
  <c r="AA2" i="7"/>
  <c r="AI2" i="7"/>
  <c r="AQ2" i="7"/>
  <c r="N3" i="7"/>
  <c r="V3" i="7"/>
  <c r="AD3" i="7"/>
  <c r="AL3" i="7"/>
  <c r="I4" i="7"/>
  <c r="Y4" i="7"/>
  <c r="AG4" i="7"/>
  <c r="AO4" i="7"/>
  <c r="AB5" i="7"/>
  <c r="AJ5" i="7"/>
  <c r="AR5" i="7"/>
  <c r="AE6" i="7"/>
  <c r="AM6" i="7"/>
  <c r="J7" i="7"/>
  <c r="R7" i="7"/>
  <c r="Z7" i="7"/>
  <c r="AH7" i="7"/>
  <c r="AP7" i="7"/>
  <c r="AG8" i="7"/>
  <c r="AO8" i="7"/>
  <c r="AB9" i="7"/>
  <c r="AJ9" i="7"/>
  <c r="AR9" i="7"/>
  <c r="Y1" i="7"/>
  <c r="AG1" i="7"/>
  <c r="AO1" i="7"/>
  <c r="T2" i="7"/>
  <c r="AB2" i="7"/>
  <c r="AJ2" i="7"/>
  <c r="AR2" i="7"/>
  <c r="O3" i="7"/>
  <c r="W3" i="7"/>
  <c r="AE3" i="7"/>
  <c r="AM3" i="7"/>
  <c r="Z4" i="7"/>
  <c r="AH4" i="7"/>
  <c r="AC5" i="7"/>
  <c r="AK5" i="7"/>
  <c r="AN6" i="7"/>
  <c r="S7" i="7"/>
  <c r="AI7" i="7"/>
  <c r="AQ7" i="7"/>
  <c r="AP8" i="7"/>
  <c r="AK9" i="7"/>
  <c r="J1" i="7"/>
  <c r="Z1" i="7"/>
  <c r="AP1" i="7"/>
  <c r="AC2" i="7"/>
  <c r="AS2" i="7"/>
  <c r="X3" i="7"/>
  <c r="AN3" i="7"/>
  <c r="AI4" i="7"/>
  <c r="Q1" i="7"/>
  <c r="AP4" i="7"/>
  <c r="AS5" i="7"/>
  <c r="AF6" i="7"/>
  <c r="K7" i="7"/>
  <c r="AA7" i="7"/>
  <c r="AH8" i="7"/>
  <c r="AC9" i="7"/>
  <c r="AS9" i="7"/>
  <c r="R1" i="7"/>
  <c r="AH1" i="7"/>
  <c r="M2" i="7"/>
  <c r="U2" i="7"/>
  <c r="AK2" i="7"/>
  <c r="P3" i="7"/>
  <c r="AF3" i="7"/>
  <c r="AA4" i="7"/>
  <c r="AQ4" i="7"/>
  <c r="K1" i="7"/>
  <c r="S1" i="7"/>
  <c r="AA1" i="7"/>
  <c r="AI1" i="7"/>
  <c r="AQ1" i="7"/>
  <c r="N2" i="7"/>
  <c r="V2" i="7"/>
  <c r="AD2" i="7"/>
  <c r="AL2" i="7"/>
  <c r="I3" i="7"/>
  <c r="Q3" i="7"/>
  <c r="Y3" i="7"/>
  <c r="AG3" i="7"/>
  <c r="AO3" i="7"/>
  <c r="AB4" i="7"/>
  <c r="AJ4" i="7"/>
  <c r="AR4" i="7"/>
  <c r="AE5" i="7"/>
  <c r="AM5" i="7"/>
  <c r="AH6" i="7"/>
  <c r="AP6" i="7"/>
  <c r="M7" i="7"/>
  <c r="U7" i="7"/>
  <c r="AC7" i="7"/>
  <c r="AK7" i="7"/>
  <c r="AS7" i="7"/>
  <c r="AJ8" i="7"/>
  <c r="AR8" i="7"/>
  <c r="AE9" i="7"/>
  <c r="AM9" i="7"/>
  <c r="M1" i="7"/>
  <c r="AC1" i="7"/>
  <c r="AK1" i="7"/>
  <c r="P2" i="7"/>
  <c r="AF2" i="7"/>
  <c r="AA3" i="7"/>
  <c r="AQ3" i="7"/>
  <c r="AL4" i="7"/>
  <c r="AG5" i="7"/>
  <c r="AB6" i="7"/>
  <c r="AR6" i="7"/>
  <c r="W7" i="7"/>
  <c r="I9" i="7"/>
  <c r="AG9" i="7"/>
  <c r="N1" i="7"/>
  <c r="AL1" i="7"/>
  <c r="Q2" i="7"/>
  <c r="AG2" i="7"/>
  <c r="AB3" i="7"/>
  <c r="AR3" i="7"/>
  <c r="AM4" i="7"/>
  <c r="AH5" i="7"/>
  <c r="AK6" i="7"/>
  <c r="P7" i="7"/>
  <c r="AF7" i="7"/>
  <c r="AH9" i="7"/>
  <c r="AP9" i="7"/>
  <c r="W1" i="7"/>
  <c r="AM1" i="7"/>
  <c r="R2" i="7"/>
  <c r="AH2" i="7"/>
  <c r="M3" i="7"/>
  <c r="U3" i="7"/>
  <c r="AK3" i="7"/>
  <c r="AF4" i="7"/>
  <c r="L1" i="7"/>
  <c r="T1" i="7"/>
  <c r="AB1" i="7"/>
  <c r="AJ1" i="7"/>
  <c r="AR1" i="7"/>
  <c r="O2" i="7"/>
  <c r="W2" i="7"/>
  <c r="AE2" i="7"/>
  <c r="AM2" i="7"/>
  <c r="R3" i="7"/>
  <c r="Z3" i="7"/>
  <c r="AH3" i="7"/>
  <c r="AP3" i="7"/>
  <c r="AC4" i="7"/>
  <c r="AK4" i="7"/>
  <c r="AS4" i="7"/>
  <c r="AF5" i="7"/>
  <c r="AN5" i="7"/>
  <c r="AA6" i="7"/>
  <c r="AI6" i="7"/>
  <c r="AQ6" i="7"/>
  <c r="N7" i="7"/>
  <c r="V7" i="7"/>
  <c r="AD7" i="7"/>
  <c r="AL7" i="7"/>
  <c r="I8" i="7"/>
  <c r="AK8" i="7"/>
  <c r="AS8" i="7"/>
  <c r="AF9" i="7"/>
  <c r="AN9" i="7"/>
  <c r="U1" i="7"/>
  <c r="AS1" i="7"/>
  <c r="X2" i="7"/>
  <c r="AN2" i="7"/>
  <c r="S3" i="7"/>
  <c r="AI3" i="7"/>
  <c r="AD4" i="7"/>
  <c r="I5" i="7"/>
  <c r="AO5" i="7"/>
  <c r="AJ6" i="7"/>
  <c r="O7" i="7"/>
  <c r="AE7" i="7"/>
  <c r="AM7" i="7"/>
  <c r="AL8" i="7"/>
  <c r="AO9" i="7"/>
  <c r="V1" i="7"/>
  <c r="AD1" i="7"/>
  <c r="I2" i="7"/>
  <c r="Y2" i="7"/>
  <c r="AO2" i="7"/>
  <c r="T3" i="7"/>
  <c r="AJ3" i="7"/>
  <c r="AE4" i="7"/>
  <c r="Z5" i="7"/>
  <c r="AP5" i="7"/>
  <c r="AC6" i="7"/>
  <c r="AS6" i="7"/>
  <c r="X7" i="7"/>
  <c r="AN7" i="7"/>
  <c r="AM8" i="7"/>
  <c r="Z9" i="7"/>
  <c r="O1" i="7"/>
  <c r="AE1" i="7"/>
  <c r="Z2" i="7"/>
  <c r="AP2" i="7"/>
  <c r="AC3" i="7"/>
  <c r="AS3" i="7"/>
  <c r="AN4" i="7"/>
  <c r="L7" i="7"/>
  <c r="AR7" i="7"/>
  <c r="AD9" i="7"/>
  <c r="AA5" i="7"/>
  <c r="Q7" i="7"/>
  <c r="AF8" i="7"/>
  <c r="AI9" i="7"/>
  <c r="AD5" i="7"/>
  <c r="T7" i="7"/>
  <c r="AI8" i="7"/>
  <c r="AL9" i="7"/>
  <c r="AI5" i="7"/>
  <c r="AD6" i="7"/>
  <c r="Y7" i="7"/>
  <c r="AN8" i="7"/>
  <c r="AQ9" i="7"/>
  <c r="AG6" i="7"/>
  <c r="AB7" i="7"/>
  <c r="AQ8" i="7"/>
  <c r="AQ5" i="7"/>
  <c r="AL6" i="7"/>
  <c r="I6" i="7"/>
  <c r="AO6" i="7"/>
  <c r="AJ7" i="7"/>
  <c r="I7" i="7"/>
  <c r="AO7" i="7"/>
  <c r="AA9" i="7"/>
  <c r="AL5" i="7"/>
  <c r="AG7" i="7"/>
  <c r="D40" i="2"/>
  <c r="C40" i="8" s="1"/>
  <c r="F40" i="8"/>
  <c r="E40" i="8"/>
  <c r="E39" i="8"/>
  <c r="D39" i="8"/>
  <c r="D40" i="8"/>
  <c r="G40" i="8"/>
  <c r="B39" i="8"/>
  <c r="G39" i="8"/>
  <c r="F39" i="8"/>
  <c r="B40" i="8"/>
  <c r="C15" i="8"/>
  <c r="I1" i="8" s="1" a="1"/>
  <c r="D39" i="2"/>
  <c r="C39" i="8" l="1"/>
  <c r="AO1" i="8"/>
  <c r="K1" i="8"/>
  <c r="AJ4" i="8"/>
  <c r="Z7" i="8"/>
  <c r="R2" i="8"/>
  <c r="T6" i="8"/>
  <c r="W5" i="8"/>
  <c r="Z2" i="8"/>
  <c r="AK5" i="8"/>
  <c r="V4" i="8"/>
  <c r="O4" i="8"/>
  <c r="AP2" i="8"/>
  <c r="Q6" i="8"/>
  <c r="R1" i="8"/>
  <c r="N4" i="8"/>
  <c r="U2" i="8"/>
  <c r="AD7" i="8"/>
  <c r="I1" i="8"/>
  <c r="J6" i="8"/>
  <c r="M3" i="8"/>
  <c r="Q2" i="8"/>
  <c r="J7" i="8"/>
  <c r="W3" i="8"/>
  <c r="AQ5" i="8"/>
  <c r="AH7" i="8"/>
  <c r="U4" i="8"/>
  <c r="L2" i="8"/>
  <c r="AG2" i="8"/>
  <c r="AC4" i="8"/>
  <c r="AA7" i="8"/>
  <c r="AD1" i="8"/>
  <c r="W1" i="8"/>
  <c r="R7" i="8"/>
  <c r="T3" i="8"/>
  <c r="AI4" i="8"/>
  <c r="N7" i="8"/>
  <c r="K4" i="8"/>
  <c r="R5" i="8"/>
  <c r="V2" i="8"/>
  <c r="Q1" i="8"/>
  <c r="O5" i="8"/>
  <c r="Q4" i="8"/>
  <c r="AR4" i="8"/>
  <c r="AC7" i="8"/>
  <c r="M5" i="8"/>
  <c r="T5" i="8"/>
  <c r="K7" i="8"/>
  <c r="M6" i="8"/>
  <c r="AF3" i="8"/>
  <c r="Z6" i="8"/>
  <c r="AJ3" i="8"/>
  <c r="AQ1" i="8"/>
  <c r="AN7" i="8"/>
  <c r="AC2" i="8"/>
  <c r="AL4" i="8"/>
  <c r="AM1" i="8"/>
  <c r="I5" i="8"/>
  <c r="Z3" i="8"/>
  <c r="AK4" i="8"/>
  <c r="AL3" i="8"/>
  <c r="AH3" i="8"/>
  <c r="I4" i="8"/>
  <c r="AF6" i="8"/>
  <c r="V1" i="8"/>
  <c r="AJ6" i="8"/>
  <c r="AD6" i="8"/>
  <c r="AG6" i="8"/>
  <c r="AF4" i="8"/>
  <c r="AO6" i="8"/>
  <c r="Y7" i="8"/>
  <c r="V5" i="8"/>
  <c r="AR3" i="8"/>
  <c r="Y4" i="8"/>
  <c r="AG3" i="8"/>
  <c r="AO4" i="8"/>
  <c r="AO5" i="8"/>
  <c r="N2" i="8"/>
  <c r="S7" i="8"/>
  <c r="AG4" i="8"/>
  <c r="Y5" i="8"/>
  <c r="AD5" i="8"/>
  <c r="N6" i="8"/>
  <c r="AJ2" i="8"/>
  <c r="P2" i="8"/>
  <c r="S5" i="8"/>
  <c r="Y6" i="8"/>
  <c r="AR5" i="8"/>
  <c r="AO3" i="8"/>
  <c r="AA2" i="8"/>
  <c r="AL6" i="8"/>
  <c r="AH4" i="8"/>
  <c r="K3" i="8"/>
  <c r="N3" i="8"/>
  <c r="J3" i="8"/>
  <c r="AQ6" i="8"/>
  <c r="AN6" i="8"/>
  <c r="AF2" i="8"/>
  <c r="AH1" i="8"/>
  <c r="AM7" i="8"/>
  <c r="AP1" i="8"/>
  <c r="AR1" i="8"/>
  <c r="AS7" i="8"/>
  <c r="T7" i="8"/>
  <c r="AD3" i="8"/>
  <c r="P6" i="8"/>
  <c r="P4" i="8"/>
  <c r="AS6" i="8"/>
  <c r="U7" i="8"/>
  <c r="X5" i="8"/>
  <c r="M7" i="8"/>
  <c r="AR6" i="8"/>
  <c r="AE1" i="8"/>
  <c r="T4" i="8"/>
  <c r="O3" i="8"/>
  <c r="Y2" i="8"/>
  <c r="J5" i="8"/>
  <c r="AK1" i="8"/>
  <c r="AQ4" i="8"/>
  <c r="I7" i="8"/>
  <c r="N5" i="8"/>
  <c r="AJ1" i="8"/>
  <c r="AB2" i="8"/>
  <c r="N1" i="8"/>
  <c r="AF7" i="8"/>
  <c r="P3" i="8"/>
  <c r="X2" i="8"/>
  <c r="P7" i="8"/>
  <c r="X3" i="8"/>
  <c r="L5" i="8"/>
  <c r="AL7" i="8"/>
  <c r="AG1" i="8"/>
  <c r="I6" i="8"/>
  <c r="AR2" i="8"/>
  <c r="AP3" i="8"/>
  <c r="AI6" i="8"/>
  <c r="R4" i="8"/>
  <c r="AS1" i="8"/>
  <c r="L1" i="8"/>
  <c r="AE5" i="8"/>
  <c r="AP5" i="8"/>
  <c r="AI3" i="8"/>
  <c r="AK7" i="8"/>
  <c r="AC1" i="8"/>
  <c r="W2" i="8"/>
  <c r="S1" i="8"/>
  <c r="AN1" i="8"/>
  <c r="AG5" i="8"/>
  <c r="AH5" i="8"/>
  <c r="L7" i="8"/>
  <c r="R3" i="8"/>
  <c r="T2" i="8"/>
  <c r="W7" i="8"/>
  <c r="O2" i="8"/>
  <c r="AJ7" i="8"/>
  <c r="X6" i="8"/>
  <c r="Y1" i="8"/>
  <c r="AB1" i="8"/>
  <c r="AS5" i="8"/>
  <c r="AA6" i="8"/>
  <c r="M4" i="8"/>
  <c r="AA3" i="8"/>
  <c r="AE7" i="8"/>
  <c r="AP7" i="8"/>
  <c r="V3" i="8"/>
  <c r="U5" i="8"/>
  <c r="AM2" i="8"/>
  <c r="AB4" i="8"/>
  <c r="M1" i="8"/>
  <c r="AR7" i="8"/>
  <c r="X1" i="8"/>
  <c r="S4" i="8"/>
  <c r="U6" i="8"/>
  <c r="AF5" i="8"/>
  <c r="O7" i="8"/>
  <c r="AC5" i="8"/>
  <c r="P5" i="8"/>
  <c r="V6" i="8"/>
  <c r="AA4" i="8"/>
  <c r="T1" i="8"/>
  <c r="AP6" i="8"/>
  <c r="O6" i="8"/>
  <c r="AC6" i="8"/>
  <c r="Q7" i="8"/>
  <c r="AK6" i="8"/>
  <c r="AN3" i="8"/>
  <c r="J2" i="8"/>
  <c r="AN5" i="8"/>
  <c r="AG7" i="8"/>
  <c r="AN4" i="8"/>
  <c r="Q3" i="8"/>
  <c r="AH6" i="8"/>
  <c r="AQ7" i="8"/>
  <c r="AL1" i="8"/>
  <c r="P1" i="8"/>
  <c r="AB7" i="8"/>
  <c r="AI2" i="8"/>
  <c r="AM5" i="8"/>
  <c r="R6" i="8"/>
  <c r="AI5" i="8"/>
  <c r="AB6" i="8"/>
  <c r="X4" i="8"/>
  <c r="W4" i="8"/>
  <c r="AH2" i="8"/>
  <c r="AO2" i="8"/>
  <c r="S2" i="8"/>
  <c r="M2" i="8"/>
  <c r="L3" i="8"/>
  <c r="O1" i="8"/>
  <c r="Y3" i="8"/>
  <c r="AM3" i="8"/>
  <c r="AN2" i="8"/>
  <c r="AA1" i="8"/>
  <c r="AQ3" i="8"/>
  <c r="AC3" i="8"/>
  <c r="U1" i="8"/>
  <c r="I3" i="8"/>
  <c r="W6" i="8"/>
  <c r="V7" i="8"/>
  <c r="S6" i="8"/>
  <c r="AI1" i="8"/>
  <c r="Q5" i="8"/>
  <c r="J4" i="8"/>
  <c r="K5" i="8"/>
  <c r="AE6" i="8"/>
  <c r="AO7" i="8"/>
  <c r="AK2" i="8"/>
  <c r="AP4" i="8"/>
  <c r="AB3" i="8"/>
  <c r="AI7" i="8"/>
  <c r="S3" i="8"/>
  <c r="AM4" i="8"/>
  <c r="AF1" i="8"/>
  <c r="AE2" i="8"/>
  <c r="AQ2" i="8"/>
  <c r="K2" i="8"/>
  <c r="U3" i="8"/>
  <c r="Z1" i="8"/>
  <c r="AK3" i="8"/>
  <c r="AA5" i="8"/>
  <c r="I2" i="8"/>
  <c r="AE3" i="8"/>
  <c r="L6" i="8"/>
  <c r="AS2" i="8"/>
  <c r="AE4" i="8"/>
  <c r="J1" i="8"/>
  <c r="AS4" i="8"/>
  <c r="Z4" i="8"/>
  <c r="AD4" i="8"/>
  <c r="AS3" i="8"/>
  <c r="AL5" i="8"/>
  <c r="X7" i="8"/>
  <c r="Z5" i="8"/>
  <c r="AL2" i="8"/>
  <c r="AJ5" i="8"/>
  <c r="AD2" i="8"/>
  <c r="K6" i="8"/>
  <c r="L4" i="8"/>
  <c r="AM6" i="8"/>
  <c r="AB5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<sst xmlns="http://schemas.openxmlformats.org/spreadsheetml/2006/main" count="63" uniqueCount="14">
  <si>
    <t>Year</t>
    <phoneticPr fontId="1" type="noConversion"/>
  </si>
  <si>
    <t>Percentage</t>
    <phoneticPr fontId="1" type="noConversion"/>
  </si>
  <si>
    <t>Clinical trial</t>
    <phoneticPr fontId="1" type="noConversion"/>
  </si>
  <si>
    <t>Meta-analysis</t>
    <phoneticPr fontId="1" type="noConversion"/>
  </si>
  <si>
    <t>Review</t>
    <phoneticPr fontId="1" type="noConversion"/>
  </si>
  <si>
    <t>Core clinical journal</t>
    <phoneticPr fontId="1" type="noConversion"/>
  </si>
  <si>
    <t>All MEDLINE</t>
    <phoneticPr fontId="1" type="noConversion"/>
  </si>
  <si>
    <t>MAX</t>
    <phoneticPr fontId="1" type="noConversion"/>
  </si>
  <si>
    <t>MIN</t>
    <phoneticPr fontId="1" type="noConversion"/>
  </si>
  <si>
    <t>SUM</t>
    <phoneticPr fontId="1" type="noConversion"/>
  </si>
  <si>
    <t>Randomized controlled trial</t>
    <phoneticPr fontId="1" type="noConversion"/>
  </si>
  <si>
    <t>Observational study</t>
    <phoneticPr fontId="1" type="noConversion"/>
  </si>
  <si>
    <t>Systematic review</t>
    <phoneticPr fontId="1" type="noConversion"/>
  </si>
  <si>
    <t>HasPvalue same or lower than n=10 excluded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</si>
</sst>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Randomized controlled trial</c:v>
                </c:pt>
              </c:strCache>
            </c:strRef>
          </c:tx>
          <c:spPr>
            <a:ln w="15875" cap="rnd">
              <a:solidFill>
                <a:srgbClr val="FFC000"/>
              </a:solidFill>
              <a:round/>
            </a:ln>
            <a:effectLst>
              <a:softEdge rad="0"/>
            </a:effectLst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>
                <a:softEdge rad="0"/>
              </a:effectLst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Sheet1!$J$2:$AS$2</c:f>
              <c:numCache>
                <c:formatCode>General</c:formatCode>
                <c:ptCount val="36"/>
                <c:pt idx="3">
                  <c:v>100</c:v>
                </c:pt>
                <c:pt idx="4">
                  <c:v>89.473684210526315</c:v>
                </c:pt>
                <c:pt idx="5">
                  <c:v>86.666666666666671</c:v>
                </c:pt>
                <c:pt idx="6">
                  <c:v>84.210526315789465</c:v>
                </c:pt>
                <c:pt idx="7">
                  <c:v>88.235294117647058</c:v>
                </c:pt>
                <c:pt idx="8">
                  <c:v>85.18518518518519</c:v>
                </c:pt>
                <c:pt idx="9">
                  <c:v>87.5</c:v>
                </c:pt>
                <c:pt idx="10">
                  <c:v>85.714285714285708</c:v>
                </c:pt>
                <c:pt idx="11">
                  <c:v>76.470588235294116</c:v>
                </c:pt>
                <c:pt idx="12">
                  <c:v>88.571428571428569</c:v>
                </c:pt>
                <c:pt idx="13">
                  <c:v>88.888888888888886</c:v>
                </c:pt>
                <c:pt idx="14">
                  <c:v>87.323943661971825</c:v>
                </c:pt>
                <c:pt idx="15">
                  <c:v>92.391304347826093</c:v>
                </c:pt>
                <c:pt idx="16">
                  <c:v>88.888888888888886</c:v>
                </c:pt>
                <c:pt idx="17">
                  <c:v>89.49771689497716</c:v>
                </c:pt>
                <c:pt idx="18">
                  <c:v>89.795918367346943</c:v>
                </c:pt>
                <c:pt idx="19">
                  <c:v>89.578713968957871</c:v>
                </c:pt>
                <c:pt idx="20">
                  <c:v>92.282958199356912</c:v>
                </c:pt>
                <c:pt idx="21">
                  <c:v>90.734055354993984</c:v>
                </c:pt>
                <c:pt idx="22">
                  <c:v>92.447129909365557</c:v>
                </c:pt>
                <c:pt idx="23">
                  <c:v>91.095406360424022</c:v>
                </c:pt>
                <c:pt idx="24">
                  <c:v>91.991101223581765</c:v>
                </c:pt>
                <c:pt idx="25">
                  <c:v>90.882061446977204</c:v>
                </c:pt>
                <c:pt idx="26">
                  <c:v>91.706888986397544</c:v>
                </c:pt>
                <c:pt idx="27">
                  <c:v>91.152922337870308</c:v>
                </c:pt>
                <c:pt idx="28">
                  <c:v>90.636565507031833</c:v>
                </c:pt>
                <c:pt idx="29">
                  <c:v>90.759819703799096</c:v>
                </c:pt>
                <c:pt idx="30">
                  <c:v>90.425247392350897</c:v>
                </c:pt>
                <c:pt idx="31">
                  <c:v>90.611696168496522</c:v>
                </c:pt>
                <c:pt idx="32">
                  <c:v>91.116088092571857</c:v>
                </c:pt>
                <c:pt idx="33">
                  <c:v>90.074107343364034</c:v>
                </c:pt>
                <c:pt idx="34">
                  <c:v>91.109362706530291</c:v>
                </c:pt>
                <c:pt idx="35">
                  <c:v>90.913415794481438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23-7049-B02C-E52CFC1D189F}"/>
            </c:ext>
          </c:extLst>
        </c:ser>
        <c:ser>
          <c:idx val="1"/>
          <c:order val="1"/>
          <c:tx>
            <c:strRef>
              <c:f>Sheet1!$I$3</c:f>
              <c:strCache>
                <c:ptCount val="1"/>
                <c:pt idx="0">
                  <c:v>Clinical trial</c:v>
                </c:pt>
              </c:strCache>
            </c:strRef>
          </c:tx>
          <c:spPr>
            <a:ln w="158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Sheet1!$J$3:$AS$3</c:f>
              <c:numCache>
                <c:formatCode>General</c:formatCode>
                <c:ptCount val="36"/>
                <c:pt idx="3">
                  <c:v>95.652173913043484</c:v>
                </c:pt>
                <c:pt idx="4">
                  <c:v>93.939393939393938</c:v>
                </c:pt>
                <c:pt idx="5">
                  <c:v>88.461538461538453</c:v>
                </c:pt>
                <c:pt idx="6">
                  <c:v>88.888888888888886</c:v>
                </c:pt>
                <c:pt idx="7">
                  <c:v>90.625</c:v>
                </c:pt>
                <c:pt idx="8">
                  <c:v>89.583333333333343</c:v>
                </c:pt>
                <c:pt idx="9">
                  <c:v>92.5</c:v>
                </c:pt>
                <c:pt idx="10">
                  <c:v>90.243902439024396</c:v>
                </c:pt>
                <c:pt idx="11">
                  <c:v>86.666666666666671</c:v>
                </c:pt>
                <c:pt idx="12">
                  <c:v>91.489361702127653</c:v>
                </c:pt>
                <c:pt idx="13">
                  <c:v>93.442622950819683</c:v>
                </c:pt>
                <c:pt idx="14">
                  <c:v>91.869918699186996</c:v>
                </c:pt>
                <c:pt idx="15">
                  <c:v>95.121951219512198</c:v>
                </c:pt>
                <c:pt idx="16">
                  <c:v>96.721311475409834</c:v>
                </c:pt>
                <c:pt idx="17">
                  <c:v>93.103448275862064</c:v>
                </c:pt>
                <c:pt idx="18">
                  <c:v>96.103896103896105</c:v>
                </c:pt>
                <c:pt idx="19">
                  <c:v>98.979591836734699</c:v>
                </c:pt>
                <c:pt idx="20">
                  <c:v>96.875</c:v>
                </c:pt>
                <c:pt idx="21">
                  <c:v>96.33507853403141</c:v>
                </c:pt>
                <c:pt idx="22">
                  <c:v>96.036585365853654</c:v>
                </c:pt>
                <c:pt idx="23">
                  <c:v>97.245762711864401</c:v>
                </c:pt>
                <c:pt idx="24">
                  <c:v>96.545454545454547</c:v>
                </c:pt>
                <c:pt idx="25">
                  <c:v>96.768707482993193</c:v>
                </c:pt>
                <c:pt idx="26">
                  <c:v>96.698113207547166</c:v>
                </c:pt>
                <c:pt idx="27">
                  <c:v>95.017793594306056</c:v>
                </c:pt>
                <c:pt idx="28">
                  <c:v>96.21848739495799</c:v>
                </c:pt>
                <c:pt idx="29">
                  <c:v>96.893667861409796</c:v>
                </c:pt>
                <c:pt idx="30">
                  <c:v>96.614583333333343</c:v>
                </c:pt>
                <c:pt idx="31">
                  <c:v>95.338512763596</c:v>
                </c:pt>
                <c:pt idx="32">
                  <c:v>94.781144781144775</c:v>
                </c:pt>
                <c:pt idx="33">
                  <c:v>93.40425531914893</c:v>
                </c:pt>
                <c:pt idx="34">
                  <c:v>94.47115384615384</c:v>
                </c:pt>
                <c:pt idx="35">
                  <c:v>95.652173913043484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23-7049-B02C-E52CFC1D189F}"/>
            </c:ext>
          </c:extLst>
        </c:ser>
        <c:ser>
          <c:idx val="2"/>
          <c:order val="2"/>
          <c:tx>
            <c:strRef>
              <c:f>Sheet1!$I$4</c:f>
              <c:strCache>
                <c:ptCount val="1"/>
                <c:pt idx="0">
                  <c:v>Meta-analysis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Sheet1!$J$4:$AS$4</c:f>
              <c:numCache>
                <c:formatCode>General</c:formatCode>
                <c:ptCount val="36"/>
                <c:pt idx="15">
                  <c:v>63.636363636363633</c:v>
                </c:pt>
                <c:pt idx="16">
                  <c:v>83.333333333333343</c:v>
                </c:pt>
                <c:pt idx="17">
                  <c:v>90.909090909090907</c:v>
                </c:pt>
                <c:pt idx="18">
                  <c:v>79.545454545454547</c:v>
                </c:pt>
                <c:pt idx="19">
                  <c:v>92.682926829268297</c:v>
                </c:pt>
                <c:pt idx="20">
                  <c:v>88.181818181818187</c:v>
                </c:pt>
                <c:pt idx="21">
                  <c:v>88.679245283018872</c:v>
                </c:pt>
                <c:pt idx="22">
                  <c:v>89.375</c:v>
                </c:pt>
                <c:pt idx="23">
                  <c:v>89.42652329749103</c:v>
                </c:pt>
                <c:pt idx="24">
                  <c:v>90.694626474442984</c:v>
                </c:pt>
                <c:pt idx="25">
                  <c:v>90.835030549898164</c:v>
                </c:pt>
                <c:pt idx="26">
                  <c:v>91.457286432160799</c:v>
                </c:pt>
                <c:pt idx="27">
                  <c:v>91.881638846737474</c:v>
                </c:pt>
                <c:pt idx="28">
                  <c:v>89.705882352941174</c:v>
                </c:pt>
                <c:pt idx="29">
                  <c:v>90.700557966522013</c:v>
                </c:pt>
                <c:pt idx="30">
                  <c:v>92.260692464358456</c:v>
                </c:pt>
                <c:pt idx="31">
                  <c:v>92.182696530522605</c:v>
                </c:pt>
                <c:pt idx="32">
                  <c:v>92.162351294611625</c:v>
                </c:pt>
                <c:pt idx="33">
                  <c:v>92.703716331401296</c:v>
                </c:pt>
                <c:pt idx="34">
                  <c:v>93.568396996408751</c:v>
                </c:pt>
                <c:pt idx="35">
                  <c:v>92.038078753786237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23-7049-B02C-E52CFC1D189F}"/>
            </c:ext>
          </c:extLst>
        </c:ser>
        <c:ser>
          <c:idx val="3"/>
          <c:order val="3"/>
          <c:tx>
            <c:strRef>
              <c:f>Sheet1!$I$5</c:f>
              <c:strCache>
                <c:ptCount val="1"/>
                <c:pt idx="0">
                  <c:v>Review</c:v>
                </c:pt>
              </c:strCache>
            </c:strRef>
          </c:tx>
          <c:spPr>
            <a:ln w="1587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tx2">
                    <a:lumMod val="25000"/>
                    <a:lumOff val="75000"/>
                  </a:schemeClr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Sheet1!$J$5:$AS$5</c:f>
              <c:numCache>
                <c:formatCode>General</c:formatCode>
                <c:ptCount val="36"/>
                <c:pt idx="16">
                  <c:v>100</c:v>
                </c:pt>
                <c:pt idx="17">
                  <c:v>92.857142857142861</c:v>
                </c:pt>
                <c:pt idx="18">
                  <c:v>80</c:v>
                </c:pt>
                <c:pt idx="19">
                  <c:v>95.833333333333343</c:v>
                </c:pt>
                <c:pt idx="20">
                  <c:v>92.682926829268297</c:v>
                </c:pt>
                <c:pt idx="21">
                  <c:v>91.228070175438589</c:v>
                </c:pt>
                <c:pt idx="22">
                  <c:v>96.551724137931032</c:v>
                </c:pt>
                <c:pt idx="23">
                  <c:v>91.452991452991455</c:v>
                </c:pt>
                <c:pt idx="24">
                  <c:v>92.523364485981304</c:v>
                </c:pt>
                <c:pt idx="25">
                  <c:v>92.307692307692307</c:v>
                </c:pt>
                <c:pt idx="26">
                  <c:v>92.077087794432543</c:v>
                </c:pt>
                <c:pt idx="27">
                  <c:v>89.837398373983731</c:v>
                </c:pt>
                <c:pt idx="28">
                  <c:v>89.875389408099693</c:v>
                </c:pt>
                <c:pt idx="29">
                  <c:v>90.451388888888886</c:v>
                </c:pt>
                <c:pt idx="30">
                  <c:v>91.581632653061234</c:v>
                </c:pt>
                <c:pt idx="31">
                  <c:v>91.743892165122148</c:v>
                </c:pt>
                <c:pt idx="32">
                  <c:v>92.239955971381391</c:v>
                </c:pt>
                <c:pt idx="33">
                  <c:v>90.984974958263777</c:v>
                </c:pt>
                <c:pt idx="34">
                  <c:v>92.205196535642912</c:v>
                </c:pt>
                <c:pt idx="35">
                  <c:v>92.341941228851283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23-7049-B02C-E52CFC1D189F}"/>
            </c:ext>
          </c:extLst>
        </c:ser>
        <c:ser>
          <c:idx val="4"/>
          <c:order val="4"/>
          <c:tx>
            <c:strRef>
              <c:f>Sheet1!$I$6</c:f>
              <c:strCache>
                <c:ptCount val="1"/>
                <c:pt idx="0">
                  <c:v>Core clinical journal</c:v>
                </c:pt>
              </c:strCache>
            </c:strRef>
          </c:tx>
          <c:spPr>
            <a:ln w="15875" cap="rnd">
              <a:solidFill>
                <a:srgbClr val="00B0F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Sheet1!$J$6:$AS$6</c:f>
              <c:numCache>
                <c:formatCode>General</c:formatCode>
                <c:ptCount val="36"/>
                <c:pt idx="17">
                  <c:v>100</c:v>
                </c:pt>
                <c:pt idx="18">
                  <c:v>96.8</c:v>
                </c:pt>
                <c:pt idx="19">
                  <c:v>94.73684210526315</c:v>
                </c:pt>
                <c:pt idx="20">
                  <c:v>94.661921708185048</c:v>
                </c:pt>
                <c:pt idx="21">
                  <c:v>95.075757575757578</c:v>
                </c:pt>
                <c:pt idx="22">
                  <c:v>92.660550458715591</c:v>
                </c:pt>
                <c:pt idx="23">
                  <c:v>92.682926829268297</c:v>
                </c:pt>
                <c:pt idx="24">
                  <c:v>92.986425339366519</c:v>
                </c:pt>
                <c:pt idx="25">
                  <c:v>95.307443365695789</c:v>
                </c:pt>
                <c:pt idx="26">
                  <c:v>95.304437564499494</c:v>
                </c:pt>
                <c:pt idx="27">
                  <c:v>95.30463946338736</c:v>
                </c:pt>
                <c:pt idx="28">
                  <c:v>93.808049535603715</c:v>
                </c:pt>
                <c:pt idx="29">
                  <c:v>93.971291866028707</c:v>
                </c:pt>
                <c:pt idx="30">
                  <c:v>94.549958711808429</c:v>
                </c:pt>
                <c:pt idx="31">
                  <c:v>94.629156010230176</c:v>
                </c:pt>
                <c:pt idx="32">
                  <c:v>94.8874475391072</c:v>
                </c:pt>
                <c:pt idx="33">
                  <c:v>94.13949649195213</c:v>
                </c:pt>
                <c:pt idx="34">
                  <c:v>95.442255697180371</c:v>
                </c:pt>
                <c:pt idx="35">
                  <c:v>94.108684611477912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23-7049-B02C-E52CFC1D189F}"/>
            </c:ext>
          </c:extLst>
        </c:ser>
        <c:ser>
          <c:idx val="5"/>
          <c:order val="5"/>
          <c:tx>
            <c:strRef>
              <c:f>Sheet1!$I$7</c:f>
              <c:strCache>
                <c:ptCount val="1"/>
                <c:pt idx="0">
                  <c:v>All MEDLINE</c:v>
                </c:pt>
              </c:strCache>
            </c:strRef>
          </c:tx>
          <c:spPr>
            <a:ln w="158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Sheet1!$J$7:$AS$7</c:f>
              <c:numCache>
                <c:formatCode>General</c:formatCode>
                <c:ptCount val="36"/>
                <c:pt idx="0">
                  <c:v>95.744680851063833</c:v>
                </c:pt>
                <c:pt idx="1">
                  <c:v>98.591549295774655</c:v>
                </c:pt>
                <c:pt idx="2">
                  <c:v>97.241379310344826</c:v>
                </c:pt>
                <c:pt idx="3">
                  <c:v>96</c:v>
                </c:pt>
                <c:pt idx="4">
                  <c:v>97.872340425531917</c:v>
                </c:pt>
                <c:pt idx="5">
                  <c:v>96.017699115044252</c:v>
                </c:pt>
                <c:pt idx="6">
                  <c:v>95.604395604395606</c:v>
                </c:pt>
                <c:pt idx="7">
                  <c:v>93.624161073825505</c:v>
                </c:pt>
                <c:pt idx="8">
                  <c:v>95.195195195195197</c:v>
                </c:pt>
                <c:pt idx="9">
                  <c:v>97.540983606557376</c:v>
                </c:pt>
                <c:pt idx="10">
                  <c:v>94.986072423398326</c:v>
                </c:pt>
                <c:pt idx="11">
                  <c:v>94.039735099337747</c:v>
                </c:pt>
                <c:pt idx="12">
                  <c:v>95.787545787545795</c:v>
                </c:pt>
                <c:pt idx="13">
                  <c:v>95.710059171597635</c:v>
                </c:pt>
                <c:pt idx="14">
                  <c:v>94.216614090431122</c:v>
                </c:pt>
                <c:pt idx="15">
                  <c:v>95.234657039711195</c:v>
                </c:pt>
                <c:pt idx="16">
                  <c:v>94.655344655344649</c:v>
                </c:pt>
                <c:pt idx="17">
                  <c:v>95.474452554744531</c:v>
                </c:pt>
                <c:pt idx="18">
                  <c:v>95.329802599903715</c:v>
                </c:pt>
                <c:pt idx="19">
                  <c:v>95.418257549461998</c:v>
                </c:pt>
                <c:pt idx="20">
                  <c:v>95.525200188412626</c:v>
                </c:pt>
                <c:pt idx="21">
                  <c:v>95.321493175464568</c:v>
                </c:pt>
                <c:pt idx="22">
                  <c:v>95.959539510450426</c:v>
                </c:pt>
                <c:pt idx="23">
                  <c:v>95.601391650099401</c:v>
                </c:pt>
                <c:pt idx="24">
                  <c:v>95.742282057233808</c:v>
                </c:pt>
                <c:pt idx="25">
                  <c:v>95.613934894346087</c:v>
                </c:pt>
                <c:pt idx="26">
                  <c:v>95.665352390340061</c:v>
                </c:pt>
                <c:pt idx="27">
                  <c:v>95.412011324098287</c:v>
                </c:pt>
                <c:pt idx="28">
                  <c:v>95.348971796751414</c:v>
                </c:pt>
                <c:pt idx="29">
                  <c:v>95.396490087747807</c:v>
                </c:pt>
                <c:pt idx="30">
                  <c:v>95.591096008470615</c:v>
                </c:pt>
                <c:pt idx="31">
                  <c:v>95.645616289137777</c:v>
                </c:pt>
                <c:pt idx="32">
                  <c:v>95.730829521097931</c:v>
                </c:pt>
                <c:pt idx="33">
                  <c:v>95.635581832840629</c:v>
                </c:pt>
                <c:pt idx="34">
                  <c:v>95.717139978483232</c:v>
                </c:pt>
                <c:pt idx="35">
                  <c:v>95.976875419281001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23-7049-B02C-E52CFC1D189F}"/>
            </c:ext>
          </c:extLst>
        </c:ser>
        <c:ser>
          <c:idx val="6"/>
          <c:order val="6"/>
          <c:tx>
            <c:strRef>
              <c:f>Sheet1!$I$8</c:f>
              <c:strCache>
                <c:ptCount val="1"/>
                <c:pt idx="0">
                  <c:v>Observational study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Sheet1!$J$8:$AS$8</c:f>
              <c:numCache>
                <c:formatCode>General</c:formatCode>
                <c:ptCount val="36"/>
                <c:pt idx="22">
                  <c:v>93.103448275862064</c:v>
                </c:pt>
                <c:pt idx="23">
                  <c:v>97.959183673469383</c:v>
                </c:pt>
                <c:pt idx="24">
                  <c:v>96.735905044510389</c:v>
                </c:pt>
                <c:pt idx="25">
                  <c:v>95.746455379482896</c:v>
                </c:pt>
                <c:pt idx="26">
                  <c:v>95.977011494252878</c:v>
                </c:pt>
                <c:pt idx="27">
                  <c:v>96.442914515203668</c:v>
                </c:pt>
                <c:pt idx="28">
                  <c:v>95.410005157297576</c:v>
                </c:pt>
                <c:pt idx="29">
                  <c:v>95.840336134453779</c:v>
                </c:pt>
                <c:pt idx="30">
                  <c:v>95.87866798549291</c:v>
                </c:pt>
                <c:pt idx="31">
                  <c:v>95.844649646931018</c:v>
                </c:pt>
                <c:pt idx="32">
                  <c:v>95.68993245416533</c:v>
                </c:pt>
                <c:pt idx="33">
                  <c:v>95.914542728635681</c:v>
                </c:pt>
                <c:pt idx="34">
                  <c:v>95.382782246053026</c:v>
                </c:pt>
                <c:pt idx="35">
                  <c:v>95.220338983050851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28-4A64-981A-39E8AFE456FF}"/>
            </c:ext>
          </c:extLst>
        </c:ser>
        <c:ser>
          <c:idx val="7"/>
          <c:order val="7"/>
          <c:tx>
            <c:strRef>
              <c:f>Sheet1!$I$9</c:f>
              <c:strCache>
                <c:ptCount val="1"/>
                <c:pt idx="0">
                  <c:v>Systematic review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Sheet1!$J$9:$AS$9</c:f>
              <c:numCache>
                <c:formatCode>General</c:formatCode>
                <c:ptCount val="36"/>
                <c:pt idx="16">
                  <c:v>90.909090909090907</c:v>
                </c:pt>
                <c:pt idx="17">
                  <c:v>84.615384615384613</c:v>
                </c:pt>
                <c:pt idx="18">
                  <c:v>85.714285714285708</c:v>
                </c:pt>
                <c:pt idx="19">
                  <c:v>88.235294117647058</c:v>
                </c:pt>
                <c:pt idx="20">
                  <c:v>87.719298245614027</c:v>
                </c:pt>
                <c:pt idx="21">
                  <c:v>87.692307692307693</c:v>
                </c:pt>
                <c:pt idx="22">
                  <c:v>83.898305084745758</c:v>
                </c:pt>
                <c:pt idx="23">
                  <c:v>90.77669902912622</c:v>
                </c:pt>
                <c:pt idx="24">
                  <c:v>89.556962025316452</c:v>
                </c:pt>
                <c:pt idx="25">
                  <c:v>90.570175438596493</c:v>
                </c:pt>
                <c:pt idx="26">
                  <c:v>88.908145580589263</c:v>
                </c:pt>
                <c:pt idx="27">
                  <c:v>91.202346041055719</c:v>
                </c:pt>
                <c:pt idx="28">
                  <c:v>89.494163424124523</c:v>
                </c:pt>
                <c:pt idx="29">
                  <c:v>90.84615384615384</c:v>
                </c:pt>
                <c:pt idx="30">
                  <c:v>92.748538011695899</c:v>
                </c:pt>
                <c:pt idx="31">
                  <c:v>92.396218660090426</c:v>
                </c:pt>
                <c:pt idx="32">
                  <c:v>92.526017029328287</c:v>
                </c:pt>
                <c:pt idx="33">
                  <c:v>92.839678658749563</c:v>
                </c:pt>
                <c:pt idx="34">
                  <c:v>93.787515006002394</c:v>
                </c:pt>
                <c:pt idx="35">
                  <c:v>92.559188275084551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28-4A64-981A-39E8AFE45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3349519"/>
        <c:axId val="1063432095"/>
      </c:lineChart>
      <c:catAx>
        <c:axId val="1063349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ko-JP"/>
          </a:p>
        </c:txPr>
        <c:crossAx val="1063432095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063432095"/>
        <c:scaling>
          <c:orientation val="minMax"/>
          <c:max val="100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Proportion of PMC Abstracts With </a:t>
                </a:r>
                <a:r>
                  <a:rPr lang="ko-KR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≥</a:t>
                </a: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1 P Value </a:t>
                </a:r>
                <a:r>
                  <a:rPr lang="ko-KR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≤</a:t>
                </a: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.05,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ko-JP"/>
          </a:p>
        </c:txPr>
        <c:crossAx val="1063349519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69309431559150358"/>
          <c:y val="0.57322015915119362"/>
          <c:w val="0.1401316105328104"/>
          <c:h val="0.2707612105515988"/>
        </c:manualLayout>
      </c:layout>
      <c:overlay val="0"/>
      <c:spPr>
        <a:solidFill>
          <a:schemeClr val="bg1"/>
        </a:solidFill>
        <a:ln>
          <a:solidFill>
            <a:schemeClr val="tx1">
              <a:lumMod val="95000"/>
              <a:lumOff val="5000"/>
              <a:alpha val="93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ko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Helvetica" panose="020B0604020202020204" pitchFamily="34" charset="0"/>
          <a:cs typeface="Helvetica" panose="020B0604020202020204" pitchFamily="34" charset="0"/>
        </a:defRPr>
      </a:pPr>
      <a:endParaRPr lang="ko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339725</xdr:colOff>
      <xdr:row>9</xdr:row>
      <xdr:rowOff>101600</xdr:rowOff>
    </xdr:from>
    <xdr:to>
      <xdr:col>21</xdr:col>
      <xdr:colOff>187325</xdr:colOff>
      <xdr:row>36</xdr:row>
      <xdr:rowOff>171450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19D5EE80-DA4A-454F-CD13-156B84A37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ke4\Documents\&#52852;&#52852;&#50724;&#53665;%20&#48155;&#51008;%20&#54028;&#51068;\20250923\20251128PubmedTotal%20-%20Copy\20250920Totalsheet.xlsx" TargetMode="External"/><Relationship Id="rId1" Type="http://schemas.openxmlformats.org/officeDocument/2006/relationships/externalLinkPath" Target="20250920Total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CT"/>
      <sheetName val="CT"/>
      <sheetName val="META"/>
      <sheetName val="REVIEW"/>
      <sheetName val="CCJ"/>
      <sheetName val="ALL"/>
      <sheetName val="OBS"/>
      <sheetName val="SYSREV"/>
    </sheetNames>
    <sheetDataSet>
      <sheetData sheetId="0">
        <row r="1">
          <cell r="C1" t="str">
            <v>HasPvalue</v>
          </cell>
          <cell r="D1" t="str">
            <v>Pvalue0.05</v>
          </cell>
        </row>
        <row r="2">
          <cell r="C2">
            <v>3</v>
          </cell>
          <cell r="D2">
            <v>2</v>
          </cell>
        </row>
        <row r="3">
          <cell r="C3">
            <v>10</v>
          </cell>
          <cell r="D3">
            <v>10</v>
          </cell>
        </row>
        <row r="4">
          <cell r="C4">
            <v>6</v>
          </cell>
          <cell r="D4">
            <v>6</v>
          </cell>
        </row>
        <row r="5">
          <cell r="C5">
            <v>14</v>
          </cell>
          <cell r="D5">
            <v>14</v>
          </cell>
        </row>
        <row r="6">
          <cell r="C6">
            <v>19</v>
          </cell>
          <cell r="D6">
            <v>17</v>
          </cell>
        </row>
        <row r="7">
          <cell r="C7">
            <v>15</v>
          </cell>
          <cell r="D7">
            <v>13</v>
          </cell>
        </row>
        <row r="8">
          <cell r="C8">
            <v>19</v>
          </cell>
          <cell r="D8">
            <v>16</v>
          </cell>
        </row>
        <row r="9">
          <cell r="C9">
            <v>17</v>
          </cell>
          <cell r="D9">
            <v>15</v>
          </cell>
        </row>
        <row r="10">
          <cell r="C10">
            <v>27</v>
          </cell>
          <cell r="D10">
            <v>23</v>
          </cell>
        </row>
        <row r="11">
          <cell r="C11">
            <v>16</v>
          </cell>
          <cell r="D11">
            <v>14</v>
          </cell>
        </row>
        <row r="12">
          <cell r="C12">
            <v>21</v>
          </cell>
          <cell r="D12">
            <v>18</v>
          </cell>
        </row>
        <row r="13">
          <cell r="C13">
            <v>34</v>
          </cell>
          <cell r="D13">
            <v>26</v>
          </cell>
        </row>
        <row r="14">
          <cell r="C14">
            <v>35</v>
          </cell>
          <cell r="D14">
            <v>31</v>
          </cell>
        </row>
        <row r="15">
          <cell r="C15">
            <v>36</v>
          </cell>
          <cell r="D15">
            <v>32</v>
          </cell>
        </row>
        <row r="16">
          <cell r="C16">
            <v>71</v>
          </cell>
          <cell r="D16">
            <v>62</v>
          </cell>
        </row>
        <row r="17">
          <cell r="C17">
            <v>92</v>
          </cell>
          <cell r="D17">
            <v>85</v>
          </cell>
        </row>
        <row r="18">
          <cell r="C18">
            <v>126</v>
          </cell>
          <cell r="D18">
            <v>112</v>
          </cell>
        </row>
        <row r="19">
          <cell r="C19">
            <v>219</v>
          </cell>
          <cell r="D19">
            <v>196</v>
          </cell>
        </row>
        <row r="20">
          <cell r="C20">
            <v>343</v>
          </cell>
          <cell r="D20">
            <v>308</v>
          </cell>
        </row>
        <row r="21">
          <cell r="C21">
            <v>451</v>
          </cell>
          <cell r="D21">
            <v>404</v>
          </cell>
        </row>
        <row r="22">
          <cell r="C22">
            <v>622</v>
          </cell>
          <cell r="D22">
            <v>574</v>
          </cell>
        </row>
        <row r="23">
          <cell r="C23">
            <v>831</v>
          </cell>
          <cell r="D23">
            <v>754</v>
          </cell>
        </row>
        <row r="24">
          <cell r="C24">
            <v>993</v>
          </cell>
          <cell r="D24">
            <v>918</v>
          </cell>
        </row>
        <row r="25">
          <cell r="C25">
            <v>1415</v>
          </cell>
          <cell r="D25">
            <v>1289</v>
          </cell>
        </row>
        <row r="26">
          <cell r="C26">
            <v>1798</v>
          </cell>
          <cell r="D26">
            <v>1654</v>
          </cell>
        </row>
        <row r="27">
          <cell r="C27">
            <v>2018</v>
          </cell>
          <cell r="D27">
            <v>1834</v>
          </cell>
        </row>
        <row r="28">
          <cell r="C28">
            <v>2279</v>
          </cell>
          <cell r="D28">
            <v>2090</v>
          </cell>
        </row>
        <row r="29">
          <cell r="C29">
            <v>2498</v>
          </cell>
          <cell r="D29">
            <v>2277</v>
          </cell>
        </row>
        <row r="30">
          <cell r="C30">
            <v>2702</v>
          </cell>
          <cell r="D30">
            <v>2449</v>
          </cell>
        </row>
        <row r="31">
          <cell r="C31">
            <v>3106</v>
          </cell>
          <cell r="D31">
            <v>2819</v>
          </cell>
        </row>
        <row r="32">
          <cell r="C32">
            <v>3739</v>
          </cell>
          <cell r="D32">
            <v>3381</v>
          </cell>
        </row>
        <row r="33">
          <cell r="C33">
            <v>4463</v>
          </cell>
          <cell r="D33">
            <v>4044</v>
          </cell>
        </row>
        <row r="34">
          <cell r="C34">
            <v>5358</v>
          </cell>
          <cell r="D34">
            <v>4882</v>
          </cell>
        </row>
        <row r="35">
          <cell r="C35">
            <v>4453</v>
          </cell>
          <cell r="D35">
            <v>4011</v>
          </cell>
        </row>
        <row r="36">
          <cell r="C36">
            <v>5084</v>
          </cell>
          <cell r="D36">
            <v>4632</v>
          </cell>
        </row>
        <row r="37">
          <cell r="C37">
            <v>4204</v>
          </cell>
          <cell r="D37">
            <v>3822</v>
          </cell>
        </row>
        <row r="38">
          <cell r="C38">
            <v>47137</v>
          </cell>
          <cell r="D38">
            <v>42834</v>
          </cell>
        </row>
        <row r="39">
          <cell r="C39">
            <v>5358</v>
          </cell>
          <cell r="D39">
            <v>4882</v>
          </cell>
        </row>
        <row r="40">
          <cell r="C40">
            <v>3</v>
          </cell>
          <cell r="D40">
            <v>2</v>
          </cell>
        </row>
      </sheetData>
      <sheetData sheetId="1">
        <row r="1">
          <cell r="C1" t="str">
            <v>HasPvalue</v>
          </cell>
          <cell r="D1" t="str">
            <v>Pvalue0.05</v>
          </cell>
        </row>
        <row r="2">
          <cell r="C2">
            <v>4</v>
          </cell>
          <cell r="D2">
            <v>3</v>
          </cell>
        </row>
        <row r="3">
          <cell r="C3">
            <v>13</v>
          </cell>
          <cell r="D3">
            <v>13</v>
          </cell>
        </row>
        <row r="4">
          <cell r="C4">
            <v>9</v>
          </cell>
          <cell r="D4">
            <v>9</v>
          </cell>
        </row>
        <row r="5">
          <cell r="C5">
            <v>23</v>
          </cell>
          <cell r="D5">
            <v>22</v>
          </cell>
        </row>
        <row r="6">
          <cell r="C6">
            <v>33</v>
          </cell>
          <cell r="D6">
            <v>31</v>
          </cell>
        </row>
        <row r="7">
          <cell r="C7">
            <v>26</v>
          </cell>
          <cell r="D7">
            <v>23</v>
          </cell>
        </row>
        <row r="8">
          <cell r="C8">
            <v>27</v>
          </cell>
          <cell r="D8">
            <v>24</v>
          </cell>
        </row>
        <row r="9">
          <cell r="C9">
            <v>32</v>
          </cell>
          <cell r="D9">
            <v>29</v>
          </cell>
        </row>
        <row r="10">
          <cell r="C10">
            <v>48</v>
          </cell>
          <cell r="D10">
            <v>43</v>
          </cell>
        </row>
        <row r="11">
          <cell r="C11">
            <v>40</v>
          </cell>
          <cell r="D11">
            <v>37</v>
          </cell>
        </row>
        <row r="12">
          <cell r="C12">
            <v>41</v>
          </cell>
          <cell r="D12">
            <v>37</v>
          </cell>
        </row>
        <row r="13">
          <cell r="C13">
            <v>60</v>
          </cell>
          <cell r="D13">
            <v>52</v>
          </cell>
        </row>
        <row r="14">
          <cell r="C14">
            <v>47</v>
          </cell>
          <cell r="D14">
            <v>43</v>
          </cell>
        </row>
        <row r="15">
          <cell r="C15">
            <v>61</v>
          </cell>
          <cell r="D15">
            <v>57</v>
          </cell>
        </row>
        <row r="16">
          <cell r="C16">
            <v>123</v>
          </cell>
          <cell r="D16">
            <v>113</v>
          </cell>
        </row>
        <row r="17">
          <cell r="C17">
            <v>82</v>
          </cell>
          <cell r="D17">
            <v>78</v>
          </cell>
        </row>
        <row r="18">
          <cell r="C18">
            <v>61</v>
          </cell>
          <cell r="D18">
            <v>59</v>
          </cell>
        </row>
        <row r="19">
          <cell r="C19">
            <v>58</v>
          </cell>
          <cell r="D19">
            <v>54</v>
          </cell>
        </row>
        <row r="20">
          <cell r="C20">
            <v>77</v>
          </cell>
          <cell r="D20">
            <v>74</v>
          </cell>
        </row>
        <row r="21">
          <cell r="C21">
            <v>98</v>
          </cell>
          <cell r="D21">
            <v>97</v>
          </cell>
        </row>
        <row r="22">
          <cell r="C22">
            <v>128</v>
          </cell>
          <cell r="D22">
            <v>124</v>
          </cell>
        </row>
        <row r="23">
          <cell r="C23">
            <v>191</v>
          </cell>
          <cell r="D23">
            <v>184</v>
          </cell>
        </row>
        <row r="24">
          <cell r="C24">
            <v>328</v>
          </cell>
          <cell r="D24">
            <v>315</v>
          </cell>
        </row>
        <row r="25">
          <cell r="C25">
            <v>472</v>
          </cell>
          <cell r="D25">
            <v>459</v>
          </cell>
        </row>
        <row r="26">
          <cell r="C26">
            <v>550</v>
          </cell>
          <cell r="D26">
            <v>531</v>
          </cell>
        </row>
        <row r="27">
          <cell r="C27">
            <v>588</v>
          </cell>
          <cell r="D27">
            <v>569</v>
          </cell>
        </row>
        <row r="28">
          <cell r="C28">
            <v>636</v>
          </cell>
          <cell r="D28">
            <v>615</v>
          </cell>
        </row>
        <row r="29">
          <cell r="C29">
            <v>562</v>
          </cell>
          <cell r="D29">
            <v>534</v>
          </cell>
        </row>
        <row r="30">
          <cell r="C30">
            <v>714</v>
          </cell>
          <cell r="D30">
            <v>687</v>
          </cell>
        </row>
        <row r="31">
          <cell r="C31">
            <v>837</v>
          </cell>
          <cell r="D31">
            <v>811</v>
          </cell>
        </row>
        <row r="32">
          <cell r="C32">
            <v>768</v>
          </cell>
          <cell r="D32">
            <v>742</v>
          </cell>
        </row>
        <row r="33">
          <cell r="C33">
            <v>901</v>
          </cell>
          <cell r="D33">
            <v>859</v>
          </cell>
        </row>
        <row r="34">
          <cell r="C34">
            <v>594</v>
          </cell>
          <cell r="D34">
            <v>563</v>
          </cell>
        </row>
        <row r="35">
          <cell r="C35">
            <v>470</v>
          </cell>
          <cell r="D35">
            <v>439</v>
          </cell>
        </row>
        <row r="36">
          <cell r="C36">
            <v>416</v>
          </cell>
          <cell r="D36">
            <v>393</v>
          </cell>
        </row>
        <row r="37">
          <cell r="C37">
            <v>345</v>
          </cell>
          <cell r="D37">
            <v>330</v>
          </cell>
        </row>
        <row r="38">
          <cell r="C38">
            <v>9463</v>
          </cell>
          <cell r="D38">
            <v>9053</v>
          </cell>
        </row>
        <row r="39">
          <cell r="C39">
            <v>901</v>
          </cell>
          <cell r="D39">
            <v>859</v>
          </cell>
        </row>
        <row r="40">
          <cell r="C40">
            <v>4</v>
          </cell>
          <cell r="D40">
            <v>3</v>
          </cell>
        </row>
      </sheetData>
      <sheetData sheetId="2">
        <row r="1">
          <cell r="C1" t="str">
            <v>HasPvalue</v>
          </cell>
          <cell r="D1" t="str">
            <v>Pvalue0.05</v>
          </cell>
        </row>
        <row r="2">
          <cell r="C2">
            <v>0</v>
          </cell>
          <cell r="D2">
            <v>0</v>
          </cell>
        </row>
        <row r="3">
          <cell r="C3">
            <v>0</v>
          </cell>
          <cell r="D3">
            <v>0</v>
          </cell>
        </row>
        <row r="4">
          <cell r="C4">
            <v>0</v>
          </cell>
          <cell r="D4">
            <v>0</v>
          </cell>
        </row>
        <row r="5">
          <cell r="C5">
            <v>0</v>
          </cell>
          <cell r="D5">
            <v>0</v>
          </cell>
        </row>
        <row r="6">
          <cell r="C6">
            <v>1</v>
          </cell>
          <cell r="D6">
            <v>1</v>
          </cell>
        </row>
        <row r="7">
          <cell r="C7">
            <v>1</v>
          </cell>
          <cell r="D7">
            <v>1</v>
          </cell>
        </row>
        <row r="8">
          <cell r="C8">
            <v>0</v>
          </cell>
          <cell r="D8">
            <v>0</v>
          </cell>
        </row>
        <row r="9">
          <cell r="C9">
            <v>1</v>
          </cell>
          <cell r="D9">
            <v>1</v>
          </cell>
        </row>
        <row r="10">
          <cell r="C10">
            <v>0</v>
          </cell>
          <cell r="D10">
            <v>0</v>
          </cell>
        </row>
        <row r="11">
          <cell r="C11">
            <v>0</v>
          </cell>
          <cell r="D11">
            <v>0</v>
          </cell>
        </row>
        <row r="12">
          <cell r="C12">
            <v>4</v>
          </cell>
          <cell r="D12">
            <v>4</v>
          </cell>
        </row>
        <row r="13">
          <cell r="C13">
            <v>3</v>
          </cell>
          <cell r="D13">
            <v>2</v>
          </cell>
        </row>
        <row r="14">
          <cell r="C14">
            <v>4</v>
          </cell>
          <cell r="D14">
            <v>4</v>
          </cell>
        </row>
        <row r="15">
          <cell r="C15">
            <v>4</v>
          </cell>
          <cell r="D15">
            <v>3</v>
          </cell>
        </row>
        <row r="16">
          <cell r="C16">
            <v>8</v>
          </cell>
          <cell r="D16">
            <v>6</v>
          </cell>
        </row>
        <row r="17">
          <cell r="C17">
            <v>11</v>
          </cell>
          <cell r="D17">
            <v>7</v>
          </cell>
        </row>
        <row r="18">
          <cell r="C18">
            <v>18</v>
          </cell>
          <cell r="D18">
            <v>15</v>
          </cell>
        </row>
        <row r="19">
          <cell r="C19">
            <v>22</v>
          </cell>
          <cell r="D19">
            <v>20</v>
          </cell>
        </row>
        <row r="20">
          <cell r="C20">
            <v>44</v>
          </cell>
          <cell r="D20">
            <v>35</v>
          </cell>
        </row>
        <row r="21">
          <cell r="C21">
            <v>82</v>
          </cell>
          <cell r="D21">
            <v>76</v>
          </cell>
        </row>
        <row r="22">
          <cell r="C22">
            <v>110</v>
          </cell>
          <cell r="D22">
            <v>97</v>
          </cell>
        </row>
        <row r="23">
          <cell r="C23">
            <v>212</v>
          </cell>
          <cell r="D23">
            <v>188</v>
          </cell>
        </row>
        <row r="24">
          <cell r="C24">
            <v>320</v>
          </cell>
          <cell r="D24">
            <v>286</v>
          </cell>
        </row>
        <row r="25">
          <cell r="C25">
            <v>558</v>
          </cell>
          <cell r="D25">
            <v>499</v>
          </cell>
        </row>
        <row r="26">
          <cell r="C26">
            <v>763</v>
          </cell>
          <cell r="D26">
            <v>692</v>
          </cell>
        </row>
        <row r="27">
          <cell r="C27">
            <v>982</v>
          </cell>
          <cell r="D27">
            <v>892</v>
          </cell>
        </row>
        <row r="28">
          <cell r="C28">
            <v>1194</v>
          </cell>
          <cell r="D28">
            <v>1092</v>
          </cell>
        </row>
        <row r="29">
          <cell r="C29">
            <v>1318</v>
          </cell>
          <cell r="D29">
            <v>1211</v>
          </cell>
        </row>
        <row r="30">
          <cell r="C30">
            <v>1360</v>
          </cell>
          <cell r="D30">
            <v>1220</v>
          </cell>
        </row>
        <row r="31">
          <cell r="C31">
            <v>1613</v>
          </cell>
          <cell r="D31">
            <v>1463</v>
          </cell>
        </row>
        <row r="32">
          <cell r="C32">
            <v>1964</v>
          </cell>
          <cell r="D32">
            <v>1812</v>
          </cell>
        </row>
        <row r="33">
          <cell r="C33">
            <v>2277</v>
          </cell>
          <cell r="D33">
            <v>2099</v>
          </cell>
        </row>
        <row r="34">
          <cell r="C34">
            <v>2858</v>
          </cell>
          <cell r="D34">
            <v>2634</v>
          </cell>
        </row>
        <row r="35">
          <cell r="C35">
            <v>2933</v>
          </cell>
          <cell r="D35">
            <v>2719</v>
          </cell>
        </row>
        <row r="36">
          <cell r="C36">
            <v>3063</v>
          </cell>
          <cell r="D36">
            <v>2866</v>
          </cell>
        </row>
        <row r="37">
          <cell r="C37">
            <v>2311</v>
          </cell>
          <cell r="D37">
            <v>2127</v>
          </cell>
        </row>
        <row r="38">
          <cell r="C38">
            <v>24039</v>
          </cell>
          <cell r="D38">
            <v>22072</v>
          </cell>
        </row>
        <row r="39">
          <cell r="C39">
            <v>3063</v>
          </cell>
          <cell r="D39">
            <v>2866</v>
          </cell>
        </row>
        <row r="40">
          <cell r="C40">
            <v>0</v>
          </cell>
          <cell r="D40">
            <v>0</v>
          </cell>
        </row>
      </sheetData>
      <sheetData sheetId="3">
        <row r="1">
          <cell r="C1" t="str">
            <v>HasPvalue</v>
          </cell>
          <cell r="D1" t="str">
            <v>Pvalue0.05</v>
          </cell>
        </row>
        <row r="2">
          <cell r="C2">
            <v>1</v>
          </cell>
          <cell r="D2">
            <v>1</v>
          </cell>
        </row>
        <row r="3">
          <cell r="C3">
            <v>1</v>
          </cell>
          <cell r="D3">
            <v>1</v>
          </cell>
        </row>
        <row r="4">
          <cell r="C4">
            <v>0</v>
          </cell>
          <cell r="D4">
            <v>0</v>
          </cell>
        </row>
        <row r="5">
          <cell r="C5">
            <v>2</v>
          </cell>
          <cell r="D5">
            <v>2</v>
          </cell>
        </row>
        <row r="6">
          <cell r="C6">
            <v>1</v>
          </cell>
          <cell r="D6">
            <v>1</v>
          </cell>
        </row>
        <row r="7">
          <cell r="C7">
            <v>1</v>
          </cell>
          <cell r="D7">
            <v>1</v>
          </cell>
        </row>
        <row r="8">
          <cell r="C8">
            <v>0</v>
          </cell>
          <cell r="D8">
            <v>0</v>
          </cell>
        </row>
        <row r="9">
          <cell r="C9">
            <v>6</v>
          </cell>
          <cell r="D9">
            <v>6</v>
          </cell>
        </row>
        <row r="10">
          <cell r="C10">
            <v>1</v>
          </cell>
          <cell r="D10">
            <v>1</v>
          </cell>
        </row>
        <row r="11">
          <cell r="C11">
            <v>2</v>
          </cell>
          <cell r="D11">
            <v>2</v>
          </cell>
        </row>
        <row r="12">
          <cell r="C12">
            <v>2</v>
          </cell>
          <cell r="D12">
            <v>2</v>
          </cell>
        </row>
        <row r="13">
          <cell r="C13">
            <v>3</v>
          </cell>
          <cell r="D13">
            <v>3</v>
          </cell>
        </row>
        <row r="14">
          <cell r="C14">
            <v>0</v>
          </cell>
          <cell r="D14">
            <v>0</v>
          </cell>
        </row>
        <row r="15">
          <cell r="C15">
            <v>2</v>
          </cell>
          <cell r="D15">
            <v>2</v>
          </cell>
        </row>
        <row r="16">
          <cell r="C16">
            <v>8</v>
          </cell>
          <cell r="D16">
            <v>7</v>
          </cell>
        </row>
        <row r="17">
          <cell r="C17">
            <v>3</v>
          </cell>
          <cell r="D17">
            <v>3</v>
          </cell>
        </row>
        <row r="18">
          <cell r="C18">
            <v>11</v>
          </cell>
          <cell r="D18">
            <v>11</v>
          </cell>
        </row>
        <row r="19">
          <cell r="C19">
            <v>14</v>
          </cell>
          <cell r="D19">
            <v>13</v>
          </cell>
        </row>
        <row r="20">
          <cell r="C20">
            <v>20</v>
          </cell>
          <cell r="D20">
            <v>16</v>
          </cell>
        </row>
        <row r="21">
          <cell r="C21">
            <v>24</v>
          </cell>
          <cell r="D21">
            <v>23</v>
          </cell>
        </row>
        <row r="22">
          <cell r="C22">
            <v>41</v>
          </cell>
          <cell r="D22">
            <v>38</v>
          </cell>
        </row>
        <row r="23">
          <cell r="C23">
            <v>57</v>
          </cell>
          <cell r="D23">
            <v>52</v>
          </cell>
        </row>
        <row r="24">
          <cell r="C24">
            <v>58</v>
          </cell>
          <cell r="D24">
            <v>56</v>
          </cell>
        </row>
        <row r="25">
          <cell r="C25">
            <v>117</v>
          </cell>
          <cell r="D25">
            <v>107</v>
          </cell>
        </row>
        <row r="26">
          <cell r="C26">
            <v>214</v>
          </cell>
          <cell r="D26">
            <v>198</v>
          </cell>
        </row>
        <row r="27">
          <cell r="C27">
            <v>338</v>
          </cell>
          <cell r="D27">
            <v>312</v>
          </cell>
        </row>
        <row r="28">
          <cell r="C28">
            <v>467</v>
          </cell>
          <cell r="D28">
            <v>430</v>
          </cell>
        </row>
        <row r="29">
          <cell r="C29">
            <v>492</v>
          </cell>
          <cell r="D29">
            <v>442</v>
          </cell>
        </row>
        <row r="30">
          <cell r="C30">
            <v>642</v>
          </cell>
          <cell r="D30">
            <v>577</v>
          </cell>
        </row>
        <row r="31">
          <cell r="C31">
            <v>576</v>
          </cell>
          <cell r="D31">
            <v>521</v>
          </cell>
        </row>
        <row r="32">
          <cell r="C32">
            <v>784</v>
          </cell>
          <cell r="D32">
            <v>718</v>
          </cell>
        </row>
        <row r="33">
          <cell r="C33">
            <v>1187</v>
          </cell>
          <cell r="D33">
            <v>1089</v>
          </cell>
        </row>
        <row r="34">
          <cell r="C34">
            <v>1817</v>
          </cell>
          <cell r="D34">
            <v>1676</v>
          </cell>
        </row>
        <row r="35">
          <cell r="C35">
            <v>1797</v>
          </cell>
          <cell r="D35">
            <v>1635</v>
          </cell>
        </row>
        <row r="36">
          <cell r="C36">
            <v>1501</v>
          </cell>
          <cell r="D36">
            <v>1384</v>
          </cell>
        </row>
        <row r="37">
          <cell r="C37">
            <v>1123</v>
          </cell>
          <cell r="D37">
            <v>1037</v>
          </cell>
        </row>
        <row r="38">
          <cell r="C38">
            <v>11313</v>
          </cell>
          <cell r="D38">
            <v>10367</v>
          </cell>
        </row>
        <row r="39">
          <cell r="C39">
            <v>1817</v>
          </cell>
          <cell r="D39">
            <v>1676</v>
          </cell>
        </row>
        <row r="40">
          <cell r="C40">
            <v>0</v>
          </cell>
          <cell r="D40">
            <v>0</v>
          </cell>
        </row>
      </sheetData>
      <sheetData sheetId="4">
        <row r="1">
          <cell r="C1" t="str">
            <v>HasPvalue</v>
          </cell>
          <cell r="D1" t="str">
            <v>Pvalue0.05</v>
          </cell>
        </row>
        <row r="2">
          <cell r="C2">
            <v>1</v>
          </cell>
          <cell r="D2">
            <v>1</v>
          </cell>
        </row>
        <row r="3">
          <cell r="C3">
            <v>1</v>
          </cell>
          <cell r="D3">
            <v>1</v>
          </cell>
        </row>
        <row r="4">
          <cell r="C4">
            <v>0</v>
          </cell>
          <cell r="D4">
            <v>0</v>
          </cell>
        </row>
        <row r="5">
          <cell r="C5">
            <v>0</v>
          </cell>
          <cell r="D5">
            <v>0</v>
          </cell>
        </row>
        <row r="6">
          <cell r="C6">
            <v>0</v>
          </cell>
          <cell r="D6">
            <v>0</v>
          </cell>
        </row>
        <row r="7">
          <cell r="C7">
            <v>0</v>
          </cell>
          <cell r="D7">
            <v>0</v>
          </cell>
        </row>
        <row r="8">
          <cell r="C8">
            <v>0</v>
          </cell>
          <cell r="D8">
            <v>0</v>
          </cell>
        </row>
        <row r="9">
          <cell r="C9">
            <v>1</v>
          </cell>
          <cell r="D9">
            <v>1</v>
          </cell>
        </row>
        <row r="10">
          <cell r="C10">
            <v>0</v>
          </cell>
          <cell r="D10">
            <v>0</v>
          </cell>
        </row>
        <row r="11">
          <cell r="C11">
            <v>0</v>
          </cell>
          <cell r="D11">
            <v>0</v>
          </cell>
        </row>
        <row r="12">
          <cell r="C12">
            <v>1</v>
          </cell>
          <cell r="D12">
            <v>1</v>
          </cell>
        </row>
        <row r="13">
          <cell r="C13">
            <v>0</v>
          </cell>
          <cell r="D13">
            <v>0</v>
          </cell>
        </row>
        <row r="14">
          <cell r="C14">
            <v>1</v>
          </cell>
          <cell r="D14">
            <v>1</v>
          </cell>
        </row>
        <row r="15">
          <cell r="C15">
            <v>5</v>
          </cell>
          <cell r="D15">
            <v>5</v>
          </cell>
        </row>
        <row r="16">
          <cell r="C16">
            <v>10</v>
          </cell>
          <cell r="D16">
            <v>10</v>
          </cell>
        </row>
        <row r="17">
          <cell r="C17">
            <v>9</v>
          </cell>
          <cell r="D17">
            <v>8</v>
          </cell>
        </row>
        <row r="18">
          <cell r="C18">
            <v>6</v>
          </cell>
          <cell r="D18">
            <v>6</v>
          </cell>
        </row>
        <row r="19">
          <cell r="C19">
            <v>14</v>
          </cell>
          <cell r="D19">
            <v>14</v>
          </cell>
        </row>
        <row r="20">
          <cell r="C20">
            <v>125</v>
          </cell>
          <cell r="D20">
            <v>121</v>
          </cell>
        </row>
        <row r="21">
          <cell r="C21">
            <v>228</v>
          </cell>
          <cell r="D21">
            <v>216</v>
          </cell>
        </row>
        <row r="22">
          <cell r="C22">
            <v>281</v>
          </cell>
          <cell r="D22">
            <v>266</v>
          </cell>
        </row>
        <row r="23">
          <cell r="C23">
            <v>264</v>
          </cell>
          <cell r="D23">
            <v>251</v>
          </cell>
        </row>
        <row r="24">
          <cell r="C24">
            <v>218</v>
          </cell>
          <cell r="D24">
            <v>202</v>
          </cell>
        </row>
        <row r="25">
          <cell r="C25">
            <v>246</v>
          </cell>
          <cell r="D25">
            <v>228</v>
          </cell>
        </row>
        <row r="26">
          <cell r="C26">
            <v>442</v>
          </cell>
          <cell r="D26">
            <v>411</v>
          </cell>
        </row>
        <row r="27">
          <cell r="C27">
            <v>1236</v>
          </cell>
          <cell r="D27">
            <v>1178</v>
          </cell>
        </row>
        <row r="28">
          <cell r="C28">
            <v>1938</v>
          </cell>
          <cell r="D28">
            <v>1847</v>
          </cell>
        </row>
        <row r="29">
          <cell r="C29">
            <v>1789</v>
          </cell>
          <cell r="D29">
            <v>1705</v>
          </cell>
        </row>
        <row r="30">
          <cell r="C30">
            <v>1938</v>
          </cell>
          <cell r="D30">
            <v>1818</v>
          </cell>
        </row>
        <row r="31">
          <cell r="C31">
            <v>2090</v>
          </cell>
          <cell r="D31">
            <v>1964</v>
          </cell>
        </row>
        <row r="32">
          <cell r="C32">
            <v>2422</v>
          </cell>
          <cell r="D32">
            <v>2290</v>
          </cell>
        </row>
        <row r="33">
          <cell r="C33">
            <v>2737</v>
          </cell>
          <cell r="D33">
            <v>2590</v>
          </cell>
        </row>
        <row r="34">
          <cell r="C34">
            <v>2621</v>
          </cell>
          <cell r="D34">
            <v>2487</v>
          </cell>
        </row>
        <row r="35">
          <cell r="C35">
            <v>2423</v>
          </cell>
          <cell r="D35">
            <v>2281</v>
          </cell>
        </row>
        <row r="36">
          <cell r="C36">
            <v>2589</v>
          </cell>
          <cell r="D36">
            <v>2471</v>
          </cell>
        </row>
        <row r="37">
          <cell r="C37">
            <v>1969</v>
          </cell>
          <cell r="D37">
            <v>1853</v>
          </cell>
        </row>
        <row r="38">
          <cell r="C38">
            <v>25605</v>
          </cell>
          <cell r="D38">
            <v>24227</v>
          </cell>
        </row>
        <row r="39">
          <cell r="C39">
            <v>2737</v>
          </cell>
          <cell r="D39">
            <v>2590</v>
          </cell>
        </row>
        <row r="40">
          <cell r="C40">
            <v>0</v>
          </cell>
          <cell r="D40">
            <v>0</v>
          </cell>
        </row>
      </sheetData>
      <sheetData sheetId="5">
        <row r="1">
          <cell r="C1" t="str">
            <v>HasPvalue</v>
          </cell>
          <cell r="D1" t="str">
            <v>Pvalue0.05</v>
          </cell>
        </row>
        <row r="2">
          <cell r="C2">
            <v>94</v>
          </cell>
          <cell r="D2">
            <v>90</v>
          </cell>
        </row>
        <row r="3">
          <cell r="C3">
            <v>142</v>
          </cell>
          <cell r="D3">
            <v>140</v>
          </cell>
        </row>
        <row r="4">
          <cell r="C4">
            <v>145</v>
          </cell>
          <cell r="D4">
            <v>141</v>
          </cell>
        </row>
        <row r="5">
          <cell r="C5">
            <v>200</v>
          </cell>
          <cell r="D5">
            <v>192</v>
          </cell>
        </row>
        <row r="6">
          <cell r="C6">
            <v>235</v>
          </cell>
          <cell r="D6">
            <v>230</v>
          </cell>
        </row>
        <row r="7">
          <cell r="C7">
            <v>226</v>
          </cell>
          <cell r="D7">
            <v>217</v>
          </cell>
        </row>
        <row r="8">
          <cell r="C8">
            <v>273</v>
          </cell>
          <cell r="D8">
            <v>261</v>
          </cell>
        </row>
        <row r="9">
          <cell r="C9">
            <v>298</v>
          </cell>
          <cell r="D9">
            <v>279</v>
          </cell>
        </row>
        <row r="10">
          <cell r="C10">
            <v>333</v>
          </cell>
          <cell r="D10">
            <v>317</v>
          </cell>
        </row>
        <row r="11">
          <cell r="C11">
            <v>366</v>
          </cell>
          <cell r="D11">
            <v>357</v>
          </cell>
        </row>
        <row r="12">
          <cell r="C12">
            <v>359</v>
          </cell>
          <cell r="D12">
            <v>341</v>
          </cell>
        </row>
        <row r="13">
          <cell r="C13">
            <v>453</v>
          </cell>
          <cell r="D13">
            <v>426</v>
          </cell>
        </row>
        <row r="14">
          <cell r="C14">
            <v>546</v>
          </cell>
          <cell r="D14">
            <v>523</v>
          </cell>
        </row>
        <row r="15">
          <cell r="C15">
            <v>676</v>
          </cell>
          <cell r="D15">
            <v>647</v>
          </cell>
        </row>
        <row r="16">
          <cell r="C16">
            <v>951</v>
          </cell>
          <cell r="D16">
            <v>896</v>
          </cell>
        </row>
        <row r="17">
          <cell r="C17">
            <v>1385</v>
          </cell>
          <cell r="D17">
            <v>1319</v>
          </cell>
        </row>
        <row r="18">
          <cell r="C18">
            <v>2002</v>
          </cell>
          <cell r="D18">
            <v>1895</v>
          </cell>
        </row>
        <row r="19">
          <cell r="C19">
            <v>2740</v>
          </cell>
          <cell r="D19">
            <v>2616</v>
          </cell>
        </row>
        <row r="20">
          <cell r="C20">
            <v>4154</v>
          </cell>
          <cell r="D20">
            <v>3960</v>
          </cell>
        </row>
        <row r="21">
          <cell r="C21">
            <v>5762</v>
          </cell>
          <cell r="D21">
            <v>5498</v>
          </cell>
        </row>
        <row r="22">
          <cell r="C22">
            <v>8492</v>
          </cell>
          <cell r="D22">
            <v>8112</v>
          </cell>
        </row>
        <row r="23">
          <cell r="C23">
            <v>12162</v>
          </cell>
          <cell r="D23">
            <v>11593</v>
          </cell>
        </row>
        <row r="24">
          <cell r="C24">
            <v>17894</v>
          </cell>
          <cell r="D24">
            <v>17171</v>
          </cell>
        </row>
        <row r="25">
          <cell r="C25">
            <v>24144</v>
          </cell>
          <cell r="D25">
            <v>23082</v>
          </cell>
        </row>
        <row r="26">
          <cell r="C26">
            <v>30157</v>
          </cell>
          <cell r="D26">
            <v>28873</v>
          </cell>
        </row>
        <row r="27">
          <cell r="C27">
            <v>35020</v>
          </cell>
          <cell r="D27">
            <v>33484</v>
          </cell>
        </row>
        <row r="28">
          <cell r="C28">
            <v>40580</v>
          </cell>
          <cell r="D28">
            <v>38821</v>
          </cell>
        </row>
        <row r="29">
          <cell r="C29">
            <v>46273</v>
          </cell>
          <cell r="D29">
            <v>44150</v>
          </cell>
        </row>
        <row r="30">
          <cell r="C30">
            <v>51838</v>
          </cell>
          <cell r="D30">
            <v>49427</v>
          </cell>
        </row>
        <row r="31">
          <cell r="C31">
            <v>61540</v>
          </cell>
          <cell r="D31">
            <v>58707</v>
          </cell>
        </row>
        <row r="32">
          <cell r="C32">
            <v>81222</v>
          </cell>
          <cell r="D32">
            <v>77641</v>
          </cell>
        </row>
        <row r="33">
          <cell r="C33">
            <v>107409</v>
          </cell>
          <cell r="D33">
            <v>102732</v>
          </cell>
        </row>
        <row r="34">
          <cell r="C34">
            <v>125036</v>
          </cell>
          <cell r="D34">
            <v>119698</v>
          </cell>
        </row>
        <row r="35">
          <cell r="C35">
            <v>111630</v>
          </cell>
          <cell r="D35">
            <v>106758</v>
          </cell>
        </row>
        <row r="36">
          <cell r="C36">
            <v>117118</v>
          </cell>
          <cell r="D36">
            <v>112102</v>
          </cell>
        </row>
        <row r="37">
          <cell r="C37">
            <v>101364</v>
          </cell>
          <cell r="D37">
            <v>97286</v>
          </cell>
        </row>
        <row r="38">
          <cell r="C38">
            <v>993219</v>
          </cell>
          <cell r="D38">
            <v>949982</v>
          </cell>
        </row>
        <row r="39">
          <cell r="C39">
            <v>125036</v>
          </cell>
          <cell r="D39">
            <v>119698</v>
          </cell>
        </row>
        <row r="40">
          <cell r="C40">
            <v>94</v>
          </cell>
          <cell r="D40">
            <v>90</v>
          </cell>
        </row>
      </sheetData>
      <sheetData sheetId="6">
        <row r="1">
          <cell r="C1" t="str">
            <v>HasPvalue</v>
          </cell>
          <cell r="D1" t="str">
            <v>Pvalue0.05</v>
          </cell>
        </row>
        <row r="2">
          <cell r="C2">
            <v>0</v>
          </cell>
          <cell r="D2">
            <v>0</v>
          </cell>
        </row>
        <row r="3">
          <cell r="C3">
            <v>0</v>
          </cell>
          <cell r="D3">
            <v>0</v>
          </cell>
        </row>
        <row r="4">
          <cell r="C4">
            <v>0</v>
          </cell>
          <cell r="D4">
            <v>0</v>
          </cell>
        </row>
        <row r="5">
          <cell r="C5">
            <v>0</v>
          </cell>
          <cell r="D5">
            <v>0</v>
          </cell>
        </row>
        <row r="6">
          <cell r="C6">
            <v>0</v>
          </cell>
          <cell r="D6">
            <v>0</v>
          </cell>
        </row>
        <row r="7">
          <cell r="C7">
            <v>0</v>
          </cell>
          <cell r="D7">
            <v>0</v>
          </cell>
        </row>
        <row r="8">
          <cell r="C8">
            <v>0</v>
          </cell>
          <cell r="D8">
            <v>0</v>
          </cell>
        </row>
        <row r="9">
          <cell r="C9">
            <v>0</v>
          </cell>
          <cell r="D9">
            <v>0</v>
          </cell>
        </row>
        <row r="10">
          <cell r="C10">
            <v>0</v>
          </cell>
          <cell r="D10">
            <v>0</v>
          </cell>
        </row>
        <row r="11">
          <cell r="C11">
            <v>0</v>
          </cell>
          <cell r="D11">
            <v>0</v>
          </cell>
        </row>
        <row r="12">
          <cell r="C12">
            <v>0</v>
          </cell>
          <cell r="D12">
            <v>0</v>
          </cell>
        </row>
        <row r="13">
          <cell r="C13">
            <v>0</v>
          </cell>
          <cell r="D13">
            <v>0</v>
          </cell>
        </row>
        <row r="14">
          <cell r="C14">
            <v>0</v>
          </cell>
          <cell r="D14">
            <v>0</v>
          </cell>
        </row>
        <row r="15">
          <cell r="C15">
            <v>0</v>
          </cell>
          <cell r="D15">
            <v>0</v>
          </cell>
        </row>
        <row r="16">
          <cell r="C16">
            <v>0</v>
          </cell>
          <cell r="D16">
            <v>0</v>
          </cell>
        </row>
        <row r="17">
          <cell r="C17">
            <v>0</v>
          </cell>
          <cell r="D17">
            <v>0</v>
          </cell>
        </row>
        <row r="18">
          <cell r="C18">
            <v>0</v>
          </cell>
          <cell r="D18">
            <v>0</v>
          </cell>
        </row>
        <row r="19">
          <cell r="C19">
            <v>0</v>
          </cell>
          <cell r="D19">
            <v>0</v>
          </cell>
        </row>
        <row r="20">
          <cell r="C20">
            <v>0</v>
          </cell>
          <cell r="D20">
            <v>0</v>
          </cell>
        </row>
        <row r="21">
          <cell r="C21">
            <v>0</v>
          </cell>
          <cell r="D21">
            <v>0</v>
          </cell>
        </row>
        <row r="22">
          <cell r="C22">
            <v>0</v>
          </cell>
          <cell r="D22">
            <v>0</v>
          </cell>
        </row>
        <row r="23">
          <cell r="C23">
            <v>0</v>
          </cell>
          <cell r="D23">
            <v>0</v>
          </cell>
        </row>
        <row r="24">
          <cell r="C24">
            <v>29</v>
          </cell>
          <cell r="D24">
            <v>27</v>
          </cell>
        </row>
        <row r="25">
          <cell r="C25">
            <v>294</v>
          </cell>
          <cell r="D25">
            <v>288</v>
          </cell>
        </row>
        <row r="26">
          <cell r="C26">
            <v>674</v>
          </cell>
          <cell r="D26">
            <v>652</v>
          </cell>
        </row>
        <row r="27">
          <cell r="C27">
            <v>1199</v>
          </cell>
          <cell r="D27">
            <v>1148</v>
          </cell>
        </row>
        <row r="28">
          <cell r="C28">
            <v>1566</v>
          </cell>
          <cell r="D28">
            <v>1503</v>
          </cell>
        </row>
        <row r="29">
          <cell r="C29">
            <v>1743</v>
          </cell>
          <cell r="D29">
            <v>1681</v>
          </cell>
        </row>
        <row r="30">
          <cell r="C30">
            <v>1939</v>
          </cell>
          <cell r="D30">
            <v>1850</v>
          </cell>
        </row>
        <row r="31">
          <cell r="C31">
            <v>2380</v>
          </cell>
          <cell r="D31">
            <v>2281</v>
          </cell>
        </row>
        <row r="32">
          <cell r="C32">
            <v>3033</v>
          </cell>
          <cell r="D32">
            <v>2908</v>
          </cell>
        </row>
        <row r="33">
          <cell r="C33">
            <v>3682</v>
          </cell>
          <cell r="D33">
            <v>3529</v>
          </cell>
        </row>
        <row r="34">
          <cell r="C34">
            <v>3109</v>
          </cell>
          <cell r="D34">
            <v>2975</v>
          </cell>
        </row>
        <row r="35">
          <cell r="C35">
            <v>2668</v>
          </cell>
          <cell r="D35">
            <v>2559</v>
          </cell>
        </row>
        <row r="36">
          <cell r="C36">
            <v>3357</v>
          </cell>
          <cell r="D36">
            <v>3202</v>
          </cell>
        </row>
        <row r="37">
          <cell r="C37">
            <v>2950</v>
          </cell>
          <cell r="D37">
            <v>2809</v>
          </cell>
        </row>
        <row r="38">
          <cell r="C38">
            <v>28623</v>
          </cell>
          <cell r="D38">
            <v>27412</v>
          </cell>
        </row>
        <row r="39">
          <cell r="C39">
            <v>3682</v>
          </cell>
          <cell r="D39">
            <v>3529</v>
          </cell>
        </row>
        <row r="40">
          <cell r="C40">
            <v>0</v>
          </cell>
          <cell r="D40">
            <v>0</v>
          </cell>
        </row>
      </sheetData>
      <sheetData sheetId="7">
        <row r="1">
          <cell r="C1" t="str">
            <v>HasPvalue</v>
          </cell>
          <cell r="D1" t="str">
            <v>Pvalue0.05</v>
          </cell>
        </row>
        <row r="2">
          <cell r="C2">
            <v>0</v>
          </cell>
          <cell r="D2">
            <v>0</v>
          </cell>
        </row>
        <row r="3">
          <cell r="C3">
            <v>0</v>
          </cell>
          <cell r="D3">
            <v>0</v>
          </cell>
        </row>
        <row r="4">
          <cell r="C4">
            <v>0</v>
          </cell>
          <cell r="D4">
            <v>0</v>
          </cell>
        </row>
        <row r="5">
          <cell r="C5">
            <v>0</v>
          </cell>
          <cell r="D5">
            <v>0</v>
          </cell>
        </row>
        <row r="6">
          <cell r="C6">
            <v>0</v>
          </cell>
          <cell r="D6">
            <v>0</v>
          </cell>
        </row>
        <row r="7">
          <cell r="C7">
            <v>0</v>
          </cell>
          <cell r="D7">
            <v>0</v>
          </cell>
        </row>
        <row r="8">
          <cell r="C8">
            <v>0</v>
          </cell>
          <cell r="D8">
            <v>0</v>
          </cell>
        </row>
        <row r="9">
          <cell r="C9">
            <v>0</v>
          </cell>
          <cell r="D9">
            <v>0</v>
          </cell>
        </row>
        <row r="10">
          <cell r="C10">
            <v>0</v>
          </cell>
          <cell r="D10">
            <v>0</v>
          </cell>
        </row>
        <row r="11">
          <cell r="C11">
            <v>0</v>
          </cell>
          <cell r="D11">
            <v>0</v>
          </cell>
        </row>
        <row r="12">
          <cell r="C12">
            <v>0</v>
          </cell>
          <cell r="D12">
            <v>0</v>
          </cell>
        </row>
        <row r="13">
          <cell r="C13">
            <v>2</v>
          </cell>
          <cell r="D13">
            <v>2</v>
          </cell>
        </row>
        <row r="14">
          <cell r="C14">
            <v>6</v>
          </cell>
          <cell r="D14">
            <v>6</v>
          </cell>
        </row>
        <row r="15">
          <cell r="C15">
            <v>1</v>
          </cell>
          <cell r="D15">
            <v>1</v>
          </cell>
        </row>
        <row r="16">
          <cell r="C16">
            <v>3</v>
          </cell>
          <cell r="D16">
            <v>2</v>
          </cell>
        </row>
        <row r="17">
          <cell r="C17">
            <v>6</v>
          </cell>
          <cell r="D17">
            <v>4</v>
          </cell>
        </row>
        <row r="18">
          <cell r="C18">
            <v>11</v>
          </cell>
          <cell r="D18">
            <v>10</v>
          </cell>
        </row>
        <row r="19">
          <cell r="C19">
            <v>13</v>
          </cell>
          <cell r="D19">
            <v>11</v>
          </cell>
        </row>
        <row r="20">
          <cell r="C20">
            <v>21</v>
          </cell>
          <cell r="D20">
            <v>18</v>
          </cell>
        </row>
        <row r="21">
          <cell r="C21">
            <v>34</v>
          </cell>
          <cell r="D21">
            <v>30</v>
          </cell>
        </row>
        <row r="22">
          <cell r="C22">
            <v>57</v>
          </cell>
          <cell r="D22">
            <v>50</v>
          </cell>
        </row>
        <row r="23">
          <cell r="C23">
            <v>65</v>
          </cell>
          <cell r="D23">
            <v>57</v>
          </cell>
        </row>
        <row r="24">
          <cell r="C24">
            <v>118</v>
          </cell>
          <cell r="D24">
            <v>99</v>
          </cell>
        </row>
        <row r="25">
          <cell r="C25">
            <v>206</v>
          </cell>
          <cell r="D25">
            <v>187</v>
          </cell>
        </row>
        <row r="26">
          <cell r="C26">
            <v>316</v>
          </cell>
          <cell r="D26">
            <v>283</v>
          </cell>
        </row>
        <row r="27">
          <cell r="C27">
            <v>456</v>
          </cell>
          <cell r="D27">
            <v>413</v>
          </cell>
        </row>
        <row r="28">
          <cell r="C28">
            <v>577</v>
          </cell>
          <cell r="D28">
            <v>513</v>
          </cell>
        </row>
        <row r="29">
          <cell r="C29">
            <v>682</v>
          </cell>
          <cell r="D29">
            <v>622</v>
          </cell>
        </row>
        <row r="30">
          <cell r="C30">
            <v>771</v>
          </cell>
          <cell r="D30">
            <v>690</v>
          </cell>
        </row>
        <row r="31">
          <cell r="C31">
            <v>1300</v>
          </cell>
          <cell r="D31">
            <v>1181</v>
          </cell>
        </row>
        <row r="32">
          <cell r="C32">
            <v>1710</v>
          </cell>
          <cell r="D32">
            <v>1586</v>
          </cell>
        </row>
        <row r="33">
          <cell r="C33">
            <v>2433</v>
          </cell>
          <cell r="D33">
            <v>2248</v>
          </cell>
        </row>
        <row r="34">
          <cell r="C34">
            <v>3171</v>
          </cell>
          <cell r="D34">
            <v>2934</v>
          </cell>
        </row>
        <row r="35">
          <cell r="C35">
            <v>2863</v>
          </cell>
          <cell r="D35">
            <v>2658</v>
          </cell>
        </row>
        <row r="36">
          <cell r="C36">
            <v>3332</v>
          </cell>
          <cell r="D36">
            <v>3125</v>
          </cell>
        </row>
        <row r="37">
          <cell r="C37">
            <v>2661</v>
          </cell>
          <cell r="D37">
            <v>2463</v>
          </cell>
        </row>
        <row r="38">
          <cell r="C38">
            <v>20815</v>
          </cell>
          <cell r="D38">
            <v>19193</v>
          </cell>
        </row>
        <row r="39">
          <cell r="C39">
            <v>3332</v>
          </cell>
          <cell r="D39">
            <v>3125</v>
          </cell>
        </row>
        <row r="40">
          <cell r="C40">
            <v>0</v>
          </cell>
          <cell r="D4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D562-EEDD-9D48-A28A-C288ED7AA4E9}">
  <dimension ref="A1:D40"/>
  <sheetViews>
    <sheetView workbookViewId="0">
      <selection activeCell="C2" sqref="C1:C2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[1]RCT!C1</f>
        <v>HasPvalue</v>
      </c>
      <c r="C1" t="str">
        <f>[1]RCT!D1</f>
        <v>Pvalue0.05</v>
      </c>
      <c r="D1" t="s">
        <v>1</v>
      </c>
    </row>
    <row r="2" spans="1:4" x14ac:dyDescent="0.3">
      <c r="A2">
        <v>1990</v>
      </c>
      <c r="B2">
        <f>[1]RCT!C2</f>
        <v>3</v>
      </c>
      <c r="C2">
        <f>[1]RCT!D2</f>
        <v>2</v>
      </c>
      <c r="D2">
        <f>C2/B2*100</f>
        <v>66.666666666666657</v>
      </c>
    </row>
    <row r="3" spans="1:4" x14ac:dyDescent="0.3">
      <c r="A3">
        <v>1991</v>
      </c>
      <c r="B3">
        <f>[1]RCT!C3</f>
        <v>10</v>
      </c>
      <c r="C3">
        <f>[1]RCT!D3</f>
        <v>10</v>
      </c>
      <c r="D3">
        <f t="shared" ref="D3:D37" si="0">C3/B3*100</f>
        <v>100</v>
      </c>
    </row>
    <row r="4" spans="1:4" x14ac:dyDescent="0.3">
      <c r="A4">
        <f>A2+2</f>
        <v>1992</v>
      </c>
      <c r="B4">
        <f>[1]RCT!C4</f>
        <v>6</v>
      </c>
      <c r="C4">
        <f>[1]RCT!D4</f>
        <v>6</v>
      </c>
      <c r="D4">
        <f t="shared" si="0"/>
        <v>100</v>
      </c>
    </row>
    <row r="5" spans="1:4" x14ac:dyDescent="0.3">
      <c r="A5">
        <f t="shared" ref="A5:A36" si="1">A3+2</f>
        <v>1993</v>
      </c>
      <c r="B5">
        <f>[1]RCT!C5</f>
        <v>14</v>
      </c>
      <c r="C5">
        <f>[1]RCT!D5</f>
        <v>14</v>
      </c>
      <c r="D5">
        <f t="shared" si="0"/>
        <v>100</v>
      </c>
    </row>
    <row r="6" spans="1:4" x14ac:dyDescent="0.3">
      <c r="A6">
        <f t="shared" si="1"/>
        <v>1994</v>
      </c>
      <c r="B6">
        <f>[1]RCT!C6</f>
        <v>19</v>
      </c>
      <c r="C6">
        <f>[1]RCT!D6</f>
        <v>17</v>
      </c>
      <c r="D6">
        <f t="shared" si="0"/>
        <v>89.473684210526315</v>
      </c>
    </row>
    <row r="7" spans="1:4" x14ac:dyDescent="0.3">
      <c r="A7">
        <f t="shared" si="1"/>
        <v>1995</v>
      </c>
      <c r="B7">
        <f>[1]RCT!C7</f>
        <v>15</v>
      </c>
      <c r="C7">
        <f>[1]RCT!D7</f>
        <v>13</v>
      </c>
      <c r="D7">
        <f t="shared" si="0"/>
        <v>86.666666666666671</v>
      </c>
    </row>
    <row r="8" spans="1:4" x14ac:dyDescent="0.3">
      <c r="A8">
        <f t="shared" si="1"/>
        <v>1996</v>
      </c>
      <c r="B8">
        <f>[1]RCT!C8</f>
        <v>19</v>
      </c>
      <c r="C8">
        <f>[1]RCT!D8</f>
        <v>16</v>
      </c>
      <c r="D8">
        <f t="shared" si="0"/>
        <v>84.210526315789465</v>
      </c>
    </row>
    <row r="9" spans="1:4" x14ac:dyDescent="0.3">
      <c r="A9">
        <f t="shared" si="1"/>
        <v>1997</v>
      </c>
      <c r="B9">
        <f>[1]RCT!C9</f>
        <v>17</v>
      </c>
      <c r="C9">
        <f>[1]RCT!D9</f>
        <v>15</v>
      </c>
      <c r="D9">
        <f t="shared" si="0"/>
        <v>88.235294117647058</v>
      </c>
    </row>
    <row r="10" spans="1:4" x14ac:dyDescent="0.3">
      <c r="A10">
        <f t="shared" si="1"/>
        <v>1998</v>
      </c>
      <c r="B10">
        <f>[1]RCT!C10</f>
        <v>27</v>
      </c>
      <c r="C10">
        <f>[1]RCT!D10</f>
        <v>23</v>
      </c>
      <c r="D10">
        <f t="shared" si="0"/>
        <v>85.18518518518519</v>
      </c>
    </row>
    <row r="11" spans="1:4" x14ac:dyDescent="0.3">
      <c r="A11">
        <f t="shared" si="1"/>
        <v>1999</v>
      </c>
      <c r="B11">
        <f>[1]RCT!C11</f>
        <v>16</v>
      </c>
      <c r="C11">
        <f>[1]RCT!D11</f>
        <v>14</v>
      </c>
      <c r="D11">
        <f t="shared" si="0"/>
        <v>87.5</v>
      </c>
    </row>
    <row r="12" spans="1:4" x14ac:dyDescent="0.3">
      <c r="A12">
        <f t="shared" si="1"/>
        <v>2000</v>
      </c>
      <c r="B12">
        <f>[1]RCT!C12</f>
        <v>21</v>
      </c>
      <c r="C12">
        <f>[1]RCT!D12</f>
        <v>18</v>
      </c>
      <c r="D12">
        <f t="shared" si="0"/>
        <v>85.714285714285708</v>
      </c>
    </row>
    <row r="13" spans="1:4" x14ac:dyDescent="0.3">
      <c r="A13">
        <f t="shared" si="1"/>
        <v>2001</v>
      </c>
      <c r="B13">
        <f>[1]RCT!C13</f>
        <v>34</v>
      </c>
      <c r="C13">
        <f>[1]RCT!D13</f>
        <v>26</v>
      </c>
      <c r="D13">
        <f t="shared" si="0"/>
        <v>76.470588235294116</v>
      </c>
    </row>
    <row r="14" spans="1:4" x14ac:dyDescent="0.3">
      <c r="A14">
        <f t="shared" si="1"/>
        <v>2002</v>
      </c>
      <c r="B14">
        <f>[1]RCT!C14</f>
        <v>35</v>
      </c>
      <c r="C14">
        <f>[1]RCT!D14</f>
        <v>31</v>
      </c>
      <c r="D14">
        <f t="shared" si="0"/>
        <v>88.571428571428569</v>
      </c>
    </row>
    <row r="15" spans="1:4" x14ac:dyDescent="0.3">
      <c r="A15">
        <f t="shared" si="1"/>
        <v>2003</v>
      </c>
      <c r="B15">
        <f>[1]RCT!C15</f>
        <v>36</v>
      </c>
      <c r="C15">
        <f>[1]RCT!D15</f>
        <v>32</v>
      </c>
      <c r="D15">
        <f t="shared" si="0"/>
        <v>88.888888888888886</v>
      </c>
    </row>
    <row r="16" spans="1:4" x14ac:dyDescent="0.3">
      <c r="A16">
        <f t="shared" si="1"/>
        <v>2004</v>
      </c>
      <c r="B16">
        <f>[1]RCT!C16</f>
        <v>71</v>
      </c>
      <c r="C16">
        <f>[1]RCT!D16</f>
        <v>62</v>
      </c>
      <c r="D16">
        <f t="shared" si="0"/>
        <v>87.323943661971825</v>
      </c>
    </row>
    <row r="17" spans="1:4" x14ac:dyDescent="0.3">
      <c r="A17">
        <f t="shared" si="1"/>
        <v>2005</v>
      </c>
      <c r="B17">
        <f>[1]RCT!C17</f>
        <v>92</v>
      </c>
      <c r="C17">
        <f>[1]RCT!D17</f>
        <v>85</v>
      </c>
      <c r="D17">
        <f t="shared" si="0"/>
        <v>92.391304347826093</v>
      </c>
    </row>
    <row r="18" spans="1:4" x14ac:dyDescent="0.3">
      <c r="A18">
        <f t="shared" si="1"/>
        <v>2006</v>
      </c>
      <c r="B18">
        <f>[1]RCT!C18</f>
        <v>126</v>
      </c>
      <c r="C18">
        <f>[1]RCT!D18</f>
        <v>112</v>
      </c>
      <c r="D18">
        <f t="shared" si="0"/>
        <v>88.888888888888886</v>
      </c>
    </row>
    <row r="19" spans="1:4" x14ac:dyDescent="0.3">
      <c r="A19">
        <f t="shared" si="1"/>
        <v>2007</v>
      </c>
      <c r="B19">
        <f>[1]RCT!C19</f>
        <v>219</v>
      </c>
      <c r="C19">
        <f>[1]RCT!D19</f>
        <v>196</v>
      </c>
      <c r="D19">
        <f t="shared" si="0"/>
        <v>89.49771689497716</v>
      </c>
    </row>
    <row r="20" spans="1:4" x14ac:dyDescent="0.3">
      <c r="A20">
        <f t="shared" si="1"/>
        <v>2008</v>
      </c>
      <c r="B20">
        <f>[1]RCT!C20</f>
        <v>343</v>
      </c>
      <c r="C20">
        <f>[1]RCT!D20</f>
        <v>308</v>
      </c>
      <c r="D20">
        <f t="shared" si="0"/>
        <v>89.795918367346943</v>
      </c>
    </row>
    <row r="21" spans="1:4" x14ac:dyDescent="0.3">
      <c r="A21">
        <f t="shared" si="1"/>
        <v>2009</v>
      </c>
      <c r="B21">
        <f>[1]RCT!C21</f>
        <v>451</v>
      </c>
      <c r="C21">
        <f>[1]RCT!D21</f>
        <v>404</v>
      </c>
      <c r="D21">
        <f t="shared" si="0"/>
        <v>89.578713968957871</v>
      </c>
    </row>
    <row r="22" spans="1:4" x14ac:dyDescent="0.3">
      <c r="A22">
        <f t="shared" si="1"/>
        <v>2010</v>
      </c>
      <c r="B22">
        <f>[1]RCT!C22</f>
        <v>622</v>
      </c>
      <c r="C22">
        <f>[1]RCT!D22</f>
        <v>574</v>
      </c>
      <c r="D22">
        <f t="shared" si="0"/>
        <v>92.282958199356912</v>
      </c>
    </row>
    <row r="23" spans="1:4" x14ac:dyDescent="0.3">
      <c r="A23">
        <f t="shared" si="1"/>
        <v>2011</v>
      </c>
      <c r="B23">
        <f>[1]RCT!C23</f>
        <v>831</v>
      </c>
      <c r="C23">
        <f>[1]RCT!D23</f>
        <v>754</v>
      </c>
      <c r="D23">
        <f t="shared" si="0"/>
        <v>90.734055354993984</v>
      </c>
    </row>
    <row r="24" spans="1:4" x14ac:dyDescent="0.3">
      <c r="A24">
        <f>A22+2</f>
        <v>2012</v>
      </c>
      <c r="B24">
        <f>[1]RCT!C24</f>
        <v>993</v>
      </c>
      <c r="C24">
        <f>[1]RCT!D24</f>
        <v>918</v>
      </c>
      <c r="D24">
        <f t="shared" si="0"/>
        <v>92.447129909365557</v>
      </c>
    </row>
    <row r="25" spans="1:4" x14ac:dyDescent="0.3">
      <c r="A25">
        <f t="shared" si="1"/>
        <v>2013</v>
      </c>
      <c r="B25">
        <f>[1]RCT!C25</f>
        <v>1415</v>
      </c>
      <c r="C25">
        <f>[1]RCT!D25</f>
        <v>1289</v>
      </c>
      <c r="D25">
        <f t="shared" si="0"/>
        <v>91.095406360424022</v>
      </c>
    </row>
    <row r="26" spans="1:4" x14ac:dyDescent="0.3">
      <c r="A26">
        <f t="shared" si="1"/>
        <v>2014</v>
      </c>
      <c r="B26">
        <f>[1]RCT!C26</f>
        <v>1798</v>
      </c>
      <c r="C26">
        <f>[1]RCT!D26</f>
        <v>1654</v>
      </c>
      <c r="D26">
        <f t="shared" si="0"/>
        <v>91.991101223581765</v>
      </c>
    </row>
    <row r="27" spans="1:4" x14ac:dyDescent="0.3">
      <c r="A27">
        <f t="shared" si="1"/>
        <v>2015</v>
      </c>
      <c r="B27">
        <f>[1]RCT!C27</f>
        <v>2018</v>
      </c>
      <c r="C27">
        <f>[1]RCT!D27</f>
        <v>1834</v>
      </c>
      <c r="D27">
        <f t="shared" si="0"/>
        <v>90.882061446977204</v>
      </c>
    </row>
    <row r="28" spans="1:4" x14ac:dyDescent="0.3">
      <c r="A28">
        <f t="shared" si="1"/>
        <v>2016</v>
      </c>
      <c r="B28">
        <f>[1]RCT!C28</f>
        <v>2279</v>
      </c>
      <c r="C28">
        <f>[1]RCT!D28</f>
        <v>2090</v>
      </c>
      <c r="D28">
        <f t="shared" si="0"/>
        <v>91.706888986397544</v>
      </c>
    </row>
    <row r="29" spans="1:4" x14ac:dyDescent="0.3">
      <c r="A29">
        <f t="shared" si="1"/>
        <v>2017</v>
      </c>
      <c r="B29">
        <f>[1]RCT!C29</f>
        <v>2498</v>
      </c>
      <c r="C29">
        <f>[1]RCT!D29</f>
        <v>2277</v>
      </c>
      <c r="D29">
        <f t="shared" si="0"/>
        <v>91.152922337870308</v>
      </c>
    </row>
    <row r="30" spans="1:4" x14ac:dyDescent="0.3">
      <c r="A30">
        <f t="shared" si="1"/>
        <v>2018</v>
      </c>
      <c r="B30">
        <f>[1]RCT!C30</f>
        <v>2702</v>
      </c>
      <c r="C30">
        <f>[1]RCT!D30</f>
        <v>2449</v>
      </c>
      <c r="D30">
        <f t="shared" si="0"/>
        <v>90.636565507031833</v>
      </c>
    </row>
    <row r="31" spans="1:4" x14ac:dyDescent="0.3">
      <c r="A31">
        <f t="shared" si="1"/>
        <v>2019</v>
      </c>
      <c r="B31">
        <f>[1]RCT!C31</f>
        <v>3106</v>
      </c>
      <c r="C31">
        <f>[1]RCT!D31</f>
        <v>2819</v>
      </c>
      <c r="D31">
        <f t="shared" si="0"/>
        <v>90.759819703799096</v>
      </c>
    </row>
    <row r="32" spans="1:4" x14ac:dyDescent="0.3">
      <c r="A32">
        <f t="shared" si="1"/>
        <v>2020</v>
      </c>
      <c r="B32">
        <f>[1]RCT!C32</f>
        <v>3739</v>
      </c>
      <c r="C32">
        <f>[1]RCT!D32</f>
        <v>3381</v>
      </c>
      <c r="D32">
        <f t="shared" si="0"/>
        <v>90.425247392350897</v>
      </c>
    </row>
    <row r="33" spans="1:4" x14ac:dyDescent="0.3">
      <c r="A33">
        <f t="shared" si="1"/>
        <v>2021</v>
      </c>
      <c r="B33">
        <f>[1]RCT!C33</f>
        <v>4463</v>
      </c>
      <c r="C33">
        <f>[1]RCT!D33</f>
        <v>4044</v>
      </c>
      <c r="D33">
        <f t="shared" si="0"/>
        <v>90.611696168496522</v>
      </c>
    </row>
    <row r="34" spans="1:4" x14ac:dyDescent="0.3">
      <c r="A34">
        <f t="shared" si="1"/>
        <v>2022</v>
      </c>
      <c r="B34">
        <f>[1]RCT!C34</f>
        <v>5358</v>
      </c>
      <c r="C34">
        <f>[1]RCT!D34</f>
        <v>4882</v>
      </c>
      <c r="D34">
        <f t="shared" si="0"/>
        <v>91.116088092571857</v>
      </c>
    </row>
    <row r="35" spans="1:4" x14ac:dyDescent="0.3">
      <c r="A35">
        <f t="shared" si="1"/>
        <v>2023</v>
      </c>
      <c r="B35">
        <f>[1]RCT!C35</f>
        <v>4453</v>
      </c>
      <c r="C35">
        <f>[1]RCT!D35</f>
        <v>4011</v>
      </c>
      <c r="D35">
        <f t="shared" si="0"/>
        <v>90.074107343364034</v>
      </c>
    </row>
    <row r="36" spans="1:4" x14ac:dyDescent="0.3">
      <c r="A36">
        <f t="shared" si="1"/>
        <v>2024</v>
      </c>
      <c r="B36">
        <f>[1]RCT!C36</f>
        <v>5084</v>
      </c>
      <c r="C36">
        <f>[1]RCT!D36</f>
        <v>4632</v>
      </c>
      <c r="D36">
        <f t="shared" si="0"/>
        <v>91.109362706530291</v>
      </c>
    </row>
    <row r="37" spans="1:4" x14ac:dyDescent="0.3">
      <c r="A37">
        <v>2025</v>
      </c>
      <c r="B37">
        <f>[1]RCT!C37</f>
        <v>4204</v>
      </c>
      <c r="C37">
        <f>[1]RCT!D37</f>
        <v>3822</v>
      </c>
      <c r="D37">
        <f t="shared" si="0"/>
        <v>90.913415794481438</v>
      </c>
    </row>
    <row r="38" spans="1:4" x14ac:dyDescent="0.3">
      <c r="A38" t="s">
        <v>9</v>
      </c>
      <c r="B38">
        <f>[1]RCT!C38</f>
        <v>47137</v>
      </c>
      <c r="C38">
        <f>[1]RCT!D38</f>
        <v>42834</v>
      </c>
    </row>
    <row r="39" spans="1:4" x14ac:dyDescent="0.3">
      <c r="A39" t="s">
        <v>7</v>
      </c>
      <c r="B39">
        <f>[1]RCT!C39</f>
        <v>5358</v>
      </c>
      <c r="C39">
        <f>[1]RCT!D39</f>
        <v>4882</v>
      </c>
      <c r="D39">
        <f>MAX(D2:D37)</f>
        <v>100</v>
      </c>
    </row>
    <row r="40" spans="1:4" x14ac:dyDescent="0.3">
      <c r="A40" t="s">
        <v>8</v>
      </c>
      <c r="B40">
        <f>[1]RCT!C40</f>
        <v>3</v>
      </c>
      <c r="C40">
        <f>[1]RCT!D40</f>
        <v>2</v>
      </c>
      <c r="D40">
        <f>MIN(D2:D37)</f>
        <v>66.666666666666657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8FDB-F9C6-D64A-BF7D-42F8BBB6E5C4}">
  <dimension ref="A1:D40"/>
  <sheetViews>
    <sheetView workbookViewId="0">
      <selection activeCell="C2" sqref="C1:C2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[1]CT!C1</f>
        <v>HasPvalue</v>
      </c>
      <c r="C1" t="str">
        <f>[1]CT!D1</f>
        <v>Pvalue0.05</v>
      </c>
      <c r="D1" t="s">
        <v>1</v>
      </c>
    </row>
    <row r="2" spans="1:4" x14ac:dyDescent="0.3">
      <c r="A2">
        <v>1990</v>
      </c>
      <c r="B2">
        <f>[1]CT!C2</f>
        <v>4</v>
      </c>
      <c r="C2">
        <f>[1]CT!D2</f>
        <v>3</v>
      </c>
      <c r="D2">
        <f>C2/B2*100</f>
        <v>75</v>
      </c>
    </row>
    <row r="3" spans="1:4" x14ac:dyDescent="0.3">
      <c r="A3">
        <v>1991</v>
      </c>
      <c r="B3">
        <f>[1]CT!C3</f>
        <v>13</v>
      </c>
      <c r="C3">
        <f>[1]CT!D3</f>
        <v>13</v>
      </c>
      <c r="D3">
        <f t="shared" ref="D3:D37" si="0">C3/B3*100</f>
        <v>100</v>
      </c>
    </row>
    <row r="4" spans="1:4" x14ac:dyDescent="0.3">
      <c r="A4">
        <f>A2+2</f>
        <v>1992</v>
      </c>
      <c r="B4">
        <f>[1]CT!C4</f>
        <v>9</v>
      </c>
      <c r="C4">
        <f>[1]CT!D4</f>
        <v>9</v>
      </c>
      <c r="D4">
        <f t="shared" si="0"/>
        <v>100</v>
      </c>
    </row>
    <row r="5" spans="1:4" x14ac:dyDescent="0.3">
      <c r="A5">
        <f t="shared" ref="A5:A36" si="1">A3+2</f>
        <v>1993</v>
      </c>
      <c r="B5">
        <f>[1]CT!C5</f>
        <v>23</v>
      </c>
      <c r="C5">
        <f>[1]CT!D5</f>
        <v>22</v>
      </c>
      <c r="D5">
        <f t="shared" si="0"/>
        <v>95.652173913043484</v>
      </c>
    </row>
    <row r="6" spans="1:4" x14ac:dyDescent="0.3">
      <c r="A6">
        <f t="shared" si="1"/>
        <v>1994</v>
      </c>
      <c r="B6">
        <f>[1]CT!C6</f>
        <v>33</v>
      </c>
      <c r="C6">
        <f>[1]CT!D6</f>
        <v>31</v>
      </c>
      <c r="D6">
        <f t="shared" si="0"/>
        <v>93.939393939393938</v>
      </c>
    </row>
    <row r="7" spans="1:4" x14ac:dyDescent="0.3">
      <c r="A7">
        <f t="shared" si="1"/>
        <v>1995</v>
      </c>
      <c r="B7">
        <f>[1]CT!C7</f>
        <v>26</v>
      </c>
      <c r="C7">
        <f>[1]CT!D7</f>
        <v>23</v>
      </c>
      <c r="D7">
        <f t="shared" si="0"/>
        <v>88.461538461538453</v>
      </c>
    </row>
    <row r="8" spans="1:4" x14ac:dyDescent="0.3">
      <c r="A8">
        <f t="shared" si="1"/>
        <v>1996</v>
      </c>
      <c r="B8">
        <f>[1]CT!C8</f>
        <v>27</v>
      </c>
      <c r="C8">
        <f>[1]CT!D8</f>
        <v>24</v>
      </c>
      <c r="D8">
        <f t="shared" si="0"/>
        <v>88.888888888888886</v>
      </c>
    </row>
    <row r="9" spans="1:4" x14ac:dyDescent="0.3">
      <c r="A9">
        <f t="shared" si="1"/>
        <v>1997</v>
      </c>
      <c r="B9">
        <f>[1]CT!C9</f>
        <v>32</v>
      </c>
      <c r="C9">
        <f>[1]CT!D9</f>
        <v>29</v>
      </c>
      <c r="D9">
        <f t="shared" si="0"/>
        <v>90.625</v>
      </c>
    </row>
    <row r="10" spans="1:4" x14ac:dyDescent="0.3">
      <c r="A10">
        <f t="shared" si="1"/>
        <v>1998</v>
      </c>
      <c r="B10">
        <f>[1]CT!C10</f>
        <v>48</v>
      </c>
      <c r="C10">
        <f>[1]CT!D10</f>
        <v>43</v>
      </c>
      <c r="D10">
        <f t="shared" si="0"/>
        <v>89.583333333333343</v>
      </c>
    </row>
    <row r="11" spans="1:4" x14ac:dyDescent="0.3">
      <c r="A11">
        <f t="shared" si="1"/>
        <v>1999</v>
      </c>
      <c r="B11">
        <f>[1]CT!C11</f>
        <v>40</v>
      </c>
      <c r="C11">
        <f>[1]CT!D11</f>
        <v>37</v>
      </c>
      <c r="D11">
        <f t="shared" si="0"/>
        <v>92.5</v>
      </c>
    </row>
    <row r="12" spans="1:4" x14ac:dyDescent="0.3">
      <c r="A12">
        <f t="shared" si="1"/>
        <v>2000</v>
      </c>
      <c r="B12">
        <f>[1]CT!C12</f>
        <v>41</v>
      </c>
      <c r="C12">
        <f>[1]CT!D12</f>
        <v>37</v>
      </c>
      <c r="D12">
        <f t="shared" si="0"/>
        <v>90.243902439024396</v>
      </c>
    </row>
    <row r="13" spans="1:4" x14ac:dyDescent="0.3">
      <c r="A13">
        <f t="shared" si="1"/>
        <v>2001</v>
      </c>
      <c r="B13">
        <f>[1]CT!C13</f>
        <v>60</v>
      </c>
      <c r="C13">
        <f>[1]CT!D13</f>
        <v>52</v>
      </c>
      <c r="D13">
        <f t="shared" si="0"/>
        <v>86.666666666666671</v>
      </c>
    </row>
    <row r="14" spans="1:4" x14ac:dyDescent="0.3">
      <c r="A14">
        <f t="shared" si="1"/>
        <v>2002</v>
      </c>
      <c r="B14">
        <f>[1]CT!C14</f>
        <v>47</v>
      </c>
      <c r="C14">
        <f>[1]CT!D14</f>
        <v>43</v>
      </c>
      <c r="D14">
        <f t="shared" si="0"/>
        <v>91.489361702127653</v>
      </c>
    </row>
    <row r="15" spans="1:4" x14ac:dyDescent="0.3">
      <c r="A15">
        <f t="shared" si="1"/>
        <v>2003</v>
      </c>
      <c r="B15">
        <f>[1]CT!C15</f>
        <v>61</v>
      </c>
      <c r="C15">
        <f>[1]CT!D15</f>
        <v>57</v>
      </c>
      <c r="D15">
        <f t="shared" si="0"/>
        <v>93.442622950819683</v>
      </c>
    </row>
    <row r="16" spans="1:4" x14ac:dyDescent="0.3">
      <c r="A16">
        <f t="shared" si="1"/>
        <v>2004</v>
      </c>
      <c r="B16">
        <f>[1]CT!C16</f>
        <v>123</v>
      </c>
      <c r="C16">
        <f>[1]CT!D16</f>
        <v>113</v>
      </c>
      <c r="D16">
        <f t="shared" si="0"/>
        <v>91.869918699186996</v>
      </c>
    </row>
    <row r="17" spans="1:4" x14ac:dyDescent="0.3">
      <c r="A17">
        <f t="shared" si="1"/>
        <v>2005</v>
      </c>
      <c r="B17">
        <f>[1]CT!C17</f>
        <v>82</v>
      </c>
      <c r="C17">
        <f>[1]CT!D17</f>
        <v>78</v>
      </c>
      <c r="D17">
        <f t="shared" si="0"/>
        <v>95.121951219512198</v>
      </c>
    </row>
    <row r="18" spans="1:4" x14ac:dyDescent="0.3">
      <c r="A18">
        <f t="shared" si="1"/>
        <v>2006</v>
      </c>
      <c r="B18">
        <f>[1]CT!C18</f>
        <v>61</v>
      </c>
      <c r="C18">
        <f>[1]CT!D18</f>
        <v>59</v>
      </c>
      <c r="D18">
        <f t="shared" si="0"/>
        <v>96.721311475409834</v>
      </c>
    </row>
    <row r="19" spans="1:4" x14ac:dyDescent="0.3">
      <c r="A19">
        <f t="shared" si="1"/>
        <v>2007</v>
      </c>
      <c r="B19">
        <f>[1]CT!C19</f>
        <v>58</v>
      </c>
      <c r="C19">
        <f>[1]CT!D19</f>
        <v>54</v>
      </c>
      <c r="D19">
        <f t="shared" si="0"/>
        <v>93.103448275862064</v>
      </c>
    </row>
    <row r="20" spans="1:4" x14ac:dyDescent="0.3">
      <c r="A20">
        <f t="shared" si="1"/>
        <v>2008</v>
      </c>
      <c r="B20">
        <f>[1]CT!C20</f>
        <v>77</v>
      </c>
      <c r="C20">
        <f>[1]CT!D20</f>
        <v>74</v>
      </c>
      <c r="D20">
        <f t="shared" si="0"/>
        <v>96.103896103896105</v>
      </c>
    </row>
    <row r="21" spans="1:4" x14ac:dyDescent="0.3">
      <c r="A21">
        <f t="shared" si="1"/>
        <v>2009</v>
      </c>
      <c r="B21">
        <f>[1]CT!C21</f>
        <v>98</v>
      </c>
      <c r="C21">
        <f>[1]CT!D21</f>
        <v>97</v>
      </c>
      <c r="D21">
        <f t="shared" si="0"/>
        <v>98.979591836734699</v>
      </c>
    </row>
    <row r="22" spans="1:4" x14ac:dyDescent="0.3">
      <c r="A22">
        <f t="shared" si="1"/>
        <v>2010</v>
      </c>
      <c r="B22">
        <f>[1]CT!C22</f>
        <v>128</v>
      </c>
      <c r="C22">
        <f>[1]CT!D22</f>
        <v>124</v>
      </c>
      <c r="D22">
        <f t="shared" si="0"/>
        <v>96.875</v>
      </c>
    </row>
    <row r="23" spans="1:4" x14ac:dyDescent="0.3">
      <c r="A23">
        <f t="shared" si="1"/>
        <v>2011</v>
      </c>
      <c r="B23">
        <f>[1]CT!C23</f>
        <v>191</v>
      </c>
      <c r="C23">
        <f>[1]CT!D23</f>
        <v>184</v>
      </c>
      <c r="D23">
        <f t="shared" si="0"/>
        <v>96.33507853403141</v>
      </c>
    </row>
    <row r="24" spans="1:4" x14ac:dyDescent="0.3">
      <c r="A24">
        <f>A22+2</f>
        <v>2012</v>
      </c>
      <c r="B24">
        <f>[1]CT!C24</f>
        <v>328</v>
      </c>
      <c r="C24">
        <f>[1]CT!D24</f>
        <v>315</v>
      </c>
      <c r="D24">
        <f t="shared" si="0"/>
        <v>96.036585365853654</v>
      </c>
    </row>
    <row r="25" spans="1:4" x14ac:dyDescent="0.3">
      <c r="A25">
        <f t="shared" si="1"/>
        <v>2013</v>
      </c>
      <c r="B25">
        <f>[1]CT!C25</f>
        <v>472</v>
      </c>
      <c r="C25">
        <f>[1]CT!D25</f>
        <v>459</v>
      </c>
      <c r="D25">
        <f t="shared" si="0"/>
        <v>97.245762711864401</v>
      </c>
    </row>
    <row r="26" spans="1:4" x14ac:dyDescent="0.3">
      <c r="A26">
        <f t="shared" si="1"/>
        <v>2014</v>
      </c>
      <c r="B26">
        <f>[1]CT!C26</f>
        <v>550</v>
      </c>
      <c r="C26">
        <f>[1]CT!D26</f>
        <v>531</v>
      </c>
      <c r="D26">
        <f t="shared" si="0"/>
        <v>96.545454545454547</v>
      </c>
    </row>
    <row r="27" spans="1:4" x14ac:dyDescent="0.3">
      <c r="A27">
        <f t="shared" si="1"/>
        <v>2015</v>
      </c>
      <c r="B27">
        <f>[1]CT!C27</f>
        <v>588</v>
      </c>
      <c r="C27">
        <f>[1]CT!D27</f>
        <v>569</v>
      </c>
      <c r="D27">
        <f t="shared" si="0"/>
        <v>96.768707482993193</v>
      </c>
    </row>
    <row r="28" spans="1:4" x14ac:dyDescent="0.3">
      <c r="A28">
        <f t="shared" si="1"/>
        <v>2016</v>
      </c>
      <c r="B28">
        <f>[1]CT!C28</f>
        <v>636</v>
      </c>
      <c r="C28">
        <f>[1]CT!D28</f>
        <v>615</v>
      </c>
      <c r="D28">
        <f t="shared" si="0"/>
        <v>96.698113207547166</v>
      </c>
    </row>
    <row r="29" spans="1:4" x14ac:dyDescent="0.3">
      <c r="A29">
        <f t="shared" si="1"/>
        <v>2017</v>
      </c>
      <c r="B29">
        <f>[1]CT!C29</f>
        <v>562</v>
      </c>
      <c r="C29">
        <f>[1]CT!D29</f>
        <v>534</v>
      </c>
      <c r="D29">
        <f t="shared" si="0"/>
        <v>95.017793594306056</v>
      </c>
    </row>
    <row r="30" spans="1:4" x14ac:dyDescent="0.3">
      <c r="A30">
        <f t="shared" si="1"/>
        <v>2018</v>
      </c>
      <c r="B30">
        <f>[1]CT!C30</f>
        <v>714</v>
      </c>
      <c r="C30">
        <f>[1]CT!D30</f>
        <v>687</v>
      </c>
      <c r="D30">
        <f t="shared" si="0"/>
        <v>96.21848739495799</v>
      </c>
    </row>
    <row r="31" spans="1:4" x14ac:dyDescent="0.3">
      <c r="A31">
        <f t="shared" si="1"/>
        <v>2019</v>
      </c>
      <c r="B31">
        <f>[1]CT!C31</f>
        <v>837</v>
      </c>
      <c r="C31">
        <f>[1]CT!D31</f>
        <v>811</v>
      </c>
      <c r="D31">
        <f t="shared" si="0"/>
        <v>96.893667861409796</v>
      </c>
    </row>
    <row r="32" spans="1:4" x14ac:dyDescent="0.3">
      <c r="A32">
        <f t="shared" si="1"/>
        <v>2020</v>
      </c>
      <c r="B32">
        <f>[1]CT!C32</f>
        <v>768</v>
      </c>
      <c r="C32">
        <f>[1]CT!D32</f>
        <v>742</v>
      </c>
      <c r="D32">
        <f t="shared" si="0"/>
        <v>96.614583333333343</v>
      </c>
    </row>
    <row r="33" spans="1:4" x14ac:dyDescent="0.3">
      <c r="A33">
        <f t="shared" si="1"/>
        <v>2021</v>
      </c>
      <c r="B33">
        <f>[1]CT!C33</f>
        <v>901</v>
      </c>
      <c r="C33">
        <f>[1]CT!D33</f>
        <v>859</v>
      </c>
      <c r="D33">
        <f t="shared" si="0"/>
        <v>95.338512763596</v>
      </c>
    </row>
    <row r="34" spans="1:4" x14ac:dyDescent="0.3">
      <c r="A34">
        <f t="shared" si="1"/>
        <v>2022</v>
      </c>
      <c r="B34">
        <f>[1]CT!C34</f>
        <v>594</v>
      </c>
      <c r="C34">
        <f>[1]CT!D34</f>
        <v>563</v>
      </c>
      <c r="D34">
        <f t="shared" si="0"/>
        <v>94.781144781144775</v>
      </c>
    </row>
    <row r="35" spans="1:4" x14ac:dyDescent="0.3">
      <c r="A35">
        <f t="shared" si="1"/>
        <v>2023</v>
      </c>
      <c r="B35">
        <f>[1]CT!C35</f>
        <v>470</v>
      </c>
      <c r="C35">
        <f>[1]CT!D35</f>
        <v>439</v>
      </c>
      <c r="D35">
        <f t="shared" si="0"/>
        <v>93.40425531914893</v>
      </c>
    </row>
    <row r="36" spans="1:4" x14ac:dyDescent="0.3">
      <c r="A36">
        <f t="shared" si="1"/>
        <v>2024</v>
      </c>
      <c r="B36">
        <f>[1]CT!C36</f>
        <v>416</v>
      </c>
      <c r="C36">
        <f>[1]CT!D36</f>
        <v>393</v>
      </c>
      <c r="D36">
        <f t="shared" si="0"/>
        <v>94.47115384615384</v>
      </c>
    </row>
    <row r="37" spans="1:4" x14ac:dyDescent="0.3">
      <c r="A37">
        <v>2025</v>
      </c>
      <c r="B37">
        <f>[1]CT!C37</f>
        <v>345</v>
      </c>
      <c r="C37">
        <f>[1]CT!D37</f>
        <v>330</v>
      </c>
      <c r="D37">
        <f t="shared" si="0"/>
        <v>95.652173913043484</v>
      </c>
    </row>
    <row r="38" spans="1:4" x14ac:dyDescent="0.3">
      <c r="A38" t="s">
        <v>9</v>
      </c>
      <c r="B38">
        <f>[1]CT!C38</f>
        <v>9463</v>
      </c>
      <c r="C38">
        <f>[1]CT!D38</f>
        <v>9053</v>
      </c>
    </row>
    <row r="39" spans="1:4" x14ac:dyDescent="0.3">
      <c r="A39" t="s">
        <v>7</v>
      </c>
      <c r="B39">
        <f>[1]CT!C39</f>
        <v>901</v>
      </c>
      <c r="C39">
        <f>[1]CT!D39</f>
        <v>859</v>
      </c>
      <c r="D39">
        <f>MAX(D2:D37)</f>
        <v>100</v>
      </c>
    </row>
    <row r="40" spans="1:4" x14ac:dyDescent="0.3">
      <c r="A40" t="s">
        <v>8</v>
      </c>
      <c r="B40">
        <f>[1]CT!C40</f>
        <v>4</v>
      </c>
      <c r="C40">
        <f>[1]CT!D40</f>
        <v>3</v>
      </c>
      <c r="D40">
        <f>MIN(D2:D37)</f>
        <v>75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C2CD-24FE-6D4C-A3BD-D43803597F49}">
  <dimension ref="A1:D40"/>
  <sheetViews>
    <sheetView workbookViewId="0">
      <selection activeCell="B17" sqref="B17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[1]META!C1</f>
        <v>HasPvalue</v>
      </c>
      <c r="C1" t="str">
        <f>[1]META!D1</f>
        <v>Pvalue0.05</v>
      </c>
      <c r="D1" t="s">
        <v>1</v>
      </c>
    </row>
    <row r="2" spans="1:4" x14ac:dyDescent="0.3">
      <c r="A2">
        <v>1990</v>
      </c>
      <c r="B2">
        <f>[1]META!C2</f>
        <v>0</v>
      </c>
      <c r="C2">
        <f>[1]META!D2</f>
        <v>0</v>
      </c>
      <c r="D2" t="e">
        <f>C2/B2*100</f>
        <v>#DIV/0!</v>
      </c>
    </row>
    <row r="3" spans="1:4" x14ac:dyDescent="0.3">
      <c r="A3">
        <v>1991</v>
      </c>
      <c r="B3">
        <f>[1]META!C3</f>
        <v>0</v>
      </c>
      <c r="C3">
        <f>[1]META!D3</f>
        <v>0</v>
      </c>
      <c r="D3" t="e">
        <f t="shared" ref="D3:D37" si="0">C3/B3*100</f>
        <v>#DIV/0!</v>
      </c>
    </row>
    <row r="4" spans="1:4" x14ac:dyDescent="0.3">
      <c r="A4">
        <f>A2+2</f>
        <v>1992</v>
      </c>
      <c r="B4">
        <f>[1]META!C4</f>
        <v>0</v>
      </c>
      <c r="C4">
        <f>[1]META!D4</f>
        <v>0</v>
      </c>
      <c r="D4" t="e">
        <f t="shared" si="0"/>
        <v>#DIV/0!</v>
      </c>
    </row>
    <row r="5" spans="1:4" x14ac:dyDescent="0.3">
      <c r="A5">
        <f t="shared" ref="A5:A20" si="1">A3+2</f>
        <v>1993</v>
      </c>
      <c r="B5">
        <f>[1]META!C5</f>
        <v>0</v>
      </c>
      <c r="C5">
        <f>[1]META!D5</f>
        <v>0</v>
      </c>
      <c r="D5" t="e">
        <f t="shared" si="0"/>
        <v>#DIV/0!</v>
      </c>
    </row>
    <row r="6" spans="1:4" x14ac:dyDescent="0.3">
      <c r="A6">
        <f t="shared" si="1"/>
        <v>1994</v>
      </c>
      <c r="B6">
        <f>[1]META!C6</f>
        <v>1</v>
      </c>
      <c r="C6">
        <f>[1]META!D6</f>
        <v>1</v>
      </c>
      <c r="D6">
        <f t="shared" si="0"/>
        <v>100</v>
      </c>
    </row>
    <row r="7" spans="1:4" x14ac:dyDescent="0.3">
      <c r="A7">
        <f t="shared" si="1"/>
        <v>1995</v>
      </c>
      <c r="B7">
        <f>[1]META!C7</f>
        <v>1</v>
      </c>
      <c r="C7">
        <f>[1]META!D7</f>
        <v>1</v>
      </c>
      <c r="D7">
        <f t="shared" si="0"/>
        <v>100</v>
      </c>
    </row>
    <row r="8" spans="1:4" x14ac:dyDescent="0.3">
      <c r="A8">
        <f t="shared" si="1"/>
        <v>1996</v>
      </c>
      <c r="B8">
        <f>[1]META!C8</f>
        <v>0</v>
      </c>
      <c r="C8">
        <f>[1]META!D8</f>
        <v>0</v>
      </c>
      <c r="D8" t="e">
        <f t="shared" si="0"/>
        <v>#DIV/0!</v>
      </c>
    </row>
    <row r="9" spans="1:4" x14ac:dyDescent="0.3">
      <c r="A9">
        <f t="shared" si="1"/>
        <v>1997</v>
      </c>
      <c r="B9">
        <f>[1]META!C9</f>
        <v>1</v>
      </c>
      <c r="C9">
        <f>[1]META!D9</f>
        <v>1</v>
      </c>
      <c r="D9">
        <f t="shared" si="0"/>
        <v>100</v>
      </c>
    </row>
    <row r="10" spans="1:4" x14ac:dyDescent="0.3">
      <c r="A10">
        <f t="shared" si="1"/>
        <v>1998</v>
      </c>
      <c r="B10">
        <f>[1]META!C10</f>
        <v>0</v>
      </c>
      <c r="C10">
        <f>[1]META!D10</f>
        <v>0</v>
      </c>
      <c r="D10" t="e">
        <f t="shared" si="0"/>
        <v>#DIV/0!</v>
      </c>
    </row>
    <row r="11" spans="1:4" x14ac:dyDescent="0.3">
      <c r="A11">
        <f t="shared" si="1"/>
        <v>1999</v>
      </c>
      <c r="B11">
        <f>[1]META!C11</f>
        <v>0</v>
      </c>
      <c r="C11">
        <f>[1]META!D11</f>
        <v>0</v>
      </c>
      <c r="D11" t="e">
        <f t="shared" si="0"/>
        <v>#DIV/0!</v>
      </c>
    </row>
    <row r="12" spans="1:4" x14ac:dyDescent="0.3">
      <c r="A12">
        <f t="shared" si="1"/>
        <v>2000</v>
      </c>
      <c r="B12">
        <f>[1]META!C12</f>
        <v>4</v>
      </c>
      <c r="C12">
        <f>[1]META!D12</f>
        <v>4</v>
      </c>
      <c r="D12">
        <f t="shared" si="0"/>
        <v>100</v>
      </c>
    </row>
    <row r="13" spans="1:4" x14ac:dyDescent="0.3">
      <c r="A13">
        <f t="shared" si="1"/>
        <v>2001</v>
      </c>
      <c r="B13">
        <f>[1]META!C13</f>
        <v>3</v>
      </c>
      <c r="C13">
        <f>[1]META!D13</f>
        <v>2</v>
      </c>
      <c r="D13">
        <f t="shared" si="0"/>
        <v>66.666666666666657</v>
      </c>
    </row>
    <row r="14" spans="1:4" x14ac:dyDescent="0.3">
      <c r="A14">
        <f t="shared" si="1"/>
        <v>2002</v>
      </c>
      <c r="B14">
        <f>[1]META!C14</f>
        <v>4</v>
      </c>
      <c r="C14">
        <f>[1]META!D14</f>
        <v>4</v>
      </c>
      <c r="D14">
        <f t="shared" si="0"/>
        <v>100</v>
      </c>
    </row>
    <row r="15" spans="1:4" x14ac:dyDescent="0.3">
      <c r="A15">
        <f t="shared" si="1"/>
        <v>2003</v>
      </c>
      <c r="B15">
        <f>[1]META!C15</f>
        <v>4</v>
      </c>
      <c r="C15">
        <f>[1]META!D15</f>
        <v>3</v>
      </c>
      <c r="D15">
        <f t="shared" si="0"/>
        <v>75</v>
      </c>
    </row>
    <row r="16" spans="1:4" x14ac:dyDescent="0.3">
      <c r="A16">
        <f t="shared" si="1"/>
        <v>2004</v>
      </c>
      <c r="B16">
        <f>[1]META!C16</f>
        <v>8</v>
      </c>
      <c r="C16">
        <f>[1]META!D16</f>
        <v>6</v>
      </c>
      <c r="D16">
        <f t="shared" si="0"/>
        <v>75</v>
      </c>
    </row>
    <row r="17" spans="1:4" x14ac:dyDescent="0.3">
      <c r="A17">
        <f t="shared" si="1"/>
        <v>2005</v>
      </c>
      <c r="B17">
        <f>[1]META!C17</f>
        <v>11</v>
      </c>
      <c r="C17">
        <f>[1]META!D17</f>
        <v>7</v>
      </c>
      <c r="D17">
        <f t="shared" si="0"/>
        <v>63.636363636363633</v>
      </c>
    </row>
    <row r="18" spans="1:4" x14ac:dyDescent="0.3">
      <c r="A18">
        <f t="shared" si="1"/>
        <v>2006</v>
      </c>
      <c r="B18">
        <f>[1]META!C18</f>
        <v>18</v>
      </c>
      <c r="C18">
        <f>[1]META!D18</f>
        <v>15</v>
      </c>
      <c r="D18">
        <f t="shared" si="0"/>
        <v>83.333333333333343</v>
      </c>
    </row>
    <row r="19" spans="1:4" x14ac:dyDescent="0.3">
      <c r="A19">
        <f t="shared" si="1"/>
        <v>2007</v>
      </c>
      <c r="B19">
        <f>[1]META!C19</f>
        <v>22</v>
      </c>
      <c r="C19">
        <f>[1]META!D19</f>
        <v>20</v>
      </c>
      <c r="D19">
        <f t="shared" si="0"/>
        <v>90.909090909090907</v>
      </c>
    </row>
    <row r="20" spans="1:4" x14ac:dyDescent="0.3">
      <c r="A20">
        <f t="shared" si="1"/>
        <v>2008</v>
      </c>
      <c r="B20">
        <f>[1]META!C20</f>
        <v>44</v>
      </c>
      <c r="C20">
        <f>[1]META!D20</f>
        <v>35</v>
      </c>
      <c r="D20">
        <f t="shared" si="0"/>
        <v>79.545454545454547</v>
      </c>
    </row>
    <row r="21" spans="1:4" x14ac:dyDescent="0.3">
      <c r="A21">
        <f t="shared" ref="A21:A36" si="2">A19+2</f>
        <v>2009</v>
      </c>
      <c r="B21">
        <f>[1]META!C21</f>
        <v>82</v>
      </c>
      <c r="C21">
        <f>[1]META!D21</f>
        <v>76</v>
      </c>
      <c r="D21">
        <f t="shared" si="0"/>
        <v>92.682926829268297</v>
      </c>
    </row>
    <row r="22" spans="1:4" x14ac:dyDescent="0.3">
      <c r="A22">
        <f t="shared" si="2"/>
        <v>2010</v>
      </c>
      <c r="B22">
        <f>[1]META!C22</f>
        <v>110</v>
      </c>
      <c r="C22">
        <f>[1]META!D22</f>
        <v>97</v>
      </c>
      <c r="D22">
        <f t="shared" si="0"/>
        <v>88.181818181818187</v>
      </c>
    </row>
    <row r="23" spans="1:4" x14ac:dyDescent="0.3">
      <c r="A23">
        <f t="shared" si="2"/>
        <v>2011</v>
      </c>
      <c r="B23">
        <f>[1]META!C23</f>
        <v>212</v>
      </c>
      <c r="C23">
        <f>[1]META!D23</f>
        <v>188</v>
      </c>
      <c r="D23">
        <f t="shared" si="0"/>
        <v>88.679245283018872</v>
      </c>
    </row>
    <row r="24" spans="1:4" x14ac:dyDescent="0.3">
      <c r="A24">
        <f>A22+2</f>
        <v>2012</v>
      </c>
      <c r="B24">
        <f>[1]META!C24</f>
        <v>320</v>
      </c>
      <c r="C24">
        <f>[1]META!D24</f>
        <v>286</v>
      </c>
      <c r="D24">
        <f t="shared" si="0"/>
        <v>89.375</v>
      </c>
    </row>
    <row r="25" spans="1:4" x14ac:dyDescent="0.3">
      <c r="A25">
        <f t="shared" si="2"/>
        <v>2013</v>
      </c>
      <c r="B25">
        <f>[1]META!C25</f>
        <v>558</v>
      </c>
      <c r="C25">
        <f>[1]META!D25</f>
        <v>499</v>
      </c>
      <c r="D25">
        <f t="shared" si="0"/>
        <v>89.42652329749103</v>
      </c>
    </row>
    <row r="26" spans="1:4" x14ac:dyDescent="0.3">
      <c r="A26">
        <f t="shared" si="2"/>
        <v>2014</v>
      </c>
      <c r="B26">
        <f>[1]META!C26</f>
        <v>763</v>
      </c>
      <c r="C26">
        <f>[1]META!D26</f>
        <v>692</v>
      </c>
      <c r="D26">
        <f t="shared" si="0"/>
        <v>90.694626474442984</v>
      </c>
    </row>
    <row r="27" spans="1:4" x14ac:dyDescent="0.3">
      <c r="A27">
        <f t="shared" si="2"/>
        <v>2015</v>
      </c>
      <c r="B27">
        <f>[1]META!C27</f>
        <v>982</v>
      </c>
      <c r="C27">
        <f>[1]META!D27</f>
        <v>892</v>
      </c>
      <c r="D27">
        <f t="shared" si="0"/>
        <v>90.835030549898164</v>
      </c>
    </row>
    <row r="28" spans="1:4" x14ac:dyDescent="0.3">
      <c r="A28">
        <f t="shared" si="2"/>
        <v>2016</v>
      </c>
      <c r="B28">
        <f>[1]META!C28</f>
        <v>1194</v>
      </c>
      <c r="C28">
        <f>[1]META!D28</f>
        <v>1092</v>
      </c>
      <c r="D28">
        <f t="shared" si="0"/>
        <v>91.457286432160799</v>
      </c>
    </row>
    <row r="29" spans="1:4" x14ac:dyDescent="0.3">
      <c r="A29">
        <f t="shared" si="2"/>
        <v>2017</v>
      </c>
      <c r="B29">
        <f>[1]META!C29</f>
        <v>1318</v>
      </c>
      <c r="C29">
        <f>[1]META!D29</f>
        <v>1211</v>
      </c>
      <c r="D29">
        <f t="shared" si="0"/>
        <v>91.881638846737474</v>
      </c>
    </row>
    <row r="30" spans="1:4" x14ac:dyDescent="0.3">
      <c r="A30">
        <f t="shared" si="2"/>
        <v>2018</v>
      </c>
      <c r="B30">
        <f>[1]META!C30</f>
        <v>1360</v>
      </c>
      <c r="C30">
        <f>[1]META!D30</f>
        <v>1220</v>
      </c>
      <c r="D30">
        <f t="shared" si="0"/>
        <v>89.705882352941174</v>
      </c>
    </row>
    <row r="31" spans="1:4" x14ac:dyDescent="0.3">
      <c r="A31">
        <f t="shared" si="2"/>
        <v>2019</v>
      </c>
      <c r="B31">
        <f>[1]META!C31</f>
        <v>1613</v>
      </c>
      <c r="C31">
        <f>[1]META!D31</f>
        <v>1463</v>
      </c>
      <c r="D31">
        <f t="shared" si="0"/>
        <v>90.700557966522013</v>
      </c>
    </row>
    <row r="32" spans="1:4" x14ac:dyDescent="0.3">
      <c r="A32">
        <f t="shared" si="2"/>
        <v>2020</v>
      </c>
      <c r="B32">
        <f>[1]META!C32</f>
        <v>1964</v>
      </c>
      <c r="C32">
        <f>[1]META!D32</f>
        <v>1812</v>
      </c>
      <c r="D32">
        <f t="shared" si="0"/>
        <v>92.260692464358456</v>
      </c>
    </row>
    <row r="33" spans="1:4" x14ac:dyDescent="0.3">
      <c r="A33">
        <f t="shared" si="2"/>
        <v>2021</v>
      </c>
      <c r="B33">
        <f>[1]META!C33</f>
        <v>2277</v>
      </c>
      <c r="C33">
        <f>[1]META!D33</f>
        <v>2099</v>
      </c>
      <c r="D33">
        <f t="shared" si="0"/>
        <v>92.182696530522605</v>
      </c>
    </row>
    <row r="34" spans="1:4" x14ac:dyDescent="0.3">
      <c r="A34">
        <f t="shared" si="2"/>
        <v>2022</v>
      </c>
      <c r="B34">
        <f>[1]META!C34</f>
        <v>2858</v>
      </c>
      <c r="C34">
        <f>[1]META!D34</f>
        <v>2634</v>
      </c>
      <c r="D34">
        <f t="shared" si="0"/>
        <v>92.162351294611625</v>
      </c>
    </row>
    <row r="35" spans="1:4" x14ac:dyDescent="0.3">
      <c r="A35">
        <f t="shared" si="2"/>
        <v>2023</v>
      </c>
      <c r="B35">
        <f>[1]META!C35</f>
        <v>2933</v>
      </c>
      <c r="C35">
        <f>[1]META!D35</f>
        <v>2719</v>
      </c>
      <c r="D35">
        <f t="shared" si="0"/>
        <v>92.703716331401296</v>
      </c>
    </row>
    <row r="36" spans="1:4" x14ac:dyDescent="0.3">
      <c r="A36">
        <f t="shared" si="2"/>
        <v>2024</v>
      </c>
      <c r="B36">
        <f>[1]META!C36</f>
        <v>3063</v>
      </c>
      <c r="C36">
        <f>[1]META!D36</f>
        <v>2866</v>
      </c>
      <c r="D36">
        <f t="shared" si="0"/>
        <v>93.568396996408751</v>
      </c>
    </row>
    <row r="37" spans="1:4" x14ac:dyDescent="0.3">
      <c r="A37">
        <v>2025</v>
      </c>
      <c r="B37">
        <f>[1]META!C37</f>
        <v>2311</v>
      </c>
      <c r="C37">
        <f>[1]META!D37</f>
        <v>2127</v>
      </c>
      <c r="D37">
        <f t="shared" si="0"/>
        <v>92.038078753786237</v>
      </c>
    </row>
    <row r="38" spans="1:4" x14ac:dyDescent="0.3">
      <c r="A38" t="s">
        <v>9</v>
      </c>
      <c r="B38">
        <f>[1]META!C38</f>
        <v>24039</v>
      </c>
      <c r="C38">
        <f>[1]META!D38</f>
        <v>22072</v>
      </c>
    </row>
    <row r="39" spans="1:4" x14ac:dyDescent="0.3">
      <c r="A39" t="s">
        <v>7</v>
      </c>
      <c r="B39">
        <f>[1]META!C39</f>
        <v>3063</v>
      </c>
      <c r="C39">
        <f>[1]META!D39</f>
        <v>2866</v>
      </c>
      <c r="D39" t="e">
        <f>MAX(D2:D37)</f>
        <v>#DIV/0!</v>
      </c>
    </row>
    <row r="40" spans="1:4" x14ac:dyDescent="0.3">
      <c r="A40" t="s">
        <v>8</v>
      </c>
      <c r="B40">
        <f>[1]META!C40</f>
        <v>0</v>
      </c>
      <c r="C40">
        <f>[1]META!D40</f>
        <v>0</v>
      </c>
      <c r="D40" t="e">
        <f>MIN(D2:D37)</f>
        <v>#DIV/0!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FCB9-9D3A-054F-B8B7-A2E00083DE64}">
  <dimension ref="A1:D40"/>
  <sheetViews>
    <sheetView workbookViewId="0">
      <selection activeCell="C18" sqref="C18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[1]REVIEW!C1</f>
        <v>HasPvalue</v>
      </c>
      <c r="C1" t="str">
        <f>[1]REVIEW!D1</f>
        <v>Pvalue0.05</v>
      </c>
      <c r="D1" t="s">
        <v>1</v>
      </c>
    </row>
    <row r="2" spans="1:4" x14ac:dyDescent="0.3">
      <c r="A2">
        <v>1990</v>
      </c>
      <c r="B2">
        <f>[1]REVIEW!C2</f>
        <v>1</v>
      </c>
      <c r="C2">
        <f>[1]REVIEW!D2</f>
        <v>1</v>
      </c>
      <c r="D2">
        <f>C2/B2*100</f>
        <v>100</v>
      </c>
    </row>
    <row r="3" spans="1:4" x14ac:dyDescent="0.3">
      <c r="A3">
        <v>1991</v>
      </c>
      <c r="B3">
        <f>[1]REVIEW!C3</f>
        <v>1</v>
      </c>
      <c r="C3">
        <f>[1]REVIEW!D3</f>
        <v>1</v>
      </c>
      <c r="D3">
        <f t="shared" ref="D3:D37" si="0">C3/B3*100</f>
        <v>100</v>
      </c>
    </row>
    <row r="4" spans="1:4" x14ac:dyDescent="0.3">
      <c r="A4">
        <f>A2+2</f>
        <v>1992</v>
      </c>
      <c r="B4">
        <f>[1]REVIEW!C4</f>
        <v>0</v>
      </c>
      <c r="C4">
        <f>[1]REVIEW!D4</f>
        <v>0</v>
      </c>
      <c r="D4" t="e">
        <f t="shared" si="0"/>
        <v>#DIV/0!</v>
      </c>
    </row>
    <row r="5" spans="1:4" x14ac:dyDescent="0.3">
      <c r="A5">
        <f t="shared" ref="A5:A20" si="1">A3+2</f>
        <v>1993</v>
      </c>
      <c r="B5">
        <f>[1]REVIEW!C5</f>
        <v>2</v>
      </c>
      <c r="C5">
        <f>[1]REVIEW!D5</f>
        <v>2</v>
      </c>
      <c r="D5">
        <f t="shared" si="0"/>
        <v>100</v>
      </c>
    </row>
    <row r="6" spans="1:4" x14ac:dyDescent="0.3">
      <c r="A6">
        <f t="shared" si="1"/>
        <v>1994</v>
      </c>
      <c r="B6">
        <f>[1]REVIEW!C6</f>
        <v>1</v>
      </c>
      <c r="C6">
        <f>[1]REVIEW!D6</f>
        <v>1</v>
      </c>
      <c r="D6">
        <f t="shared" si="0"/>
        <v>100</v>
      </c>
    </row>
    <row r="7" spans="1:4" x14ac:dyDescent="0.3">
      <c r="A7">
        <f t="shared" si="1"/>
        <v>1995</v>
      </c>
      <c r="B7">
        <f>[1]REVIEW!C7</f>
        <v>1</v>
      </c>
      <c r="C7">
        <f>[1]REVIEW!D7</f>
        <v>1</v>
      </c>
      <c r="D7">
        <f t="shared" si="0"/>
        <v>100</v>
      </c>
    </row>
    <row r="8" spans="1:4" x14ac:dyDescent="0.3">
      <c r="A8">
        <f t="shared" si="1"/>
        <v>1996</v>
      </c>
      <c r="B8">
        <f>[1]REVIEW!C8</f>
        <v>0</v>
      </c>
      <c r="C8">
        <f>[1]REVIEW!D8</f>
        <v>0</v>
      </c>
      <c r="D8" t="e">
        <f t="shared" si="0"/>
        <v>#DIV/0!</v>
      </c>
    </row>
    <row r="9" spans="1:4" x14ac:dyDescent="0.3">
      <c r="A9">
        <f t="shared" si="1"/>
        <v>1997</v>
      </c>
      <c r="B9">
        <f>[1]REVIEW!C9</f>
        <v>6</v>
      </c>
      <c r="C9">
        <f>[1]REVIEW!D9</f>
        <v>6</v>
      </c>
      <c r="D9">
        <f t="shared" si="0"/>
        <v>100</v>
      </c>
    </row>
    <row r="10" spans="1:4" x14ac:dyDescent="0.3">
      <c r="A10">
        <f t="shared" si="1"/>
        <v>1998</v>
      </c>
      <c r="B10">
        <f>[1]REVIEW!C10</f>
        <v>1</v>
      </c>
      <c r="C10">
        <f>[1]REVIEW!D10</f>
        <v>1</v>
      </c>
      <c r="D10">
        <f t="shared" si="0"/>
        <v>100</v>
      </c>
    </row>
    <row r="11" spans="1:4" x14ac:dyDescent="0.3">
      <c r="A11">
        <f t="shared" si="1"/>
        <v>1999</v>
      </c>
      <c r="B11">
        <f>[1]REVIEW!C11</f>
        <v>2</v>
      </c>
      <c r="C11">
        <f>[1]REVIEW!D11</f>
        <v>2</v>
      </c>
      <c r="D11">
        <f t="shared" si="0"/>
        <v>100</v>
      </c>
    </row>
    <row r="12" spans="1:4" x14ac:dyDescent="0.3">
      <c r="A12">
        <f t="shared" si="1"/>
        <v>2000</v>
      </c>
      <c r="B12">
        <f>[1]REVIEW!C12</f>
        <v>2</v>
      </c>
      <c r="C12">
        <f>[1]REVIEW!D12</f>
        <v>2</v>
      </c>
      <c r="D12">
        <f t="shared" si="0"/>
        <v>100</v>
      </c>
    </row>
    <row r="13" spans="1:4" x14ac:dyDescent="0.3">
      <c r="A13">
        <f t="shared" si="1"/>
        <v>2001</v>
      </c>
      <c r="B13">
        <f>[1]REVIEW!C13</f>
        <v>3</v>
      </c>
      <c r="C13">
        <f>[1]REVIEW!D13</f>
        <v>3</v>
      </c>
      <c r="D13">
        <f t="shared" si="0"/>
        <v>100</v>
      </c>
    </row>
    <row r="14" spans="1:4" x14ac:dyDescent="0.3">
      <c r="A14">
        <f t="shared" si="1"/>
        <v>2002</v>
      </c>
      <c r="B14">
        <f>[1]REVIEW!C14</f>
        <v>0</v>
      </c>
      <c r="C14">
        <f>[1]REVIEW!D14</f>
        <v>0</v>
      </c>
      <c r="D14" t="e">
        <f t="shared" si="0"/>
        <v>#DIV/0!</v>
      </c>
    </row>
    <row r="15" spans="1:4" x14ac:dyDescent="0.3">
      <c r="A15">
        <f t="shared" si="1"/>
        <v>2003</v>
      </c>
      <c r="B15">
        <f>[1]REVIEW!C15</f>
        <v>2</v>
      </c>
      <c r="C15">
        <f>[1]REVIEW!D15</f>
        <v>2</v>
      </c>
      <c r="D15">
        <f t="shared" si="0"/>
        <v>100</v>
      </c>
    </row>
    <row r="16" spans="1:4" x14ac:dyDescent="0.3">
      <c r="A16">
        <f t="shared" si="1"/>
        <v>2004</v>
      </c>
      <c r="B16">
        <f>[1]REVIEW!C16</f>
        <v>8</v>
      </c>
      <c r="C16">
        <f>[1]REVIEW!D16</f>
        <v>7</v>
      </c>
      <c r="D16">
        <f t="shared" si="0"/>
        <v>87.5</v>
      </c>
    </row>
    <row r="17" spans="1:4" x14ac:dyDescent="0.3">
      <c r="A17">
        <f t="shared" si="1"/>
        <v>2005</v>
      </c>
      <c r="B17">
        <f>[1]REVIEW!C17</f>
        <v>3</v>
      </c>
      <c r="C17">
        <f>[1]REVIEW!D17</f>
        <v>3</v>
      </c>
      <c r="D17">
        <f t="shared" si="0"/>
        <v>100</v>
      </c>
    </row>
    <row r="18" spans="1:4" x14ac:dyDescent="0.3">
      <c r="A18">
        <f t="shared" si="1"/>
        <v>2006</v>
      </c>
      <c r="B18">
        <f>[1]REVIEW!C18</f>
        <v>11</v>
      </c>
      <c r="C18">
        <f>[1]REVIEW!D18</f>
        <v>11</v>
      </c>
      <c r="D18">
        <f t="shared" si="0"/>
        <v>100</v>
      </c>
    </row>
    <row r="19" spans="1:4" x14ac:dyDescent="0.3">
      <c r="A19">
        <f t="shared" si="1"/>
        <v>2007</v>
      </c>
      <c r="B19">
        <f>[1]REVIEW!C19</f>
        <v>14</v>
      </c>
      <c r="C19">
        <f>[1]REVIEW!D19</f>
        <v>13</v>
      </c>
      <c r="D19">
        <f t="shared" si="0"/>
        <v>92.857142857142861</v>
      </c>
    </row>
    <row r="20" spans="1:4" x14ac:dyDescent="0.3">
      <c r="A20">
        <f t="shared" si="1"/>
        <v>2008</v>
      </c>
      <c r="B20">
        <f>[1]REVIEW!C20</f>
        <v>20</v>
      </c>
      <c r="C20">
        <f>[1]REVIEW!D20</f>
        <v>16</v>
      </c>
      <c r="D20">
        <f t="shared" si="0"/>
        <v>80</v>
      </c>
    </row>
    <row r="21" spans="1:4" x14ac:dyDescent="0.3">
      <c r="A21">
        <f t="shared" ref="A21:A36" si="2">A19+2</f>
        <v>2009</v>
      </c>
      <c r="B21">
        <f>[1]REVIEW!C21</f>
        <v>24</v>
      </c>
      <c r="C21">
        <f>[1]REVIEW!D21</f>
        <v>23</v>
      </c>
      <c r="D21">
        <f t="shared" si="0"/>
        <v>95.833333333333343</v>
      </c>
    </row>
    <row r="22" spans="1:4" x14ac:dyDescent="0.3">
      <c r="A22">
        <f t="shared" si="2"/>
        <v>2010</v>
      </c>
      <c r="B22">
        <f>[1]REVIEW!C22</f>
        <v>41</v>
      </c>
      <c r="C22">
        <f>[1]REVIEW!D22</f>
        <v>38</v>
      </c>
      <c r="D22">
        <f t="shared" si="0"/>
        <v>92.682926829268297</v>
      </c>
    </row>
    <row r="23" spans="1:4" x14ac:dyDescent="0.3">
      <c r="A23">
        <f t="shared" si="2"/>
        <v>2011</v>
      </c>
      <c r="B23">
        <f>[1]REVIEW!C23</f>
        <v>57</v>
      </c>
      <c r="C23">
        <f>[1]REVIEW!D23</f>
        <v>52</v>
      </c>
      <c r="D23">
        <f t="shared" si="0"/>
        <v>91.228070175438589</v>
      </c>
    </row>
    <row r="24" spans="1:4" x14ac:dyDescent="0.3">
      <c r="A24">
        <f>A22+2</f>
        <v>2012</v>
      </c>
      <c r="B24">
        <f>[1]REVIEW!C24</f>
        <v>58</v>
      </c>
      <c r="C24">
        <f>[1]REVIEW!D24</f>
        <v>56</v>
      </c>
      <c r="D24">
        <f t="shared" si="0"/>
        <v>96.551724137931032</v>
      </c>
    </row>
    <row r="25" spans="1:4" x14ac:dyDescent="0.3">
      <c r="A25">
        <f t="shared" si="2"/>
        <v>2013</v>
      </c>
      <c r="B25">
        <f>[1]REVIEW!C25</f>
        <v>117</v>
      </c>
      <c r="C25">
        <f>[1]REVIEW!D25</f>
        <v>107</v>
      </c>
      <c r="D25">
        <f t="shared" si="0"/>
        <v>91.452991452991455</v>
      </c>
    </row>
    <row r="26" spans="1:4" x14ac:dyDescent="0.3">
      <c r="A26">
        <f t="shared" si="2"/>
        <v>2014</v>
      </c>
      <c r="B26">
        <f>[1]REVIEW!C26</f>
        <v>214</v>
      </c>
      <c r="C26">
        <f>[1]REVIEW!D26</f>
        <v>198</v>
      </c>
      <c r="D26">
        <f t="shared" si="0"/>
        <v>92.523364485981304</v>
      </c>
    </row>
    <row r="27" spans="1:4" x14ac:dyDescent="0.3">
      <c r="A27">
        <f t="shared" si="2"/>
        <v>2015</v>
      </c>
      <c r="B27">
        <f>[1]REVIEW!C27</f>
        <v>338</v>
      </c>
      <c r="C27">
        <f>[1]REVIEW!D27</f>
        <v>312</v>
      </c>
      <c r="D27">
        <f t="shared" si="0"/>
        <v>92.307692307692307</v>
      </c>
    </row>
    <row r="28" spans="1:4" x14ac:dyDescent="0.3">
      <c r="A28">
        <f t="shared" si="2"/>
        <v>2016</v>
      </c>
      <c r="B28">
        <f>[1]REVIEW!C28</f>
        <v>467</v>
      </c>
      <c r="C28">
        <f>[1]REVIEW!D28</f>
        <v>430</v>
      </c>
      <c r="D28">
        <f t="shared" si="0"/>
        <v>92.077087794432543</v>
      </c>
    </row>
    <row r="29" spans="1:4" x14ac:dyDescent="0.3">
      <c r="A29">
        <f t="shared" si="2"/>
        <v>2017</v>
      </c>
      <c r="B29">
        <f>[1]REVIEW!C29</f>
        <v>492</v>
      </c>
      <c r="C29">
        <f>[1]REVIEW!D29</f>
        <v>442</v>
      </c>
      <c r="D29">
        <f t="shared" si="0"/>
        <v>89.837398373983731</v>
      </c>
    </row>
    <row r="30" spans="1:4" x14ac:dyDescent="0.3">
      <c r="A30">
        <f t="shared" si="2"/>
        <v>2018</v>
      </c>
      <c r="B30">
        <f>[1]REVIEW!C30</f>
        <v>642</v>
      </c>
      <c r="C30">
        <f>[1]REVIEW!D30</f>
        <v>577</v>
      </c>
      <c r="D30">
        <f t="shared" si="0"/>
        <v>89.875389408099693</v>
      </c>
    </row>
    <row r="31" spans="1:4" x14ac:dyDescent="0.3">
      <c r="A31">
        <f t="shared" si="2"/>
        <v>2019</v>
      </c>
      <c r="B31">
        <f>[1]REVIEW!C31</f>
        <v>576</v>
      </c>
      <c r="C31">
        <f>[1]REVIEW!D31</f>
        <v>521</v>
      </c>
      <c r="D31">
        <f t="shared" si="0"/>
        <v>90.451388888888886</v>
      </c>
    </row>
    <row r="32" spans="1:4" x14ac:dyDescent="0.3">
      <c r="A32">
        <f t="shared" si="2"/>
        <v>2020</v>
      </c>
      <c r="B32">
        <f>[1]REVIEW!C32</f>
        <v>784</v>
      </c>
      <c r="C32">
        <f>[1]REVIEW!D32</f>
        <v>718</v>
      </c>
      <c r="D32">
        <f t="shared" si="0"/>
        <v>91.581632653061234</v>
      </c>
    </row>
    <row r="33" spans="1:4" x14ac:dyDescent="0.3">
      <c r="A33">
        <f t="shared" si="2"/>
        <v>2021</v>
      </c>
      <c r="B33">
        <f>[1]REVIEW!C33</f>
        <v>1187</v>
      </c>
      <c r="C33">
        <f>[1]REVIEW!D33</f>
        <v>1089</v>
      </c>
      <c r="D33">
        <f t="shared" si="0"/>
        <v>91.743892165122148</v>
      </c>
    </row>
    <row r="34" spans="1:4" x14ac:dyDescent="0.3">
      <c r="A34">
        <f t="shared" si="2"/>
        <v>2022</v>
      </c>
      <c r="B34">
        <f>[1]REVIEW!C34</f>
        <v>1817</v>
      </c>
      <c r="C34">
        <f>[1]REVIEW!D34</f>
        <v>1676</v>
      </c>
      <c r="D34">
        <f t="shared" si="0"/>
        <v>92.239955971381391</v>
      </c>
    </row>
    <row r="35" spans="1:4" x14ac:dyDescent="0.3">
      <c r="A35">
        <f t="shared" si="2"/>
        <v>2023</v>
      </c>
      <c r="B35">
        <f>[1]REVIEW!C35</f>
        <v>1797</v>
      </c>
      <c r="C35">
        <f>[1]REVIEW!D35</f>
        <v>1635</v>
      </c>
      <c r="D35">
        <f t="shared" si="0"/>
        <v>90.984974958263777</v>
      </c>
    </row>
    <row r="36" spans="1:4" x14ac:dyDescent="0.3">
      <c r="A36">
        <f t="shared" si="2"/>
        <v>2024</v>
      </c>
      <c r="B36">
        <f>[1]REVIEW!C36</f>
        <v>1501</v>
      </c>
      <c r="C36">
        <f>[1]REVIEW!D36</f>
        <v>1384</v>
      </c>
      <c r="D36">
        <f t="shared" si="0"/>
        <v>92.205196535642912</v>
      </c>
    </row>
    <row r="37" spans="1:4" x14ac:dyDescent="0.3">
      <c r="A37">
        <v>2025</v>
      </c>
      <c r="B37">
        <f>[1]REVIEW!C37</f>
        <v>1123</v>
      </c>
      <c r="C37">
        <f>[1]REVIEW!D37</f>
        <v>1037</v>
      </c>
      <c r="D37">
        <f t="shared" si="0"/>
        <v>92.341941228851283</v>
      </c>
    </row>
    <row r="38" spans="1:4" x14ac:dyDescent="0.3">
      <c r="A38" t="s">
        <v>9</v>
      </c>
      <c r="B38">
        <f>[1]REVIEW!C38</f>
        <v>11313</v>
      </c>
      <c r="C38">
        <f>[1]REVIEW!D38</f>
        <v>10367</v>
      </c>
    </row>
    <row r="39" spans="1:4" x14ac:dyDescent="0.3">
      <c r="A39" t="s">
        <v>7</v>
      </c>
      <c r="B39">
        <f>[1]REVIEW!C39</f>
        <v>1817</v>
      </c>
      <c r="C39">
        <f>[1]REVIEW!D39</f>
        <v>1676</v>
      </c>
      <c r="D39" t="e">
        <f>MAX(D2:D37)</f>
        <v>#DIV/0!</v>
      </c>
    </row>
    <row r="40" spans="1:4" x14ac:dyDescent="0.3">
      <c r="A40" t="s">
        <v>8</v>
      </c>
      <c r="B40">
        <f>[1]REVIEW!C40</f>
        <v>0</v>
      </c>
      <c r="C40">
        <f>[1]REVIEW!D40</f>
        <v>0</v>
      </c>
      <c r="D40" t="e">
        <f>MIN(D2:D37)</f>
        <v>#DIV/0!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9A8B-9C37-C34D-B28C-D53C7FBFD304}">
  <dimension ref="A1:D40"/>
  <sheetViews>
    <sheetView workbookViewId="0">
      <selection activeCell="E27" sqref="E27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[1]CCJ!C1</f>
        <v>HasPvalue</v>
      </c>
      <c r="C1" t="str">
        <f>[1]CCJ!D1</f>
        <v>Pvalue0.05</v>
      </c>
      <c r="D1" t="s">
        <v>1</v>
      </c>
    </row>
    <row r="2" spans="1:4" x14ac:dyDescent="0.3">
      <c r="A2">
        <v>1990</v>
      </c>
      <c r="B2">
        <f>[1]CCJ!C2</f>
        <v>1</v>
      </c>
      <c r="C2">
        <f>[1]CCJ!D2</f>
        <v>1</v>
      </c>
      <c r="D2">
        <f>C2/B2*100</f>
        <v>100</v>
      </c>
    </row>
    <row r="3" spans="1:4" x14ac:dyDescent="0.3">
      <c r="A3">
        <v>1991</v>
      </c>
      <c r="B3">
        <f>[1]CCJ!C3</f>
        <v>1</v>
      </c>
      <c r="C3">
        <f>[1]CCJ!D3</f>
        <v>1</v>
      </c>
      <c r="D3">
        <f t="shared" ref="D3:D37" si="0">C3/B3*100</f>
        <v>100</v>
      </c>
    </row>
    <row r="4" spans="1:4" x14ac:dyDescent="0.3">
      <c r="A4">
        <f>A2+2</f>
        <v>1992</v>
      </c>
      <c r="B4">
        <f>[1]CCJ!C4</f>
        <v>0</v>
      </c>
      <c r="C4">
        <f>[1]CCJ!D4</f>
        <v>0</v>
      </c>
      <c r="D4" t="e">
        <f t="shared" si="0"/>
        <v>#DIV/0!</v>
      </c>
    </row>
    <row r="5" spans="1:4" x14ac:dyDescent="0.3">
      <c r="A5">
        <f t="shared" ref="A5:A20" si="1">A3+2</f>
        <v>1993</v>
      </c>
      <c r="B5">
        <f>[1]CCJ!C5</f>
        <v>0</v>
      </c>
      <c r="C5">
        <f>[1]CCJ!D5</f>
        <v>0</v>
      </c>
      <c r="D5" t="e">
        <f t="shared" si="0"/>
        <v>#DIV/0!</v>
      </c>
    </row>
    <row r="6" spans="1:4" x14ac:dyDescent="0.3">
      <c r="A6">
        <f t="shared" si="1"/>
        <v>1994</v>
      </c>
      <c r="B6">
        <f>[1]CCJ!C6</f>
        <v>0</v>
      </c>
      <c r="C6">
        <f>[1]CCJ!D6</f>
        <v>0</v>
      </c>
      <c r="D6" t="e">
        <f t="shared" si="0"/>
        <v>#DIV/0!</v>
      </c>
    </row>
    <row r="7" spans="1:4" x14ac:dyDescent="0.3">
      <c r="A7">
        <f t="shared" si="1"/>
        <v>1995</v>
      </c>
      <c r="B7">
        <f>[1]CCJ!C7</f>
        <v>0</v>
      </c>
      <c r="C7">
        <f>[1]CCJ!D7</f>
        <v>0</v>
      </c>
      <c r="D7" t="e">
        <f t="shared" si="0"/>
        <v>#DIV/0!</v>
      </c>
    </row>
    <row r="8" spans="1:4" x14ac:dyDescent="0.3">
      <c r="A8">
        <f t="shared" si="1"/>
        <v>1996</v>
      </c>
      <c r="B8">
        <f>[1]CCJ!C8</f>
        <v>0</v>
      </c>
      <c r="C8">
        <f>[1]CCJ!D8</f>
        <v>0</v>
      </c>
      <c r="D8" t="e">
        <f t="shared" si="0"/>
        <v>#DIV/0!</v>
      </c>
    </row>
    <row r="9" spans="1:4" x14ac:dyDescent="0.3">
      <c r="A9">
        <f t="shared" si="1"/>
        <v>1997</v>
      </c>
      <c r="B9">
        <f>[1]CCJ!C9</f>
        <v>1</v>
      </c>
      <c r="C9">
        <f>[1]CCJ!D9</f>
        <v>1</v>
      </c>
      <c r="D9">
        <f t="shared" si="0"/>
        <v>100</v>
      </c>
    </row>
    <row r="10" spans="1:4" x14ac:dyDescent="0.3">
      <c r="A10">
        <f t="shared" si="1"/>
        <v>1998</v>
      </c>
      <c r="B10">
        <f>[1]CCJ!C10</f>
        <v>0</v>
      </c>
      <c r="C10">
        <f>[1]CCJ!D10</f>
        <v>0</v>
      </c>
      <c r="D10" t="e">
        <f t="shared" si="0"/>
        <v>#DIV/0!</v>
      </c>
    </row>
    <row r="11" spans="1:4" x14ac:dyDescent="0.3">
      <c r="A11">
        <f t="shared" si="1"/>
        <v>1999</v>
      </c>
      <c r="B11">
        <f>[1]CCJ!C11</f>
        <v>0</v>
      </c>
      <c r="C11">
        <f>[1]CCJ!D11</f>
        <v>0</v>
      </c>
      <c r="D11" t="e">
        <f t="shared" si="0"/>
        <v>#DIV/0!</v>
      </c>
    </row>
    <row r="12" spans="1:4" x14ac:dyDescent="0.3">
      <c r="A12">
        <f t="shared" si="1"/>
        <v>2000</v>
      </c>
      <c r="B12">
        <f>[1]CCJ!C12</f>
        <v>1</v>
      </c>
      <c r="C12">
        <f>[1]CCJ!D12</f>
        <v>1</v>
      </c>
      <c r="D12">
        <f t="shared" si="0"/>
        <v>100</v>
      </c>
    </row>
    <row r="13" spans="1:4" x14ac:dyDescent="0.3">
      <c r="A13">
        <f t="shared" si="1"/>
        <v>2001</v>
      </c>
      <c r="B13">
        <f>[1]CCJ!C13</f>
        <v>0</v>
      </c>
      <c r="C13">
        <f>[1]CCJ!D13</f>
        <v>0</v>
      </c>
      <c r="D13" t="e">
        <f t="shared" si="0"/>
        <v>#DIV/0!</v>
      </c>
    </row>
    <row r="14" spans="1:4" x14ac:dyDescent="0.3">
      <c r="A14">
        <f t="shared" si="1"/>
        <v>2002</v>
      </c>
      <c r="B14">
        <f>[1]CCJ!C14</f>
        <v>1</v>
      </c>
      <c r="C14">
        <f>[1]CCJ!D14</f>
        <v>1</v>
      </c>
      <c r="D14">
        <f t="shared" si="0"/>
        <v>100</v>
      </c>
    </row>
    <row r="15" spans="1:4" x14ac:dyDescent="0.3">
      <c r="A15">
        <f t="shared" si="1"/>
        <v>2003</v>
      </c>
      <c r="B15">
        <f>[1]CCJ!C15</f>
        <v>5</v>
      </c>
      <c r="C15">
        <f>[1]CCJ!D15</f>
        <v>5</v>
      </c>
      <c r="D15">
        <f t="shared" si="0"/>
        <v>100</v>
      </c>
    </row>
    <row r="16" spans="1:4" x14ac:dyDescent="0.3">
      <c r="A16">
        <f t="shared" si="1"/>
        <v>2004</v>
      </c>
      <c r="B16">
        <f>[1]CCJ!C16</f>
        <v>10</v>
      </c>
      <c r="C16">
        <f>[1]CCJ!D16</f>
        <v>10</v>
      </c>
      <c r="D16">
        <f t="shared" si="0"/>
        <v>100</v>
      </c>
    </row>
    <row r="17" spans="1:4" x14ac:dyDescent="0.3">
      <c r="A17">
        <f t="shared" si="1"/>
        <v>2005</v>
      </c>
      <c r="B17">
        <f>[1]CCJ!C17</f>
        <v>9</v>
      </c>
      <c r="C17">
        <f>[1]CCJ!D17</f>
        <v>8</v>
      </c>
      <c r="D17">
        <f t="shared" si="0"/>
        <v>88.888888888888886</v>
      </c>
    </row>
    <row r="18" spans="1:4" x14ac:dyDescent="0.3">
      <c r="A18">
        <f t="shared" si="1"/>
        <v>2006</v>
      </c>
      <c r="B18">
        <f>[1]CCJ!C18</f>
        <v>6</v>
      </c>
      <c r="C18">
        <f>[1]CCJ!D18</f>
        <v>6</v>
      </c>
      <c r="D18">
        <f t="shared" si="0"/>
        <v>100</v>
      </c>
    </row>
    <row r="19" spans="1:4" x14ac:dyDescent="0.3">
      <c r="A19">
        <f t="shared" si="1"/>
        <v>2007</v>
      </c>
      <c r="B19">
        <f>[1]CCJ!C19</f>
        <v>14</v>
      </c>
      <c r="C19">
        <f>[1]CCJ!D19</f>
        <v>14</v>
      </c>
      <c r="D19">
        <f t="shared" si="0"/>
        <v>100</v>
      </c>
    </row>
    <row r="20" spans="1:4" x14ac:dyDescent="0.3">
      <c r="A20">
        <f t="shared" si="1"/>
        <v>2008</v>
      </c>
      <c r="B20">
        <f>[1]CCJ!C20</f>
        <v>125</v>
      </c>
      <c r="C20">
        <f>[1]CCJ!D20</f>
        <v>121</v>
      </c>
      <c r="D20">
        <f t="shared" si="0"/>
        <v>96.8</v>
      </c>
    </row>
    <row r="21" spans="1:4" x14ac:dyDescent="0.3">
      <c r="A21">
        <f t="shared" ref="A21:A36" si="2">A19+2</f>
        <v>2009</v>
      </c>
      <c r="B21">
        <f>[1]CCJ!C21</f>
        <v>228</v>
      </c>
      <c r="C21">
        <f>[1]CCJ!D21</f>
        <v>216</v>
      </c>
      <c r="D21">
        <f t="shared" si="0"/>
        <v>94.73684210526315</v>
      </c>
    </row>
    <row r="22" spans="1:4" x14ac:dyDescent="0.3">
      <c r="A22">
        <f t="shared" si="2"/>
        <v>2010</v>
      </c>
      <c r="B22">
        <f>[1]CCJ!C22</f>
        <v>281</v>
      </c>
      <c r="C22">
        <f>[1]CCJ!D22</f>
        <v>266</v>
      </c>
      <c r="D22">
        <f t="shared" si="0"/>
        <v>94.661921708185048</v>
      </c>
    </row>
    <row r="23" spans="1:4" x14ac:dyDescent="0.3">
      <c r="A23">
        <f t="shared" si="2"/>
        <v>2011</v>
      </c>
      <c r="B23">
        <f>[1]CCJ!C23</f>
        <v>264</v>
      </c>
      <c r="C23">
        <f>[1]CCJ!D23</f>
        <v>251</v>
      </c>
      <c r="D23">
        <f t="shared" si="0"/>
        <v>95.075757575757578</v>
      </c>
    </row>
    <row r="24" spans="1:4" x14ac:dyDescent="0.3">
      <c r="A24">
        <f>A22+2</f>
        <v>2012</v>
      </c>
      <c r="B24">
        <f>[1]CCJ!C24</f>
        <v>218</v>
      </c>
      <c r="C24">
        <f>[1]CCJ!D24</f>
        <v>202</v>
      </c>
      <c r="D24">
        <f t="shared" si="0"/>
        <v>92.660550458715591</v>
      </c>
    </row>
    <row r="25" spans="1:4" x14ac:dyDescent="0.3">
      <c r="A25">
        <f t="shared" si="2"/>
        <v>2013</v>
      </c>
      <c r="B25">
        <f>[1]CCJ!C25</f>
        <v>246</v>
      </c>
      <c r="C25">
        <f>[1]CCJ!D25</f>
        <v>228</v>
      </c>
      <c r="D25">
        <f t="shared" si="0"/>
        <v>92.682926829268297</v>
      </c>
    </row>
    <row r="26" spans="1:4" x14ac:dyDescent="0.3">
      <c r="A26">
        <f t="shared" si="2"/>
        <v>2014</v>
      </c>
      <c r="B26">
        <f>[1]CCJ!C26</f>
        <v>442</v>
      </c>
      <c r="C26">
        <f>[1]CCJ!D26</f>
        <v>411</v>
      </c>
      <c r="D26">
        <f t="shared" si="0"/>
        <v>92.986425339366519</v>
      </c>
    </row>
    <row r="27" spans="1:4" x14ac:dyDescent="0.3">
      <c r="A27">
        <f t="shared" si="2"/>
        <v>2015</v>
      </c>
      <c r="B27">
        <f>[1]CCJ!C27</f>
        <v>1236</v>
      </c>
      <c r="C27">
        <f>[1]CCJ!D27</f>
        <v>1178</v>
      </c>
      <c r="D27">
        <f t="shared" si="0"/>
        <v>95.307443365695789</v>
      </c>
    </row>
    <row r="28" spans="1:4" x14ac:dyDescent="0.3">
      <c r="A28">
        <f t="shared" si="2"/>
        <v>2016</v>
      </c>
      <c r="B28">
        <f>[1]CCJ!C28</f>
        <v>1938</v>
      </c>
      <c r="C28">
        <f>[1]CCJ!D28</f>
        <v>1847</v>
      </c>
      <c r="D28">
        <f t="shared" si="0"/>
        <v>95.304437564499494</v>
      </c>
    </row>
    <row r="29" spans="1:4" x14ac:dyDescent="0.3">
      <c r="A29">
        <f t="shared" si="2"/>
        <v>2017</v>
      </c>
      <c r="B29">
        <f>[1]CCJ!C29</f>
        <v>1789</v>
      </c>
      <c r="C29">
        <f>[1]CCJ!D29</f>
        <v>1705</v>
      </c>
      <c r="D29">
        <f t="shared" si="0"/>
        <v>95.30463946338736</v>
      </c>
    </row>
    <row r="30" spans="1:4" x14ac:dyDescent="0.3">
      <c r="A30">
        <f t="shared" si="2"/>
        <v>2018</v>
      </c>
      <c r="B30">
        <f>[1]CCJ!C30</f>
        <v>1938</v>
      </c>
      <c r="C30">
        <f>[1]CCJ!D30</f>
        <v>1818</v>
      </c>
      <c r="D30">
        <f t="shared" si="0"/>
        <v>93.808049535603715</v>
      </c>
    </row>
    <row r="31" spans="1:4" x14ac:dyDescent="0.3">
      <c r="A31">
        <f t="shared" si="2"/>
        <v>2019</v>
      </c>
      <c r="B31">
        <f>[1]CCJ!C31</f>
        <v>2090</v>
      </c>
      <c r="C31">
        <f>[1]CCJ!D31</f>
        <v>1964</v>
      </c>
      <c r="D31">
        <f t="shared" si="0"/>
        <v>93.971291866028707</v>
      </c>
    </row>
    <row r="32" spans="1:4" x14ac:dyDescent="0.3">
      <c r="A32">
        <f t="shared" si="2"/>
        <v>2020</v>
      </c>
      <c r="B32">
        <f>[1]CCJ!C32</f>
        <v>2422</v>
      </c>
      <c r="C32">
        <f>[1]CCJ!D32</f>
        <v>2290</v>
      </c>
      <c r="D32">
        <f t="shared" si="0"/>
        <v>94.549958711808429</v>
      </c>
    </row>
    <row r="33" spans="1:4" x14ac:dyDescent="0.3">
      <c r="A33">
        <f t="shared" si="2"/>
        <v>2021</v>
      </c>
      <c r="B33">
        <f>[1]CCJ!C33</f>
        <v>2737</v>
      </c>
      <c r="C33">
        <f>[1]CCJ!D33</f>
        <v>2590</v>
      </c>
      <c r="D33">
        <f t="shared" si="0"/>
        <v>94.629156010230176</v>
      </c>
    </row>
    <row r="34" spans="1:4" x14ac:dyDescent="0.3">
      <c r="A34">
        <f t="shared" si="2"/>
        <v>2022</v>
      </c>
      <c r="B34">
        <f>[1]CCJ!C34</f>
        <v>2621</v>
      </c>
      <c r="C34">
        <f>[1]CCJ!D34</f>
        <v>2487</v>
      </c>
      <c r="D34">
        <f t="shared" si="0"/>
        <v>94.8874475391072</v>
      </c>
    </row>
    <row r="35" spans="1:4" x14ac:dyDescent="0.3">
      <c r="A35">
        <f t="shared" si="2"/>
        <v>2023</v>
      </c>
      <c r="B35">
        <f>[1]CCJ!C35</f>
        <v>2423</v>
      </c>
      <c r="C35">
        <f>[1]CCJ!D35</f>
        <v>2281</v>
      </c>
      <c r="D35">
        <f t="shared" si="0"/>
        <v>94.13949649195213</v>
      </c>
    </row>
    <row r="36" spans="1:4" x14ac:dyDescent="0.3">
      <c r="A36">
        <f t="shared" si="2"/>
        <v>2024</v>
      </c>
      <c r="B36">
        <f>[1]CCJ!C36</f>
        <v>2589</v>
      </c>
      <c r="C36">
        <f>[1]CCJ!D36</f>
        <v>2471</v>
      </c>
      <c r="D36">
        <f t="shared" si="0"/>
        <v>95.442255697180371</v>
      </c>
    </row>
    <row r="37" spans="1:4" x14ac:dyDescent="0.3">
      <c r="A37">
        <v>2025</v>
      </c>
      <c r="B37">
        <f>[1]CCJ!C37</f>
        <v>1969</v>
      </c>
      <c r="C37">
        <f>[1]CCJ!D37</f>
        <v>1853</v>
      </c>
      <c r="D37">
        <f t="shared" si="0"/>
        <v>94.108684611477912</v>
      </c>
    </row>
    <row r="38" spans="1:4" x14ac:dyDescent="0.3">
      <c r="A38" t="s">
        <v>9</v>
      </c>
      <c r="B38">
        <f>[1]CCJ!C38</f>
        <v>25605</v>
      </c>
      <c r="C38">
        <f>[1]CCJ!D38</f>
        <v>24227</v>
      </c>
    </row>
    <row r="39" spans="1:4" x14ac:dyDescent="0.3">
      <c r="A39" t="s">
        <v>7</v>
      </c>
      <c r="B39">
        <f>[1]CCJ!C39</f>
        <v>2737</v>
      </c>
      <c r="C39">
        <f>[1]CCJ!D39</f>
        <v>2590</v>
      </c>
      <c r="D39" t="e">
        <f>MAX(D2:D37)</f>
        <v>#DIV/0!</v>
      </c>
    </row>
    <row r="40" spans="1:4" x14ac:dyDescent="0.3">
      <c r="A40" t="s">
        <v>8</v>
      </c>
      <c r="B40">
        <f>[1]CCJ!C40</f>
        <v>0</v>
      </c>
      <c r="C40">
        <f>[1]CCJ!D40</f>
        <v>0</v>
      </c>
      <c r="D40" t="e">
        <f>MIN(D2:D37)</f>
        <v>#DIV/0!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D5F0-A2D0-E14C-AA47-A11E45B6A63C}">
  <dimension ref="A1:D40"/>
  <sheetViews>
    <sheetView workbookViewId="0">
      <selection activeCell="C1" sqref="C1:C40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[1]ALL!C1</f>
        <v>HasPvalue</v>
      </c>
      <c r="C1" t="str">
        <f>[1]ALL!D1</f>
        <v>Pvalue0.05</v>
      </c>
      <c r="D1" t="s">
        <v>1</v>
      </c>
    </row>
    <row r="2" spans="1:4" x14ac:dyDescent="0.3">
      <c r="A2">
        <v>1990</v>
      </c>
      <c r="B2">
        <f>[1]ALL!C2</f>
        <v>94</v>
      </c>
      <c r="C2">
        <f>[1]ALL!D2</f>
        <v>90</v>
      </c>
      <c r="D2">
        <f>C2/B2*100</f>
        <v>95.744680851063833</v>
      </c>
    </row>
    <row r="3" spans="1:4" x14ac:dyDescent="0.3">
      <c r="A3">
        <v>1991</v>
      </c>
      <c r="B3">
        <f>[1]ALL!C3</f>
        <v>142</v>
      </c>
      <c r="C3">
        <f>[1]ALL!D3</f>
        <v>140</v>
      </c>
      <c r="D3">
        <f t="shared" ref="D3:D37" si="0">C3/B3*100</f>
        <v>98.591549295774655</v>
      </c>
    </row>
    <row r="4" spans="1:4" x14ac:dyDescent="0.3">
      <c r="A4">
        <f>A2+2</f>
        <v>1992</v>
      </c>
      <c r="B4">
        <f>[1]ALL!C4</f>
        <v>145</v>
      </c>
      <c r="C4">
        <f>[1]ALL!D4</f>
        <v>141</v>
      </c>
      <c r="D4">
        <f t="shared" si="0"/>
        <v>97.241379310344826</v>
      </c>
    </row>
    <row r="5" spans="1:4" x14ac:dyDescent="0.3">
      <c r="A5">
        <f t="shared" ref="A5:A20" si="1">A3+2</f>
        <v>1993</v>
      </c>
      <c r="B5">
        <f>[1]ALL!C5</f>
        <v>200</v>
      </c>
      <c r="C5">
        <f>[1]ALL!D5</f>
        <v>192</v>
      </c>
      <c r="D5">
        <f t="shared" si="0"/>
        <v>96</v>
      </c>
    </row>
    <row r="6" spans="1:4" x14ac:dyDescent="0.3">
      <c r="A6">
        <f t="shared" si="1"/>
        <v>1994</v>
      </c>
      <c r="B6">
        <f>[1]ALL!C6</f>
        <v>235</v>
      </c>
      <c r="C6">
        <f>[1]ALL!D6</f>
        <v>230</v>
      </c>
      <c r="D6">
        <f t="shared" si="0"/>
        <v>97.872340425531917</v>
      </c>
    </row>
    <row r="7" spans="1:4" x14ac:dyDescent="0.3">
      <c r="A7">
        <f t="shared" si="1"/>
        <v>1995</v>
      </c>
      <c r="B7">
        <f>[1]ALL!C7</f>
        <v>226</v>
      </c>
      <c r="C7">
        <f>[1]ALL!D7</f>
        <v>217</v>
      </c>
      <c r="D7">
        <f t="shared" si="0"/>
        <v>96.017699115044252</v>
      </c>
    </row>
    <row r="8" spans="1:4" x14ac:dyDescent="0.3">
      <c r="A8">
        <f t="shared" si="1"/>
        <v>1996</v>
      </c>
      <c r="B8">
        <f>[1]ALL!C8</f>
        <v>273</v>
      </c>
      <c r="C8">
        <f>[1]ALL!D8</f>
        <v>261</v>
      </c>
      <c r="D8">
        <f t="shared" si="0"/>
        <v>95.604395604395606</v>
      </c>
    </row>
    <row r="9" spans="1:4" x14ac:dyDescent="0.3">
      <c r="A9">
        <f t="shared" si="1"/>
        <v>1997</v>
      </c>
      <c r="B9">
        <f>[1]ALL!C9</f>
        <v>298</v>
      </c>
      <c r="C9">
        <f>[1]ALL!D9</f>
        <v>279</v>
      </c>
      <c r="D9">
        <f t="shared" si="0"/>
        <v>93.624161073825505</v>
      </c>
    </row>
    <row r="10" spans="1:4" x14ac:dyDescent="0.3">
      <c r="A10">
        <f t="shared" si="1"/>
        <v>1998</v>
      </c>
      <c r="B10">
        <f>[1]ALL!C10</f>
        <v>333</v>
      </c>
      <c r="C10">
        <f>[1]ALL!D10</f>
        <v>317</v>
      </c>
      <c r="D10">
        <f t="shared" si="0"/>
        <v>95.195195195195197</v>
      </c>
    </row>
    <row r="11" spans="1:4" x14ac:dyDescent="0.3">
      <c r="A11">
        <f t="shared" si="1"/>
        <v>1999</v>
      </c>
      <c r="B11">
        <f>[1]ALL!C11</f>
        <v>366</v>
      </c>
      <c r="C11">
        <f>[1]ALL!D11</f>
        <v>357</v>
      </c>
      <c r="D11">
        <f t="shared" si="0"/>
        <v>97.540983606557376</v>
      </c>
    </row>
    <row r="12" spans="1:4" x14ac:dyDescent="0.3">
      <c r="A12">
        <f t="shared" si="1"/>
        <v>2000</v>
      </c>
      <c r="B12">
        <f>[1]ALL!C12</f>
        <v>359</v>
      </c>
      <c r="C12">
        <f>[1]ALL!D12</f>
        <v>341</v>
      </c>
      <c r="D12">
        <f t="shared" si="0"/>
        <v>94.986072423398326</v>
      </c>
    </row>
    <row r="13" spans="1:4" x14ac:dyDescent="0.3">
      <c r="A13">
        <f t="shared" si="1"/>
        <v>2001</v>
      </c>
      <c r="B13">
        <f>[1]ALL!C13</f>
        <v>453</v>
      </c>
      <c r="C13">
        <f>[1]ALL!D13</f>
        <v>426</v>
      </c>
      <c r="D13">
        <f t="shared" si="0"/>
        <v>94.039735099337747</v>
      </c>
    </row>
    <row r="14" spans="1:4" x14ac:dyDescent="0.3">
      <c r="A14">
        <f t="shared" si="1"/>
        <v>2002</v>
      </c>
      <c r="B14">
        <f>[1]ALL!C14</f>
        <v>546</v>
      </c>
      <c r="C14">
        <f>[1]ALL!D14</f>
        <v>523</v>
      </c>
      <c r="D14">
        <f t="shared" si="0"/>
        <v>95.787545787545795</v>
      </c>
    </row>
    <row r="15" spans="1:4" x14ac:dyDescent="0.3">
      <c r="A15">
        <f t="shared" si="1"/>
        <v>2003</v>
      </c>
      <c r="B15">
        <f>[1]ALL!C15</f>
        <v>676</v>
      </c>
      <c r="C15">
        <f>[1]ALL!D15</f>
        <v>647</v>
      </c>
      <c r="D15">
        <f t="shared" si="0"/>
        <v>95.710059171597635</v>
      </c>
    </row>
    <row r="16" spans="1:4" x14ac:dyDescent="0.3">
      <c r="A16">
        <f t="shared" si="1"/>
        <v>2004</v>
      </c>
      <c r="B16">
        <f>[1]ALL!C16</f>
        <v>951</v>
      </c>
      <c r="C16">
        <f>[1]ALL!D16</f>
        <v>896</v>
      </c>
      <c r="D16">
        <f t="shared" si="0"/>
        <v>94.216614090431122</v>
      </c>
    </row>
    <row r="17" spans="1:4" x14ac:dyDescent="0.3">
      <c r="A17">
        <f t="shared" si="1"/>
        <v>2005</v>
      </c>
      <c r="B17">
        <f>[1]ALL!C17</f>
        <v>1385</v>
      </c>
      <c r="C17">
        <f>[1]ALL!D17</f>
        <v>1319</v>
      </c>
      <c r="D17">
        <f t="shared" si="0"/>
        <v>95.234657039711195</v>
      </c>
    </row>
    <row r="18" spans="1:4" x14ac:dyDescent="0.3">
      <c r="A18">
        <f t="shared" si="1"/>
        <v>2006</v>
      </c>
      <c r="B18">
        <f>[1]ALL!C18</f>
        <v>2002</v>
      </c>
      <c r="C18">
        <f>[1]ALL!D18</f>
        <v>1895</v>
      </c>
      <c r="D18">
        <f t="shared" si="0"/>
        <v>94.655344655344649</v>
      </c>
    </row>
    <row r="19" spans="1:4" x14ac:dyDescent="0.3">
      <c r="A19">
        <f t="shared" si="1"/>
        <v>2007</v>
      </c>
      <c r="B19">
        <f>[1]ALL!C19</f>
        <v>2740</v>
      </c>
      <c r="C19">
        <f>[1]ALL!D19</f>
        <v>2616</v>
      </c>
      <c r="D19">
        <f t="shared" si="0"/>
        <v>95.474452554744531</v>
      </c>
    </row>
    <row r="20" spans="1:4" x14ac:dyDescent="0.3">
      <c r="A20">
        <f t="shared" si="1"/>
        <v>2008</v>
      </c>
      <c r="B20">
        <f>[1]ALL!C20</f>
        <v>4154</v>
      </c>
      <c r="C20">
        <f>[1]ALL!D20</f>
        <v>3960</v>
      </c>
      <c r="D20">
        <f t="shared" si="0"/>
        <v>95.329802599903715</v>
      </c>
    </row>
    <row r="21" spans="1:4" x14ac:dyDescent="0.3">
      <c r="A21">
        <f t="shared" ref="A21:A36" si="2">A19+2</f>
        <v>2009</v>
      </c>
      <c r="B21">
        <f>[1]ALL!C21</f>
        <v>5762</v>
      </c>
      <c r="C21">
        <f>[1]ALL!D21</f>
        <v>5498</v>
      </c>
      <c r="D21">
        <f t="shared" si="0"/>
        <v>95.418257549461998</v>
      </c>
    </row>
    <row r="22" spans="1:4" x14ac:dyDescent="0.3">
      <c r="A22">
        <f t="shared" si="2"/>
        <v>2010</v>
      </c>
      <c r="B22">
        <f>[1]ALL!C22</f>
        <v>8492</v>
      </c>
      <c r="C22">
        <f>[1]ALL!D22</f>
        <v>8112</v>
      </c>
      <c r="D22">
        <f t="shared" si="0"/>
        <v>95.525200188412626</v>
      </c>
    </row>
    <row r="23" spans="1:4" x14ac:dyDescent="0.3">
      <c r="A23">
        <f t="shared" si="2"/>
        <v>2011</v>
      </c>
      <c r="B23">
        <f>[1]ALL!C23</f>
        <v>12162</v>
      </c>
      <c r="C23">
        <f>[1]ALL!D23</f>
        <v>11593</v>
      </c>
      <c r="D23">
        <f t="shared" si="0"/>
        <v>95.321493175464568</v>
      </c>
    </row>
    <row r="24" spans="1:4" x14ac:dyDescent="0.3">
      <c r="A24">
        <f>A22+2</f>
        <v>2012</v>
      </c>
      <c r="B24">
        <f>[1]ALL!C24</f>
        <v>17894</v>
      </c>
      <c r="C24">
        <f>[1]ALL!D24</f>
        <v>17171</v>
      </c>
      <c r="D24">
        <f t="shared" si="0"/>
        <v>95.959539510450426</v>
      </c>
    </row>
    <row r="25" spans="1:4" x14ac:dyDescent="0.3">
      <c r="A25">
        <f t="shared" si="2"/>
        <v>2013</v>
      </c>
      <c r="B25">
        <f>[1]ALL!C25</f>
        <v>24144</v>
      </c>
      <c r="C25">
        <f>[1]ALL!D25</f>
        <v>23082</v>
      </c>
      <c r="D25">
        <f t="shared" si="0"/>
        <v>95.601391650099401</v>
      </c>
    </row>
    <row r="26" spans="1:4" x14ac:dyDescent="0.3">
      <c r="A26">
        <f t="shared" si="2"/>
        <v>2014</v>
      </c>
      <c r="B26">
        <f>[1]ALL!C26</f>
        <v>30157</v>
      </c>
      <c r="C26">
        <f>[1]ALL!D26</f>
        <v>28873</v>
      </c>
      <c r="D26">
        <f t="shared" si="0"/>
        <v>95.742282057233808</v>
      </c>
    </row>
    <row r="27" spans="1:4" x14ac:dyDescent="0.3">
      <c r="A27">
        <f t="shared" si="2"/>
        <v>2015</v>
      </c>
      <c r="B27">
        <f>[1]ALL!C27</f>
        <v>35020</v>
      </c>
      <c r="C27">
        <f>[1]ALL!D27</f>
        <v>33484</v>
      </c>
      <c r="D27">
        <f t="shared" si="0"/>
        <v>95.613934894346087</v>
      </c>
    </row>
    <row r="28" spans="1:4" x14ac:dyDescent="0.3">
      <c r="A28">
        <f t="shared" si="2"/>
        <v>2016</v>
      </c>
      <c r="B28">
        <f>[1]ALL!C28</f>
        <v>40580</v>
      </c>
      <c r="C28">
        <f>[1]ALL!D28</f>
        <v>38821</v>
      </c>
      <c r="D28">
        <f t="shared" si="0"/>
        <v>95.665352390340061</v>
      </c>
    </row>
    <row r="29" spans="1:4" x14ac:dyDescent="0.3">
      <c r="A29">
        <f t="shared" si="2"/>
        <v>2017</v>
      </c>
      <c r="B29">
        <f>[1]ALL!C29</f>
        <v>46273</v>
      </c>
      <c r="C29">
        <f>[1]ALL!D29</f>
        <v>44150</v>
      </c>
      <c r="D29">
        <f t="shared" si="0"/>
        <v>95.412011324098287</v>
      </c>
    </row>
    <row r="30" spans="1:4" x14ac:dyDescent="0.3">
      <c r="A30">
        <f t="shared" si="2"/>
        <v>2018</v>
      </c>
      <c r="B30">
        <f>[1]ALL!C30</f>
        <v>51838</v>
      </c>
      <c r="C30">
        <f>[1]ALL!D30</f>
        <v>49427</v>
      </c>
      <c r="D30">
        <f t="shared" si="0"/>
        <v>95.348971796751414</v>
      </c>
    </row>
    <row r="31" spans="1:4" x14ac:dyDescent="0.3">
      <c r="A31">
        <f t="shared" si="2"/>
        <v>2019</v>
      </c>
      <c r="B31">
        <f>[1]ALL!C31</f>
        <v>61540</v>
      </c>
      <c r="C31">
        <f>[1]ALL!D31</f>
        <v>58707</v>
      </c>
      <c r="D31">
        <f t="shared" si="0"/>
        <v>95.396490087747807</v>
      </c>
    </row>
    <row r="32" spans="1:4" x14ac:dyDescent="0.3">
      <c r="A32">
        <f t="shared" si="2"/>
        <v>2020</v>
      </c>
      <c r="B32">
        <f>[1]ALL!C32</f>
        <v>81222</v>
      </c>
      <c r="C32">
        <f>[1]ALL!D32</f>
        <v>77641</v>
      </c>
      <c r="D32">
        <f t="shared" si="0"/>
        <v>95.591096008470615</v>
      </c>
    </row>
    <row r="33" spans="1:4" x14ac:dyDescent="0.3">
      <c r="A33">
        <f t="shared" si="2"/>
        <v>2021</v>
      </c>
      <c r="B33">
        <f>[1]ALL!C33</f>
        <v>107409</v>
      </c>
      <c r="C33">
        <f>[1]ALL!D33</f>
        <v>102732</v>
      </c>
      <c r="D33">
        <f t="shared" si="0"/>
        <v>95.645616289137777</v>
      </c>
    </row>
    <row r="34" spans="1:4" x14ac:dyDescent="0.3">
      <c r="A34">
        <f t="shared" si="2"/>
        <v>2022</v>
      </c>
      <c r="B34">
        <f>[1]ALL!C34</f>
        <v>125036</v>
      </c>
      <c r="C34">
        <f>[1]ALL!D34</f>
        <v>119698</v>
      </c>
      <c r="D34">
        <f t="shared" si="0"/>
        <v>95.730829521097931</v>
      </c>
    </row>
    <row r="35" spans="1:4" x14ac:dyDescent="0.3">
      <c r="A35">
        <f t="shared" si="2"/>
        <v>2023</v>
      </c>
      <c r="B35">
        <f>[1]ALL!C35</f>
        <v>111630</v>
      </c>
      <c r="C35">
        <f>[1]ALL!D35</f>
        <v>106758</v>
      </c>
      <c r="D35">
        <f t="shared" si="0"/>
        <v>95.635581832840629</v>
      </c>
    </row>
    <row r="36" spans="1:4" x14ac:dyDescent="0.3">
      <c r="A36">
        <f t="shared" si="2"/>
        <v>2024</v>
      </c>
      <c r="B36">
        <f>[1]ALL!C36</f>
        <v>117118</v>
      </c>
      <c r="C36">
        <f>[1]ALL!D36</f>
        <v>112102</v>
      </c>
      <c r="D36">
        <f t="shared" si="0"/>
        <v>95.717139978483232</v>
      </c>
    </row>
    <row r="37" spans="1:4" x14ac:dyDescent="0.3">
      <c r="A37">
        <v>2025</v>
      </c>
      <c r="B37">
        <f>[1]ALL!C37</f>
        <v>101364</v>
      </c>
      <c r="C37">
        <f>[1]ALL!D37</f>
        <v>97286</v>
      </c>
      <c r="D37">
        <f t="shared" si="0"/>
        <v>95.976875419281001</v>
      </c>
    </row>
    <row r="38" spans="1:4" x14ac:dyDescent="0.3">
      <c r="A38" t="s">
        <v>9</v>
      </c>
      <c r="B38">
        <f>[1]ALL!C38</f>
        <v>993219</v>
      </c>
      <c r="C38">
        <f>[1]ALL!D38</f>
        <v>949982</v>
      </c>
    </row>
    <row r="39" spans="1:4" x14ac:dyDescent="0.3">
      <c r="A39" t="s">
        <v>7</v>
      </c>
      <c r="B39">
        <f>[1]ALL!C39</f>
        <v>125036</v>
      </c>
      <c r="C39">
        <f>[1]ALL!D39</f>
        <v>119698</v>
      </c>
      <c r="D39">
        <f>MAX(D2:D37)</f>
        <v>98.591549295774655</v>
      </c>
    </row>
    <row r="40" spans="1:4" x14ac:dyDescent="0.3">
      <c r="A40" t="s">
        <v>8</v>
      </c>
      <c r="B40">
        <f>[1]ALL!C40</f>
        <v>94</v>
      </c>
      <c r="C40">
        <f>[1]ALL!D40</f>
        <v>90</v>
      </c>
      <c r="D40">
        <f>MIN(D2:D37)</f>
        <v>93.624161073825505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FBD1B-ACB1-4044-B4CE-82E1D526CE3A}">
  <dimension ref="A1:D40"/>
  <sheetViews>
    <sheetView workbookViewId="0">
      <selection activeCell="B22" sqref="B22"/>
    </sheetView>
  </sheetViews>
  <sheetFormatPr defaultRowHeight="17.25" x14ac:dyDescent="0.3"/>
  <sheetData>
    <row r="1" spans="1:4" x14ac:dyDescent="0.3">
      <c r="A1" t="s">
        <v>0</v>
      </c>
      <c r="B1" t="str">
        <f>[1]OBS!C1</f>
        <v>HasPvalue</v>
      </c>
      <c r="C1" t="str">
        <f>[1]OBS!D1</f>
        <v>Pvalue0.05</v>
      </c>
      <c r="D1" t="s">
        <v>1</v>
      </c>
    </row>
    <row r="2" spans="1:4" x14ac:dyDescent="0.3">
      <c r="A2">
        <v>1990</v>
      </c>
      <c r="B2">
        <f>[1]OBS!C2</f>
        <v>0</v>
      </c>
      <c r="C2">
        <f>[1]OBS!D2</f>
        <v>0</v>
      </c>
      <c r="D2" t="e">
        <f>C2/B2*100</f>
        <v>#DIV/0!</v>
      </c>
    </row>
    <row r="3" spans="1:4" x14ac:dyDescent="0.3">
      <c r="A3">
        <f>A2+1</f>
        <v>1991</v>
      </c>
      <c r="B3">
        <f>[1]OBS!C3</f>
        <v>0</v>
      </c>
      <c r="C3">
        <f>[1]OBS!D3</f>
        <v>0</v>
      </c>
      <c r="D3" t="e">
        <f t="shared" ref="D3:D40" si="0">C3/B3*100</f>
        <v>#DIV/0!</v>
      </c>
    </row>
    <row r="4" spans="1:4" x14ac:dyDescent="0.3">
      <c r="A4">
        <f t="shared" ref="A4:A37" si="1">A3+1</f>
        <v>1992</v>
      </c>
      <c r="B4">
        <f>[1]OBS!C4</f>
        <v>0</v>
      </c>
      <c r="C4">
        <f>[1]OBS!D4</f>
        <v>0</v>
      </c>
      <c r="D4" t="e">
        <f t="shared" si="0"/>
        <v>#DIV/0!</v>
      </c>
    </row>
    <row r="5" spans="1:4" x14ac:dyDescent="0.3">
      <c r="A5">
        <f t="shared" si="1"/>
        <v>1993</v>
      </c>
      <c r="B5">
        <f>[1]OBS!C5</f>
        <v>0</v>
      </c>
      <c r="C5">
        <f>[1]OBS!D5</f>
        <v>0</v>
      </c>
      <c r="D5" t="e">
        <f t="shared" si="0"/>
        <v>#DIV/0!</v>
      </c>
    </row>
    <row r="6" spans="1:4" x14ac:dyDescent="0.3">
      <c r="A6">
        <f t="shared" si="1"/>
        <v>1994</v>
      </c>
      <c r="B6">
        <f>[1]OBS!C6</f>
        <v>0</v>
      </c>
      <c r="C6">
        <f>[1]OBS!D6</f>
        <v>0</v>
      </c>
      <c r="D6" t="e">
        <f t="shared" si="0"/>
        <v>#DIV/0!</v>
      </c>
    </row>
    <row r="7" spans="1:4" x14ac:dyDescent="0.3">
      <c r="A7">
        <f t="shared" si="1"/>
        <v>1995</v>
      </c>
      <c r="B7">
        <f>[1]OBS!C7</f>
        <v>0</v>
      </c>
      <c r="C7">
        <f>[1]OBS!D7</f>
        <v>0</v>
      </c>
      <c r="D7" t="e">
        <f t="shared" si="0"/>
        <v>#DIV/0!</v>
      </c>
    </row>
    <row r="8" spans="1:4" x14ac:dyDescent="0.3">
      <c r="A8">
        <f t="shared" si="1"/>
        <v>1996</v>
      </c>
      <c r="B8">
        <f>[1]OBS!C8</f>
        <v>0</v>
      </c>
      <c r="C8">
        <f>[1]OBS!D8</f>
        <v>0</v>
      </c>
      <c r="D8" t="e">
        <f t="shared" si="0"/>
        <v>#DIV/0!</v>
      </c>
    </row>
    <row r="9" spans="1:4" x14ac:dyDescent="0.3">
      <c r="A9">
        <f t="shared" si="1"/>
        <v>1997</v>
      </c>
      <c r="B9">
        <f>[1]OBS!C9</f>
        <v>0</v>
      </c>
      <c r="C9">
        <f>[1]OBS!D9</f>
        <v>0</v>
      </c>
      <c r="D9" t="e">
        <f t="shared" si="0"/>
        <v>#DIV/0!</v>
      </c>
    </row>
    <row r="10" spans="1:4" x14ac:dyDescent="0.3">
      <c r="A10">
        <f t="shared" si="1"/>
        <v>1998</v>
      </c>
      <c r="B10">
        <f>[1]OBS!C10</f>
        <v>0</v>
      </c>
      <c r="C10">
        <f>[1]OBS!D10</f>
        <v>0</v>
      </c>
      <c r="D10" t="e">
        <f t="shared" si="0"/>
        <v>#DIV/0!</v>
      </c>
    </row>
    <row r="11" spans="1:4" x14ac:dyDescent="0.3">
      <c r="A11">
        <f t="shared" si="1"/>
        <v>1999</v>
      </c>
      <c r="B11">
        <f>[1]OBS!C11</f>
        <v>0</v>
      </c>
      <c r="C11">
        <f>[1]OBS!D11</f>
        <v>0</v>
      </c>
      <c r="D11" t="e">
        <f t="shared" si="0"/>
        <v>#DIV/0!</v>
      </c>
    </row>
    <row r="12" spans="1:4" x14ac:dyDescent="0.3">
      <c r="A12">
        <f t="shared" si="1"/>
        <v>2000</v>
      </c>
      <c r="B12">
        <f>[1]OBS!C12</f>
        <v>0</v>
      </c>
      <c r="C12">
        <f>[1]OBS!D12</f>
        <v>0</v>
      </c>
      <c r="D12" t="e">
        <f t="shared" si="0"/>
        <v>#DIV/0!</v>
      </c>
    </row>
    <row r="13" spans="1:4" x14ac:dyDescent="0.3">
      <c r="A13">
        <f t="shared" si="1"/>
        <v>2001</v>
      </c>
      <c r="B13">
        <f>[1]OBS!C13</f>
        <v>0</v>
      </c>
      <c r="C13">
        <f>[1]OBS!D13</f>
        <v>0</v>
      </c>
      <c r="D13" t="e">
        <f t="shared" si="0"/>
        <v>#DIV/0!</v>
      </c>
    </row>
    <row r="14" spans="1:4" x14ac:dyDescent="0.3">
      <c r="A14">
        <f t="shared" si="1"/>
        <v>2002</v>
      </c>
      <c r="B14">
        <f>[1]OBS!C14</f>
        <v>0</v>
      </c>
      <c r="C14">
        <f>[1]OBS!D14</f>
        <v>0</v>
      </c>
      <c r="D14" t="e">
        <f t="shared" si="0"/>
        <v>#DIV/0!</v>
      </c>
    </row>
    <row r="15" spans="1:4" x14ac:dyDescent="0.3">
      <c r="A15">
        <f t="shared" si="1"/>
        <v>2003</v>
      </c>
      <c r="B15">
        <f>[1]OBS!C15</f>
        <v>0</v>
      </c>
      <c r="C15">
        <f>[1]OBS!D15</f>
        <v>0</v>
      </c>
      <c r="D15" t="e">
        <f t="shared" si="0"/>
        <v>#DIV/0!</v>
      </c>
    </row>
    <row r="16" spans="1:4" x14ac:dyDescent="0.3">
      <c r="A16">
        <f t="shared" si="1"/>
        <v>2004</v>
      </c>
      <c r="B16">
        <f>[1]OBS!C16</f>
        <v>0</v>
      </c>
      <c r="C16">
        <f>[1]OBS!D16</f>
        <v>0</v>
      </c>
      <c r="D16" t="e">
        <f t="shared" si="0"/>
        <v>#DIV/0!</v>
      </c>
    </row>
    <row r="17" spans="1:4" x14ac:dyDescent="0.3">
      <c r="A17">
        <f t="shared" si="1"/>
        <v>2005</v>
      </c>
      <c r="B17">
        <f>[1]OBS!C17</f>
        <v>0</v>
      </c>
      <c r="C17">
        <f>[1]OBS!D17</f>
        <v>0</v>
      </c>
      <c r="D17" t="e">
        <f t="shared" si="0"/>
        <v>#DIV/0!</v>
      </c>
    </row>
    <row r="18" spans="1:4" x14ac:dyDescent="0.3">
      <c r="A18">
        <f t="shared" si="1"/>
        <v>2006</v>
      </c>
      <c r="B18">
        <f>[1]OBS!C18</f>
        <v>0</v>
      </c>
      <c r="C18">
        <f>[1]OBS!D18</f>
        <v>0</v>
      </c>
      <c r="D18" t="e">
        <f t="shared" si="0"/>
        <v>#DIV/0!</v>
      </c>
    </row>
    <row r="19" spans="1:4" x14ac:dyDescent="0.3">
      <c r="A19">
        <f t="shared" si="1"/>
        <v>2007</v>
      </c>
      <c r="B19">
        <f>[1]OBS!C19</f>
        <v>0</v>
      </c>
      <c r="C19">
        <f>[1]OBS!D19</f>
        <v>0</v>
      </c>
      <c r="D19" t="e">
        <f t="shared" si="0"/>
        <v>#DIV/0!</v>
      </c>
    </row>
    <row r="20" spans="1:4" x14ac:dyDescent="0.3">
      <c r="A20">
        <f t="shared" si="1"/>
        <v>2008</v>
      </c>
      <c r="B20">
        <f>[1]OBS!C20</f>
        <v>0</v>
      </c>
      <c r="C20">
        <f>[1]OBS!D20</f>
        <v>0</v>
      </c>
      <c r="D20" t="e">
        <f t="shared" si="0"/>
        <v>#DIV/0!</v>
      </c>
    </row>
    <row r="21" spans="1:4" x14ac:dyDescent="0.3">
      <c r="A21">
        <f t="shared" si="1"/>
        <v>2009</v>
      </c>
      <c r="B21">
        <f>[1]OBS!C21</f>
        <v>0</v>
      </c>
      <c r="C21">
        <f>[1]OBS!D21</f>
        <v>0</v>
      </c>
      <c r="D21" t="e">
        <f t="shared" si="0"/>
        <v>#DIV/0!</v>
      </c>
    </row>
    <row r="22" spans="1:4" x14ac:dyDescent="0.3">
      <c r="A22">
        <f t="shared" si="1"/>
        <v>2010</v>
      </c>
      <c r="B22">
        <f>[1]OBS!C22</f>
        <v>0</v>
      </c>
      <c r="C22">
        <f>[1]OBS!D22</f>
        <v>0</v>
      </c>
      <c r="D22" t="e">
        <f t="shared" si="0"/>
        <v>#DIV/0!</v>
      </c>
    </row>
    <row r="23" spans="1:4" x14ac:dyDescent="0.3">
      <c r="A23">
        <f t="shared" si="1"/>
        <v>2011</v>
      </c>
      <c r="B23">
        <f>[1]OBS!C23</f>
        <v>0</v>
      </c>
      <c r="C23">
        <f>[1]OBS!D23</f>
        <v>0</v>
      </c>
      <c r="D23" t="e">
        <f t="shared" si="0"/>
        <v>#DIV/0!</v>
      </c>
    </row>
    <row r="24" spans="1:4" x14ac:dyDescent="0.3">
      <c r="A24">
        <f t="shared" si="1"/>
        <v>2012</v>
      </c>
      <c r="B24">
        <f>[1]OBS!C24</f>
        <v>29</v>
      </c>
      <c r="C24">
        <f>[1]OBS!D24</f>
        <v>27</v>
      </c>
      <c r="D24">
        <f t="shared" si="0"/>
        <v>93.103448275862064</v>
      </c>
    </row>
    <row r="25" spans="1:4" x14ac:dyDescent="0.3">
      <c r="A25">
        <f t="shared" si="1"/>
        <v>2013</v>
      </c>
      <c r="B25">
        <f>[1]OBS!C25</f>
        <v>294</v>
      </c>
      <c r="C25">
        <f>[1]OBS!D25</f>
        <v>288</v>
      </c>
      <c r="D25">
        <f t="shared" si="0"/>
        <v>97.959183673469383</v>
      </c>
    </row>
    <row r="26" spans="1:4" x14ac:dyDescent="0.3">
      <c r="A26">
        <f t="shared" si="1"/>
        <v>2014</v>
      </c>
      <c r="B26">
        <f>[1]OBS!C26</f>
        <v>674</v>
      </c>
      <c r="C26">
        <f>[1]OBS!D26</f>
        <v>652</v>
      </c>
      <c r="D26">
        <f t="shared" si="0"/>
        <v>96.735905044510389</v>
      </c>
    </row>
    <row r="27" spans="1:4" x14ac:dyDescent="0.3">
      <c r="A27">
        <f t="shared" si="1"/>
        <v>2015</v>
      </c>
      <c r="B27">
        <f>[1]OBS!C27</f>
        <v>1199</v>
      </c>
      <c r="C27">
        <f>[1]OBS!D27</f>
        <v>1148</v>
      </c>
      <c r="D27">
        <f t="shared" si="0"/>
        <v>95.746455379482896</v>
      </c>
    </row>
    <row r="28" spans="1:4" x14ac:dyDescent="0.3">
      <c r="A28">
        <f t="shared" si="1"/>
        <v>2016</v>
      </c>
      <c r="B28">
        <f>[1]OBS!C28</f>
        <v>1566</v>
      </c>
      <c r="C28">
        <f>[1]OBS!D28</f>
        <v>1503</v>
      </c>
      <c r="D28">
        <f t="shared" si="0"/>
        <v>95.977011494252878</v>
      </c>
    </row>
    <row r="29" spans="1:4" x14ac:dyDescent="0.3">
      <c r="A29">
        <f t="shared" si="1"/>
        <v>2017</v>
      </c>
      <c r="B29">
        <f>[1]OBS!C29</f>
        <v>1743</v>
      </c>
      <c r="C29">
        <f>[1]OBS!D29</f>
        <v>1681</v>
      </c>
      <c r="D29">
        <f t="shared" si="0"/>
        <v>96.442914515203668</v>
      </c>
    </row>
    <row r="30" spans="1:4" x14ac:dyDescent="0.3">
      <c r="A30">
        <f t="shared" si="1"/>
        <v>2018</v>
      </c>
      <c r="B30">
        <f>[1]OBS!C30</f>
        <v>1939</v>
      </c>
      <c r="C30">
        <f>[1]OBS!D30</f>
        <v>1850</v>
      </c>
      <c r="D30">
        <f t="shared" si="0"/>
        <v>95.410005157297576</v>
      </c>
    </row>
    <row r="31" spans="1:4" x14ac:dyDescent="0.3">
      <c r="A31">
        <f t="shared" si="1"/>
        <v>2019</v>
      </c>
      <c r="B31">
        <f>[1]OBS!C31</f>
        <v>2380</v>
      </c>
      <c r="C31">
        <f>[1]OBS!D31</f>
        <v>2281</v>
      </c>
      <c r="D31">
        <f t="shared" si="0"/>
        <v>95.840336134453779</v>
      </c>
    </row>
    <row r="32" spans="1:4" x14ac:dyDescent="0.3">
      <c r="A32">
        <f t="shared" si="1"/>
        <v>2020</v>
      </c>
      <c r="B32">
        <f>[1]OBS!C32</f>
        <v>3033</v>
      </c>
      <c r="C32">
        <f>[1]OBS!D32</f>
        <v>2908</v>
      </c>
      <c r="D32">
        <f t="shared" si="0"/>
        <v>95.87866798549291</v>
      </c>
    </row>
    <row r="33" spans="1:4" x14ac:dyDescent="0.3">
      <c r="A33">
        <f t="shared" si="1"/>
        <v>2021</v>
      </c>
      <c r="B33">
        <f>[1]OBS!C33</f>
        <v>3682</v>
      </c>
      <c r="C33">
        <f>[1]OBS!D33</f>
        <v>3529</v>
      </c>
      <c r="D33">
        <f t="shared" si="0"/>
        <v>95.844649646931018</v>
      </c>
    </row>
    <row r="34" spans="1:4" x14ac:dyDescent="0.3">
      <c r="A34">
        <f t="shared" si="1"/>
        <v>2022</v>
      </c>
      <c r="B34">
        <f>[1]OBS!C34</f>
        <v>3109</v>
      </c>
      <c r="C34">
        <f>[1]OBS!D34</f>
        <v>2975</v>
      </c>
      <c r="D34">
        <f t="shared" si="0"/>
        <v>95.68993245416533</v>
      </c>
    </row>
    <row r="35" spans="1:4" x14ac:dyDescent="0.3">
      <c r="A35">
        <f t="shared" si="1"/>
        <v>2023</v>
      </c>
      <c r="B35">
        <f>[1]OBS!C35</f>
        <v>2668</v>
      </c>
      <c r="C35">
        <f>[1]OBS!D35</f>
        <v>2559</v>
      </c>
      <c r="D35">
        <f t="shared" si="0"/>
        <v>95.914542728635681</v>
      </c>
    </row>
    <row r="36" spans="1:4" x14ac:dyDescent="0.3">
      <c r="A36">
        <f t="shared" si="1"/>
        <v>2024</v>
      </c>
      <c r="B36">
        <f>[1]OBS!C36</f>
        <v>3357</v>
      </c>
      <c r="C36">
        <f>[1]OBS!D36</f>
        <v>3202</v>
      </c>
      <c r="D36">
        <f t="shared" si="0"/>
        <v>95.382782246053026</v>
      </c>
    </row>
    <row r="37" spans="1:4" x14ac:dyDescent="0.3">
      <c r="A37">
        <f t="shared" si="1"/>
        <v>2025</v>
      </c>
      <c r="B37">
        <f>[1]OBS!C37</f>
        <v>2950</v>
      </c>
      <c r="C37">
        <f>[1]OBS!D37</f>
        <v>2809</v>
      </c>
      <c r="D37">
        <f t="shared" si="0"/>
        <v>95.220338983050851</v>
      </c>
    </row>
    <row r="38" spans="1:4" x14ac:dyDescent="0.3">
      <c r="A38" t="s">
        <v>9</v>
      </c>
      <c r="B38">
        <f>[1]OBS!C38</f>
        <v>28623</v>
      </c>
      <c r="C38">
        <f>[1]OBS!D38</f>
        <v>27412</v>
      </c>
      <c r="D38">
        <f t="shared" si="0"/>
        <v>95.769136708241618</v>
      </c>
    </row>
    <row r="39" spans="1:4" x14ac:dyDescent="0.3">
      <c r="A39" t="s">
        <v>7</v>
      </c>
      <c r="B39">
        <f>[1]OBS!C39</f>
        <v>3682</v>
      </c>
      <c r="C39">
        <f>[1]OBS!D39</f>
        <v>3529</v>
      </c>
      <c r="D39">
        <f t="shared" si="0"/>
        <v>95.844649646931018</v>
      </c>
    </row>
    <row r="40" spans="1:4" x14ac:dyDescent="0.3">
      <c r="A40" t="s">
        <v>8</v>
      </c>
      <c r="B40">
        <f>[1]OBS!C40</f>
        <v>0</v>
      </c>
      <c r="C40">
        <f>[1]OBS!D40</f>
        <v>0</v>
      </c>
      <c r="D40" t="e">
        <f t="shared" si="0"/>
        <v>#DIV/0!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CD83-FDC0-4D92-8A3D-CD1D1F74C4D6}">
  <dimension ref="A1:D40"/>
  <sheetViews>
    <sheetView workbookViewId="0">
      <selection activeCell="B18" sqref="B18"/>
    </sheetView>
  </sheetViews>
  <sheetFormatPr defaultRowHeight="17.25" x14ac:dyDescent="0.3"/>
  <sheetData>
    <row r="1" spans="1:4" x14ac:dyDescent="0.3">
      <c r="A1" t="s">
        <v>0</v>
      </c>
      <c r="B1" t="str">
        <f>[1]SYSREV!C1</f>
        <v>HasPvalue</v>
      </c>
      <c r="C1" t="str">
        <f>[1]SYSREV!D1</f>
        <v>Pvalue0.05</v>
      </c>
      <c r="D1" t="s">
        <v>1</v>
      </c>
    </row>
    <row r="2" spans="1:4" x14ac:dyDescent="0.3">
      <c r="A2">
        <v>1990</v>
      </c>
      <c r="B2">
        <f>[1]SYSREV!C2</f>
        <v>0</v>
      </c>
      <c r="C2">
        <f>[1]SYSREV!D2</f>
        <v>0</v>
      </c>
      <c r="D2" t="e">
        <f>C2/B2*100</f>
        <v>#DIV/0!</v>
      </c>
    </row>
    <row r="3" spans="1:4" x14ac:dyDescent="0.3">
      <c r="A3">
        <f>A2+1</f>
        <v>1991</v>
      </c>
      <c r="B3">
        <f>[1]SYSREV!C3</f>
        <v>0</v>
      </c>
      <c r="C3">
        <f>[1]SYSREV!D3</f>
        <v>0</v>
      </c>
      <c r="D3" t="e">
        <f t="shared" ref="D3:D40" si="0">C3/B3*100</f>
        <v>#DIV/0!</v>
      </c>
    </row>
    <row r="4" spans="1:4" x14ac:dyDescent="0.3">
      <c r="A4">
        <f t="shared" ref="A4:A37" si="1">A3+1</f>
        <v>1992</v>
      </c>
      <c r="B4">
        <f>[1]SYSREV!C4</f>
        <v>0</v>
      </c>
      <c r="C4">
        <f>[1]SYSREV!D4</f>
        <v>0</v>
      </c>
      <c r="D4" t="e">
        <f t="shared" si="0"/>
        <v>#DIV/0!</v>
      </c>
    </row>
    <row r="5" spans="1:4" x14ac:dyDescent="0.3">
      <c r="A5">
        <f t="shared" si="1"/>
        <v>1993</v>
      </c>
      <c r="B5">
        <f>[1]SYSREV!C5</f>
        <v>0</v>
      </c>
      <c r="C5">
        <f>[1]SYSREV!D5</f>
        <v>0</v>
      </c>
      <c r="D5" t="e">
        <f t="shared" si="0"/>
        <v>#DIV/0!</v>
      </c>
    </row>
    <row r="6" spans="1:4" x14ac:dyDescent="0.3">
      <c r="A6">
        <f t="shared" si="1"/>
        <v>1994</v>
      </c>
      <c r="B6">
        <f>[1]SYSREV!C6</f>
        <v>0</v>
      </c>
      <c r="C6">
        <f>[1]SYSREV!D6</f>
        <v>0</v>
      </c>
      <c r="D6" t="e">
        <f t="shared" si="0"/>
        <v>#DIV/0!</v>
      </c>
    </row>
    <row r="7" spans="1:4" x14ac:dyDescent="0.3">
      <c r="A7">
        <f t="shared" si="1"/>
        <v>1995</v>
      </c>
      <c r="B7">
        <f>[1]SYSREV!C7</f>
        <v>0</v>
      </c>
      <c r="C7">
        <f>[1]SYSREV!D7</f>
        <v>0</v>
      </c>
      <c r="D7" t="e">
        <f t="shared" si="0"/>
        <v>#DIV/0!</v>
      </c>
    </row>
    <row r="8" spans="1:4" x14ac:dyDescent="0.3">
      <c r="A8">
        <f t="shared" si="1"/>
        <v>1996</v>
      </c>
      <c r="B8">
        <f>[1]SYSREV!C8</f>
        <v>0</v>
      </c>
      <c r="C8">
        <f>[1]SYSREV!D8</f>
        <v>0</v>
      </c>
      <c r="D8" t="e">
        <f t="shared" si="0"/>
        <v>#DIV/0!</v>
      </c>
    </row>
    <row r="9" spans="1:4" x14ac:dyDescent="0.3">
      <c r="A9">
        <f t="shared" si="1"/>
        <v>1997</v>
      </c>
      <c r="B9">
        <f>[1]SYSREV!C9</f>
        <v>0</v>
      </c>
      <c r="C9">
        <f>[1]SYSREV!D9</f>
        <v>0</v>
      </c>
      <c r="D9" t="e">
        <f t="shared" si="0"/>
        <v>#DIV/0!</v>
      </c>
    </row>
    <row r="10" spans="1:4" x14ac:dyDescent="0.3">
      <c r="A10">
        <f t="shared" si="1"/>
        <v>1998</v>
      </c>
      <c r="B10">
        <f>[1]SYSREV!C10</f>
        <v>0</v>
      </c>
      <c r="C10">
        <f>[1]SYSREV!D10</f>
        <v>0</v>
      </c>
      <c r="D10" t="e">
        <f t="shared" si="0"/>
        <v>#DIV/0!</v>
      </c>
    </row>
    <row r="11" spans="1:4" x14ac:dyDescent="0.3">
      <c r="A11">
        <f t="shared" si="1"/>
        <v>1999</v>
      </c>
      <c r="B11">
        <f>[1]SYSREV!C11</f>
        <v>0</v>
      </c>
      <c r="C11">
        <f>[1]SYSREV!D11</f>
        <v>0</v>
      </c>
      <c r="D11" t="e">
        <f t="shared" si="0"/>
        <v>#DIV/0!</v>
      </c>
    </row>
    <row r="12" spans="1:4" x14ac:dyDescent="0.3">
      <c r="A12">
        <f t="shared" si="1"/>
        <v>2000</v>
      </c>
      <c r="B12">
        <f>[1]SYSREV!C12</f>
        <v>0</v>
      </c>
      <c r="C12">
        <f>[1]SYSREV!D12</f>
        <v>0</v>
      </c>
      <c r="D12" t="e">
        <f t="shared" si="0"/>
        <v>#DIV/0!</v>
      </c>
    </row>
    <row r="13" spans="1:4" x14ac:dyDescent="0.3">
      <c r="A13">
        <f t="shared" si="1"/>
        <v>2001</v>
      </c>
      <c r="B13">
        <f>[1]SYSREV!C13</f>
        <v>2</v>
      </c>
      <c r="C13">
        <f>[1]SYSREV!D13</f>
        <v>2</v>
      </c>
      <c r="D13">
        <f t="shared" si="0"/>
        <v>100</v>
      </c>
    </row>
    <row r="14" spans="1:4" x14ac:dyDescent="0.3">
      <c r="A14">
        <f t="shared" si="1"/>
        <v>2002</v>
      </c>
      <c r="B14">
        <f>[1]SYSREV!C14</f>
        <v>6</v>
      </c>
      <c r="C14">
        <f>[1]SYSREV!D14</f>
        <v>6</v>
      </c>
      <c r="D14">
        <f t="shared" si="0"/>
        <v>100</v>
      </c>
    </row>
    <row r="15" spans="1:4" x14ac:dyDescent="0.3">
      <c r="A15">
        <f t="shared" si="1"/>
        <v>2003</v>
      </c>
      <c r="B15">
        <f>[1]SYSREV!C15</f>
        <v>1</v>
      </c>
      <c r="C15">
        <f>[1]SYSREV!D15</f>
        <v>1</v>
      </c>
      <c r="D15">
        <f t="shared" si="0"/>
        <v>100</v>
      </c>
    </row>
    <row r="16" spans="1:4" x14ac:dyDescent="0.3">
      <c r="A16">
        <f t="shared" si="1"/>
        <v>2004</v>
      </c>
      <c r="B16">
        <f>[1]SYSREV!C16</f>
        <v>3</v>
      </c>
      <c r="C16">
        <f>[1]SYSREV!D16</f>
        <v>2</v>
      </c>
      <c r="D16">
        <f t="shared" si="0"/>
        <v>66.666666666666657</v>
      </c>
    </row>
    <row r="17" spans="1:4" x14ac:dyDescent="0.3">
      <c r="A17">
        <f t="shared" si="1"/>
        <v>2005</v>
      </c>
      <c r="B17">
        <f>[1]SYSREV!C17</f>
        <v>6</v>
      </c>
      <c r="C17">
        <f>[1]SYSREV!D17</f>
        <v>4</v>
      </c>
      <c r="D17">
        <f t="shared" si="0"/>
        <v>66.666666666666657</v>
      </c>
    </row>
    <row r="18" spans="1:4" x14ac:dyDescent="0.3">
      <c r="A18">
        <f t="shared" si="1"/>
        <v>2006</v>
      </c>
      <c r="B18">
        <f>[1]SYSREV!C18</f>
        <v>11</v>
      </c>
      <c r="C18">
        <f>[1]SYSREV!D18</f>
        <v>10</v>
      </c>
      <c r="D18">
        <f t="shared" si="0"/>
        <v>90.909090909090907</v>
      </c>
    </row>
    <row r="19" spans="1:4" x14ac:dyDescent="0.3">
      <c r="A19">
        <f t="shared" si="1"/>
        <v>2007</v>
      </c>
      <c r="B19">
        <f>[1]SYSREV!C19</f>
        <v>13</v>
      </c>
      <c r="C19">
        <f>[1]SYSREV!D19</f>
        <v>11</v>
      </c>
      <c r="D19">
        <f t="shared" si="0"/>
        <v>84.615384615384613</v>
      </c>
    </row>
    <row r="20" spans="1:4" x14ac:dyDescent="0.3">
      <c r="A20">
        <f t="shared" si="1"/>
        <v>2008</v>
      </c>
      <c r="B20">
        <f>[1]SYSREV!C20</f>
        <v>21</v>
      </c>
      <c r="C20">
        <f>[1]SYSREV!D20</f>
        <v>18</v>
      </c>
      <c r="D20">
        <f t="shared" si="0"/>
        <v>85.714285714285708</v>
      </c>
    </row>
    <row r="21" spans="1:4" x14ac:dyDescent="0.3">
      <c r="A21">
        <f t="shared" si="1"/>
        <v>2009</v>
      </c>
      <c r="B21">
        <f>[1]SYSREV!C21</f>
        <v>34</v>
      </c>
      <c r="C21">
        <f>[1]SYSREV!D21</f>
        <v>30</v>
      </c>
      <c r="D21">
        <f t="shared" si="0"/>
        <v>88.235294117647058</v>
      </c>
    </row>
    <row r="22" spans="1:4" x14ac:dyDescent="0.3">
      <c r="A22">
        <f t="shared" si="1"/>
        <v>2010</v>
      </c>
      <c r="B22">
        <f>[1]SYSREV!C22</f>
        <v>57</v>
      </c>
      <c r="C22">
        <f>[1]SYSREV!D22</f>
        <v>50</v>
      </c>
      <c r="D22">
        <f t="shared" si="0"/>
        <v>87.719298245614027</v>
      </c>
    </row>
    <row r="23" spans="1:4" x14ac:dyDescent="0.3">
      <c r="A23">
        <f t="shared" si="1"/>
        <v>2011</v>
      </c>
      <c r="B23">
        <f>[1]SYSREV!C23</f>
        <v>65</v>
      </c>
      <c r="C23">
        <f>[1]SYSREV!D23</f>
        <v>57</v>
      </c>
      <c r="D23">
        <f t="shared" si="0"/>
        <v>87.692307692307693</v>
      </c>
    </row>
    <row r="24" spans="1:4" x14ac:dyDescent="0.3">
      <c r="A24">
        <f t="shared" si="1"/>
        <v>2012</v>
      </c>
      <c r="B24">
        <f>[1]SYSREV!C24</f>
        <v>118</v>
      </c>
      <c r="C24">
        <f>[1]SYSREV!D24</f>
        <v>99</v>
      </c>
      <c r="D24">
        <f t="shared" si="0"/>
        <v>83.898305084745758</v>
      </c>
    </row>
    <row r="25" spans="1:4" x14ac:dyDescent="0.3">
      <c r="A25">
        <f t="shared" si="1"/>
        <v>2013</v>
      </c>
      <c r="B25">
        <f>[1]SYSREV!C25</f>
        <v>206</v>
      </c>
      <c r="C25">
        <f>[1]SYSREV!D25</f>
        <v>187</v>
      </c>
      <c r="D25">
        <f t="shared" si="0"/>
        <v>90.77669902912622</v>
      </c>
    </row>
    <row r="26" spans="1:4" x14ac:dyDescent="0.3">
      <c r="A26">
        <f t="shared" si="1"/>
        <v>2014</v>
      </c>
      <c r="B26">
        <f>[1]SYSREV!C26</f>
        <v>316</v>
      </c>
      <c r="C26">
        <f>[1]SYSREV!D26</f>
        <v>283</v>
      </c>
      <c r="D26">
        <f t="shared" si="0"/>
        <v>89.556962025316452</v>
      </c>
    </row>
    <row r="27" spans="1:4" x14ac:dyDescent="0.3">
      <c r="A27">
        <f t="shared" si="1"/>
        <v>2015</v>
      </c>
      <c r="B27">
        <f>[1]SYSREV!C27</f>
        <v>456</v>
      </c>
      <c r="C27">
        <f>[1]SYSREV!D27</f>
        <v>413</v>
      </c>
      <c r="D27">
        <f t="shared" si="0"/>
        <v>90.570175438596493</v>
      </c>
    </row>
    <row r="28" spans="1:4" x14ac:dyDescent="0.3">
      <c r="A28">
        <f t="shared" si="1"/>
        <v>2016</v>
      </c>
      <c r="B28">
        <f>[1]SYSREV!C28</f>
        <v>577</v>
      </c>
      <c r="C28">
        <f>[1]SYSREV!D28</f>
        <v>513</v>
      </c>
      <c r="D28">
        <f t="shared" si="0"/>
        <v>88.908145580589263</v>
      </c>
    </row>
    <row r="29" spans="1:4" x14ac:dyDescent="0.3">
      <c r="A29">
        <f t="shared" si="1"/>
        <v>2017</v>
      </c>
      <c r="B29">
        <f>[1]SYSREV!C29</f>
        <v>682</v>
      </c>
      <c r="C29">
        <f>[1]SYSREV!D29</f>
        <v>622</v>
      </c>
      <c r="D29">
        <f t="shared" si="0"/>
        <v>91.202346041055719</v>
      </c>
    </row>
    <row r="30" spans="1:4" x14ac:dyDescent="0.3">
      <c r="A30">
        <f t="shared" si="1"/>
        <v>2018</v>
      </c>
      <c r="B30">
        <f>[1]SYSREV!C30</f>
        <v>771</v>
      </c>
      <c r="C30">
        <f>[1]SYSREV!D30</f>
        <v>690</v>
      </c>
      <c r="D30">
        <f t="shared" si="0"/>
        <v>89.494163424124523</v>
      </c>
    </row>
    <row r="31" spans="1:4" x14ac:dyDescent="0.3">
      <c r="A31">
        <f t="shared" si="1"/>
        <v>2019</v>
      </c>
      <c r="B31">
        <f>[1]SYSREV!C31</f>
        <v>1300</v>
      </c>
      <c r="C31">
        <f>[1]SYSREV!D31</f>
        <v>1181</v>
      </c>
      <c r="D31">
        <f t="shared" si="0"/>
        <v>90.84615384615384</v>
      </c>
    </row>
    <row r="32" spans="1:4" x14ac:dyDescent="0.3">
      <c r="A32">
        <f t="shared" si="1"/>
        <v>2020</v>
      </c>
      <c r="B32">
        <f>[1]SYSREV!C32</f>
        <v>1710</v>
      </c>
      <c r="C32">
        <f>[1]SYSREV!D32</f>
        <v>1586</v>
      </c>
      <c r="D32">
        <f t="shared" si="0"/>
        <v>92.748538011695899</v>
      </c>
    </row>
    <row r="33" spans="1:4" x14ac:dyDescent="0.3">
      <c r="A33">
        <f t="shared" si="1"/>
        <v>2021</v>
      </c>
      <c r="B33">
        <f>[1]SYSREV!C33</f>
        <v>2433</v>
      </c>
      <c r="C33">
        <f>[1]SYSREV!D33</f>
        <v>2248</v>
      </c>
      <c r="D33">
        <f t="shared" si="0"/>
        <v>92.396218660090426</v>
      </c>
    </row>
    <row r="34" spans="1:4" x14ac:dyDescent="0.3">
      <c r="A34">
        <f t="shared" si="1"/>
        <v>2022</v>
      </c>
      <c r="B34">
        <f>[1]SYSREV!C34</f>
        <v>3171</v>
      </c>
      <c r="C34">
        <f>[1]SYSREV!D34</f>
        <v>2934</v>
      </c>
      <c r="D34">
        <f t="shared" si="0"/>
        <v>92.526017029328287</v>
      </c>
    </row>
    <row r="35" spans="1:4" x14ac:dyDescent="0.3">
      <c r="A35">
        <f t="shared" si="1"/>
        <v>2023</v>
      </c>
      <c r="B35">
        <f>[1]SYSREV!C35</f>
        <v>2863</v>
      </c>
      <c r="C35">
        <f>[1]SYSREV!D35</f>
        <v>2658</v>
      </c>
      <c r="D35">
        <f t="shared" si="0"/>
        <v>92.839678658749563</v>
      </c>
    </row>
    <row r="36" spans="1:4" x14ac:dyDescent="0.3">
      <c r="A36">
        <f t="shared" si="1"/>
        <v>2024</v>
      </c>
      <c r="B36">
        <f>[1]SYSREV!C36</f>
        <v>3332</v>
      </c>
      <c r="C36">
        <f>[1]SYSREV!D36</f>
        <v>3125</v>
      </c>
      <c r="D36">
        <f t="shared" si="0"/>
        <v>93.787515006002394</v>
      </c>
    </row>
    <row r="37" spans="1:4" x14ac:dyDescent="0.3">
      <c r="A37">
        <f t="shared" si="1"/>
        <v>2025</v>
      </c>
      <c r="B37">
        <f>[1]SYSREV!C37</f>
        <v>2661</v>
      </c>
      <c r="C37">
        <f>[1]SYSREV!D37</f>
        <v>2463</v>
      </c>
      <c r="D37">
        <f t="shared" si="0"/>
        <v>92.559188275084551</v>
      </c>
    </row>
    <row r="38" spans="1:4" x14ac:dyDescent="0.3">
      <c r="A38" t="s">
        <v>9</v>
      </c>
      <c r="B38">
        <f>[1]SYSREV!C38</f>
        <v>20815</v>
      </c>
      <c r="C38">
        <f>[1]SYSREV!D38</f>
        <v>19193</v>
      </c>
      <c r="D38">
        <f t="shared" si="0"/>
        <v>92.207542637521016</v>
      </c>
    </row>
    <row r="39" spans="1:4" x14ac:dyDescent="0.3">
      <c r="A39" t="s">
        <v>7</v>
      </c>
      <c r="B39">
        <f>[1]SYSREV!C39</f>
        <v>3332</v>
      </c>
      <c r="C39">
        <f>[1]SYSREV!D39</f>
        <v>3125</v>
      </c>
      <c r="D39">
        <f t="shared" si="0"/>
        <v>93.787515006002394</v>
      </c>
    </row>
    <row r="40" spans="1:4" x14ac:dyDescent="0.3">
      <c r="A40" t="s">
        <v>8</v>
      </c>
      <c r="B40">
        <f>[1]SYSREV!C40</f>
        <v>0</v>
      </c>
      <c r="C40">
        <f>[1]SYSREV!D40</f>
        <v>0</v>
      </c>
      <c r="D40" t="e">
        <f t="shared" si="0"/>
        <v>#DIV/0!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9F0F9-94CA-490F-9C28-6720D2398075}">
  <dimension ref="A1:AS40"/>
  <sheetViews>
    <sheetView zoomScale="87" workbookViewId="0">
      <selection activeCell="I6" sqref="I6"/>
    </sheetView>
  </sheetViews>
  <sheetFormatPr defaultColWidth="8.6640625" defaultRowHeight="17.25" x14ac:dyDescent="0.3"/>
  <cols>
    <col min="4" max="4" width="8.77734375"/>
  </cols>
  <sheetData>
    <row r="1" spans="1:45" x14ac:dyDescent="0.3">
      <c r="A1" t="s">
        <v>0</v>
      </c>
      <c r="B1" t="s">
        <v>10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tr">
        <f t="array" ref="I1:AS7">TRANSPOSE(A1:G40)</f>
        <v>Year</v>
      </c>
      <c r="J1">
        <v>1990</v>
      </c>
      <c r="K1">
        <v>1991</v>
      </c>
      <c r="L1">
        <v>1992</v>
      </c>
      <c r="M1">
        <v>1993</v>
      </c>
      <c r="N1">
        <v>1994</v>
      </c>
      <c r="O1">
        <v>1995</v>
      </c>
      <c r="P1">
        <v>1996</v>
      </c>
      <c r="Q1">
        <v>1997</v>
      </c>
      <c r="R1">
        <v>1998</v>
      </c>
      <c r="S1">
        <v>1999</v>
      </c>
      <c r="T1">
        <v>2000</v>
      </c>
      <c r="U1">
        <v>2001</v>
      </c>
      <c r="V1">
        <v>2002</v>
      </c>
      <c r="W1">
        <v>2003</v>
      </c>
      <c r="X1">
        <v>2004</v>
      </c>
      <c r="Y1">
        <v>2005</v>
      </c>
      <c r="Z1">
        <v>2006</v>
      </c>
      <c r="AA1">
        <v>2007</v>
      </c>
      <c r="AB1">
        <v>2008</v>
      </c>
      <c r="AC1">
        <v>2009</v>
      </c>
      <c r="AD1">
        <v>2010</v>
      </c>
      <c r="AE1">
        <v>2011</v>
      </c>
      <c r="AF1">
        <v>2012</v>
      </c>
      <c r="AG1">
        <v>2013</v>
      </c>
      <c r="AH1">
        <v>2014</v>
      </c>
      <c r="AI1">
        <v>2015</v>
      </c>
      <c r="AJ1">
        <v>2016</v>
      </c>
      <c r="AK1">
        <v>2017</v>
      </c>
      <c r="AL1">
        <v>2018</v>
      </c>
      <c r="AM1">
        <v>2019</v>
      </c>
      <c r="AN1">
        <v>2020</v>
      </c>
      <c r="AO1">
        <v>2021</v>
      </c>
      <c r="AP1">
        <v>2022</v>
      </c>
      <c r="AQ1">
        <v>2023</v>
      </c>
      <c r="AR1">
        <v>2024</v>
      </c>
      <c r="AS1">
        <v>2025</v>
      </c>
    </row>
    <row r="2" spans="1:45" x14ac:dyDescent="0.3">
      <c r="A2">
        <v>1990</v>
      </c>
      <c r="B2">
        <f>RCT!D2</f>
        <v>66.666666666666657</v>
      </c>
      <c r="C2">
        <f>CT!D2</f>
        <v>75</v>
      </c>
      <c r="D2" t="e">
        <f>META!D2</f>
        <v>#DIV/0!</v>
      </c>
      <c r="E2">
        <f>REVIEW!D2</f>
        <v>100</v>
      </c>
      <c r="F2">
        <f>CCJ!D2</f>
        <v>100</v>
      </c>
      <c r="G2">
        <f>ALL!D2</f>
        <v>95.744680851063833</v>
      </c>
      <c r="I2" t="str">
        <v>Randomized controlled trial</v>
      </c>
      <c r="J2">
        <v>66.666666666666657</v>
      </c>
      <c r="K2">
        <v>100</v>
      </c>
      <c r="L2">
        <v>100</v>
      </c>
      <c r="M2">
        <v>100</v>
      </c>
      <c r="N2">
        <v>89.473684210526315</v>
      </c>
      <c r="O2">
        <v>86.666666666666671</v>
      </c>
      <c r="P2">
        <v>84.210526315789465</v>
      </c>
      <c r="Q2">
        <v>88.235294117647058</v>
      </c>
      <c r="R2">
        <v>85.18518518518519</v>
      </c>
      <c r="S2">
        <v>87.5</v>
      </c>
      <c r="T2">
        <v>85.714285714285708</v>
      </c>
      <c r="U2">
        <v>76.470588235294116</v>
      </c>
      <c r="V2">
        <v>88.571428571428569</v>
      </c>
      <c r="W2">
        <v>88.888888888888886</v>
      </c>
      <c r="X2">
        <v>87.323943661971825</v>
      </c>
      <c r="Y2">
        <v>92.391304347826093</v>
      </c>
      <c r="Z2">
        <v>88.888888888888886</v>
      </c>
      <c r="AA2">
        <v>89.49771689497716</v>
      </c>
      <c r="AB2">
        <v>89.795918367346943</v>
      </c>
      <c r="AC2">
        <v>89.578713968957871</v>
      </c>
      <c r="AD2">
        <v>92.282958199356912</v>
      </c>
      <c r="AE2">
        <v>90.734055354993984</v>
      </c>
      <c r="AF2">
        <v>92.447129909365557</v>
      </c>
      <c r="AG2">
        <v>91.095406360424022</v>
      </c>
      <c r="AH2">
        <v>91.991101223581765</v>
      </c>
      <c r="AI2">
        <v>90.882061446977204</v>
      </c>
      <c r="AJ2">
        <v>91.706888986397544</v>
      </c>
      <c r="AK2">
        <v>91.152922337870308</v>
      </c>
      <c r="AL2">
        <v>90.636565507031833</v>
      </c>
      <c r="AM2">
        <v>90.759819703799096</v>
      </c>
      <c r="AN2">
        <v>90.425247392350897</v>
      </c>
      <c r="AO2">
        <v>90.611696168496522</v>
      </c>
      <c r="AP2">
        <v>91.116088092571857</v>
      </c>
      <c r="AQ2">
        <v>90.074107343364034</v>
      </c>
      <c r="AR2">
        <v>91.109362706530291</v>
      </c>
      <c r="AS2">
        <v>90.913415794481438</v>
      </c>
    </row>
    <row r="3" spans="1:45" x14ac:dyDescent="0.3">
      <c r="A3">
        <v>1991</v>
      </c>
      <c r="B3">
        <f>RCT!D3</f>
        <v>100</v>
      </c>
      <c r="C3">
        <f>CT!D3</f>
        <v>100</v>
      </c>
      <c r="D3" t="e">
        <f>META!D3</f>
        <v>#DIV/0!</v>
      </c>
      <c r="E3">
        <f>REVIEW!D3</f>
        <v>100</v>
      </c>
      <c r="F3">
        <f>CCJ!D3</f>
        <v>100</v>
      </c>
      <c r="G3">
        <f>ALL!D3</f>
        <v>98.591549295774655</v>
      </c>
      <c r="I3" t="str">
        <v>Clinical trial</v>
      </c>
      <c r="J3">
        <v>75</v>
      </c>
      <c r="K3">
        <v>100</v>
      </c>
      <c r="L3">
        <v>100</v>
      </c>
      <c r="M3">
        <v>95.652173913043484</v>
      </c>
      <c r="N3">
        <v>93.939393939393938</v>
      </c>
      <c r="O3">
        <v>88.461538461538453</v>
      </c>
      <c r="P3">
        <v>88.888888888888886</v>
      </c>
      <c r="Q3">
        <v>90.625</v>
      </c>
      <c r="R3">
        <v>89.583333333333343</v>
      </c>
      <c r="S3">
        <v>92.5</v>
      </c>
      <c r="T3">
        <v>90.243902439024396</v>
      </c>
      <c r="U3">
        <v>86.666666666666671</v>
      </c>
      <c r="V3">
        <v>91.489361702127653</v>
      </c>
      <c r="W3">
        <v>93.442622950819683</v>
      </c>
      <c r="X3">
        <v>91.869918699186996</v>
      </c>
      <c r="Y3">
        <v>95.121951219512198</v>
      </c>
      <c r="Z3">
        <v>96.721311475409834</v>
      </c>
      <c r="AA3">
        <v>93.103448275862064</v>
      </c>
      <c r="AB3">
        <v>96.103896103896105</v>
      </c>
      <c r="AC3">
        <v>98.979591836734699</v>
      </c>
      <c r="AD3">
        <v>96.875</v>
      </c>
      <c r="AE3">
        <v>96.33507853403141</v>
      </c>
      <c r="AF3">
        <v>96.036585365853654</v>
      </c>
      <c r="AG3">
        <v>97.245762711864401</v>
      </c>
      <c r="AH3">
        <v>96.545454545454547</v>
      </c>
      <c r="AI3">
        <v>96.768707482993193</v>
      </c>
      <c r="AJ3">
        <v>96.698113207547166</v>
      </c>
      <c r="AK3">
        <v>95.017793594306056</v>
      </c>
      <c r="AL3">
        <v>96.21848739495799</v>
      </c>
      <c r="AM3">
        <v>96.893667861409796</v>
      </c>
      <c r="AN3">
        <v>96.614583333333343</v>
      </c>
      <c r="AO3">
        <v>95.338512763596</v>
      </c>
      <c r="AP3">
        <v>94.781144781144775</v>
      </c>
      <c r="AQ3">
        <v>93.40425531914893</v>
      </c>
      <c r="AR3">
        <v>94.47115384615384</v>
      </c>
      <c r="AS3">
        <v>95.652173913043484</v>
      </c>
    </row>
    <row r="4" spans="1:45" x14ac:dyDescent="0.3">
      <c r="A4">
        <f>A2+2</f>
        <v>1992</v>
      </c>
      <c r="B4">
        <f>RCT!D4</f>
        <v>100</v>
      </c>
      <c r="C4">
        <f>CT!D4</f>
        <v>100</v>
      </c>
      <c r="D4" t="e">
        <f>META!D4</f>
        <v>#DIV/0!</v>
      </c>
      <c r="E4" t="e">
        <f>REVIEW!D4</f>
        <v>#DIV/0!</v>
      </c>
      <c r="F4" t="e">
        <f>CCJ!D4</f>
        <v>#DIV/0!</v>
      </c>
      <c r="G4">
        <f>ALL!D4</f>
        <v>97.241379310344826</v>
      </c>
      <c r="I4" t="str">
        <v>Meta-analysis</v>
      </c>
      <c r="J4" t="e">
        <v>#DIV/0!</v>
      </c>
      <c r="K4" t="e">
        <v>#DIV/0!</v>
      </c>
      <c r="L4" t="e">
        <v>#DIV/0!</v>
      </c>
      <c r="M4" t="e">
        <v>#DIV/0!</v>
      </c>
      <c r="N4">
        <v>100</v>
      </c>
      <c r="O4">
        <v>100</v>
      </c>
      <c r="P4" t="e">
        <v>#DIV/0!</v>
      </c>
      <c r="Q4">
        <v>100</v>
      </c>
      <c r="R4" t="e">
        <v>#DIV/0!</v>
      </c>
      <c r="S4" t="e">
        <v>#DIV/0!</v>
      </c>
      <c r="T4">
        <v>100</v>
      </c>
      <c r="U4">
        <v>66.666666666666657</v>
      </c>
      <c r="V4">
        <v>100</v>
      </c>
      <c r="W4">
        <v>75</v>
      </c>
      <c r="X4">
        <v>75</v>
      </c>
      <c r="Y4">
        <v>63.636363636363633</v>
      </c>
      <c r="Z4">
        <v>83.333333333333343</v>
      </c>
      <c r="AA4">
        <v>90.909090909090907</v>
      </c>
      <c r="AB4">
        <v>79.545454545454547</v>
      </c>
      <c r="AC4">
        <v>92.682926829268297</v>
      </c>
      <c r="AD4">
        <v>88.181818181818187</v>
      </c>
      <c r="AE4">
        <v>88.679245283018872</v>
      </c>
      <c r="AF4">
        <v>89.375</v>
      </c>
      <c r="AG4">
        <v>89.42652329749103</v>
      </c>
      <c r="AH4">
        <v>90.694626474442984</v>
      </c>
      <c r="AI4">
        <v>90.835030549898164</v>
      </c>
      <c r="AJ4">
        <v>91.457286432160799</v>
      </c>
      <c r="AK4">
        <v>91.881638846737474</v>
      </c>
      <c r="AL4">
        <v>89.705882352941174</v>
      </c>
      <c r="AM4">
        <v>90.700557966522013</v>
      </c>
      <c r="AN4">
        <v>92.260692464358456</v>
      </c>
      <c r="AO4">
        <v>92.182696530522605</v>
      </c>
      <c r="AP4">
        <v>92.162351294611625</v>
      </c>
      <c r="AQ4">
        <v>92.703716331401296</v>
      </c>
      <c r="AR4">
        <v>93.568396996408751</v>
      </c>
      <c r="AS4">
        <v>92.038078753786237</v>
      </c>
    </row>
    <row r="5" spans="1:45" x14ac:dyDescent="0.3">
      <c r="A5">
        <f t="shared" ref="A5:A36" si="0">A3+2</f>
        <v>1993</v>
      </c>
      <c r="B5">
        <f>RCT!D5</f>
        <v>100</v>
      </c>
      <c r="C5">
        <f>CT!D5</f>
        <v>95.652173913043484</v>
      </c>
      <c r="D5" t="e">
        <f>META!D5</f>
        <v>#DIV/0!</v>
      </c>
      <c r="E5">
        <f>REVIEW!D5</f>
        <v>100</v>
      </c>
      <c r="F5" t="e">
        <f>CCJ!D5</f>
        <v>#DIV/0!</v>
      </c>
      <c r="G5">
        <f>ALL!D5</f>
        <v>96</v>
      </c>
      <c r="I5" t="str">
        <v>Review</v>
      </c>
      <c r="J5">
        <v>100</v>
      </c>
      <c r="K5">
        <v>100</v>
      </c>
      <c r="L5" t="e">
        <v>#DIV/0!</v>
      </c>
      <c r="M5">
        <v>100</v>
      </c>
      <c r="N5">
        <v>100</v>
      </c>
      <c r="O5">
        <v>100</v>
      </c>
      <c r="P5" t="e">
        <v>#DIV/0!</v>
      </c>
      <c r="Q5">
        <v>100</v>
      </c>
      <c r="R5">
        <v>100</v>
      </c>
      <c r="S5">
        <v>100</v>
      </c>
      <c r="T5">
        <v>100</v>
      </c>
      <c r="U5">
        <v>100</v>
      </c>
      <c r="V5" t="e">
        <v>#DIV/0!</v>
      </c>
      <c r="W5">
        <v>100</v>
      </c>
      <c r="X5">
        <v>87.5</v>
      </c>
      <c r="Y5">
        <v>100</v>
      </c>
      <c r="Z5">
        <v>100</v>
      </c>
      <c r="AA5">
        <v>92.857142857142861</v>
      </c>
      <c r="AB5">
        <v>80</v>
      </c>
      <c r="AC5">
        <v>95.833333333333343</v>
      </c>
      <c r="AD5">
        <v>92.682926829268297</v>
      </c>
      <c r="AE5">
        <v>91.228070175438589</v>
      </c>
      <c r="AF5">
        <v>96.551724137931032</v>
      </c>
      <c r="AG5">
        <v>91.452991452991455</v>
      </c>
      <c r="AH5">
        <v>92.523364485981304</v>
      </c>
      <c r="AI5">
        <v>92.307692307692307</v>
      </c>
      <c r="AJ5">
        <v>92.077087794432543</v>
      </c>
      <c r="AK5">
        <v>89.837398373983731</v>
      </c>
      <c r="AL5">
        <v>89.875389408099693</v>
      </c>
      <c r="AM5">
        <v>90.451388888888886</v>
      </c>
      <c r="AN5">
        <v>91.581632653061234</v>
      </c>
      <c r="AO5">
        <v>91.743892165122148</v>
      </c>
      <c r="AP5">
        <v>92.239955971381391</v>
      </c>
      <c r="AQ5">
        <v>90.984974958263777</v>
      </c>
      <c r="AR5">
        <v>92.205196535642912</v>
      </c>
      <c r="AS5">
        <v>92.341941228851283</v>
      </c>
    </row>
    <row r="6" spans="1:45" x14ac:dyDescent="0.3">
      <c r="A6">
        <f t="shared" si="0"/>
        <v>1994</v>
      </c>
      <c r="B6">
        <f>RCT!D6</f>
        <v>89.473684210526315</v>
      </c>
      <c r="C6">
        <f>CT!D6</f>
        <v>93.939393939393938</v>
      </c>
      <c r="D6">
        <f>META!D6</f>
        <v>100</v>
      </c>
      <c r="E6">
        <f>REVIEW!D6</f>
        <v>100</v>
      </c>
      <c r="F6" t="e">
        <f>CCJ!D6</f>
        <v>#DIV/0!</v>
      </c>
      <c r="G6">
        <f>ALL!D6</f>
        <v>97.872340425531917</v>
      </c>
      <c r="I6" t="str">
        <v>Core clinical journal</v>
      </c>
      <c r="J6">
        <v>100</v>
      </c>
      <c r="K6">
        <v>100</v>
      </c>
      <c r="L6" t="e">
        <v>#DIV/0!</v>
      </c>
      <c r="M6" t="e">
        <v>#DIV/0!</v>
      </c>
      <c r="N6" t="e">
        <v>#DIV/0!</v>
      </c>
      <c r="O6" t="e">
        <v>#DIV/0!</v>
      </c>
      <c r="P6" t="e">
        <v>#DIV/0!</v>
      </c>
      <c r="Q6">
        <v>100</v>
      </c>
      <c r="R6" t="e">
        <v>#DIV/0!</v>
      </c>
      <c r="S6" t="e">
        <v>#DIV/0!</v>
      </c>
      <c r="T6">
        <v>100</v>
      </c>
      <c r="U6" t="e">
        <v>#DIV/0!</v>
      </c>
      <c r="V6">
        <v>100</v>
      </c>
      <c r="W6">
        <v>100</v>
      </c>
      <c r="X6">
        <v>100</v>
      </c>
      <c r="Y6">
        <v>88.888888888888886</v>
      </c>
      <c r="Z6">
        <v>100</v>
      </c>
      <c r="AA6">
        <v>100</v>
      </c>
      <c r="AB6">
        <v>96.8</v>
      </c>
      <c r="AC6">
        <v>94.73684210526315</v>
      </c>
      <c r="AD6">
        <v>94.661921708185048</v>
      </c>
      <c r="AE6">
        <v>95.075757575757578</v>
      </c>
      <c r="AF6">
        <v>92.660550458715591</v>
      </c>
      <c r="AG6">
        <v>92.682926829268297</v>
      </c>
      <c r="AH6">
        <v>92.986425339366519</v>
      </c>
      <c r="AI6">
        <v>95.307443365695789</v>
      </c>
      <c r="AJ6">
        <v>95.304437564499494</v>
      </c>
      <c r="AK6">
        <v>95.30463946338736</v>
      </c>
      <c r="AL6">
        <v>93.808049535603715</v>
      </c>
      <c r="AM6">
        <v>93.971291866028707</v>
      </c>
      <c r="AN6">
        <v>94.549958711808429</v>
      </c>
      <c r="AO6">
        <v>94.629156010230176</v>
      </c>
      <c r="AP6">
        <v>94.8874475391072</v>
      </c>
      <c r="AQ6">
        <v>94.13949649195213</v>
      </c>
      <c r="AR6">
        <v>95.442255697180371</v>
      </c>
      <c r="AS6">
        <v>94.108684611477912</v>
      </c>
    </row>
    <row r="7" spans="1:45" x14ac:dyDescent="0.3">
      <c r="A7">
        <f t="shared" si="0"/>
        <v>1995</v>
      </c>
      <c r="B7">
        <f>RCT!D7</f>
        <v>86.666666666666671</v>
      </c>
      <c r="C7">
        <f>CT!D7</f>
        <v>88.461538461538453</v>
      </c>
      <c r="D7">
        <f>META!D7</f>
        <v>100</v>
      </c>
      <c r="E7">
        <f>REVIEW!D7</f>
        <v>100</v>
      </c>
      <c r="F7" t="e">
        <f>CCJ!D7</f>
        <v>#DIV/0!</v>
      </c>
      <c r="G7">
        <f>ALL!D7</f>
        <v>96.017699115044252</v>
      </c>
      <c r="I7" t="str">
        <v>All MEDLINE</v>
      </c>
      <c r="J7">
        <v>95.744680851063833</v>
      </c>
      <c r="K7">
        <v>98.591549295774655</v>
      </c>
      <c r="L7">
        <v>97.241379310344826</v>
      </c>
      <c r="M7">
        <v>96</v>
      </c>
      <c r="N7">
        <v>97.872340425531917</v>
      </c>
      <c r="O7">
        <v>96.017699115044252</v>
      </c>
      <c r="P7">
        <v>95.604395604395606</v>
      </c>
      <c r="Q7">
        <v>93.624161073825505</v>
      </c>
      <c r="R7">
        <v>95.195195195195197</v>
      </c>
      <c r="S7">
        <v>97.540983606557376</v>
      </c>
      <c r="T7">
        <v>94.986072423398326</v>
      </c>
      <c r="U7">
        <v>94.039735099337747</v>
      </c>
      <c r="V7">
        <v>95.787545787545795</v>
      </c>
      <c r="W7">
        <v>95.710059171597635</v>
      </c>
      <c r="X7">
        <v>94.216614090431122</v>
      </c>
      <c r="Y7">
        <v>95.234657039711195</v>
      </c>
      <c r="Z7">
        <v>94.655344655344649</v>
      </c>
      <c r="AA7">
        <v>95.474452554744531</v>
      </c>
      <c r="AB7">
        <v>95.329802599903715</v>
      </c>
      <c r="AC7">
        <v>95.418257549461998</v>
      </c>
      <c r="AD7">
        <v>95.525200188412626</v>
      </c>
      <c r="AE7">
        <v>95.321493175464568</v>
      </c>
      <c r="AF7">
        <v>95.959539510450426</v>
      </c>
      <c r="AG7">
        <v>95.601391650099401</v>
      </c>
      <c r="AH7">
        <v>95.742282057233808</v>
      </c>
      <c r="AI7">
        <v>95.613934894346087</v>
      </c>
      <c r="AJ7">
        <v>95.665352390340061</v>
      </c>
      <c r="AK7">
        <v>95.412011324098287</v>
      </c>
      <c r="AL7">
        <v>95.348971796751414</v>
      </c>
      <c r="AM7">
        <v>95.396490087747807</v>
      </c>
      <c r="AN7">
        <v>95.591096008470615</v>
      </c>
      <c r="AO7">
        <v>95.645616289137777</v>
      </c>
      <c r="AP7">
        <v>95.730829521097931</v>
      </c>
      <c r="AQ7">
        <v>95.635581832840629</v>
      </c>
      <c r="AR7">
        <v>95.717139978483232</v>
      </c>
      <c r="AS7">
        <v>95.976875419281001</v>
      </c>
    </row>
    <row r="8" spans="1:45" x14ac:dyDescent="0.3">
      <c r="A8">
        <f t="shared" si="0"/>
        <v>1996</v>
      </c>
      <c r="B8">
        <f>RCT!D8</f>
        <v>84.210526315789465</v>
      </c>
      <c r="C8">
        <f>CT!D8</f>
        <v>88.888888888888886</v>
      </c>
      <c r="D8" t="e">
        <f>META!D8</f>
        <v>#DIV/0!</v>
      </c>
      <c r="E8" t="e">
        <f>REVIEW!D8</f>
        <v>#DIV/0!</v>
      </c>
      <c r="F8" t="e">
        <f>CCJ!D8</f>
        <v>#DIV/0!</v>
      </c>
      <c r="G8">
        <f>ALL!D8</f>
        <v>95.604395604395606</v>
      </c>
    </row>
    <row r="9" spans="1:45" x14ac:dyDescent="0.3">
      <c r="A9">
        <f t="shared" si="0"/>
        <v>1997</v>
      </c>
      <c r="B9">
        <f>RCT!D9</f>
        <v>88.235294117647058</v>
      </c>
      <c r="C9">
        <f>CT!D9</f>
        <v>90.625</v>
      </c>
      <c r="D9">
        <f>META!D9</f>
        <v>100</v>
      </c>
      <c r="E9">
        <f>REVIEW!D9</f>
        <v>100</v>
      </c>
      <c r="F9">
        <f>CCJ!D9</f>
        <v>100</v>
      </c>
      <c r="G9">
        <f>ALL!D9</f>
        <v>93.624161073825505</v>
      </c>
    </row>
    <row r="10" spans="1:45" x14ac:dyDescent="0.3">
      <c r="A10">
        <f t="shared" si="0"/>
        <v>1998</v>
      </c>
      <c r="B10">
        <f>RCT!D10</f>
        <v>85.18518518518519</v>
      </c>
      <c r="C10">
        <f>CT!D10</f>
        <v>89.583333333333343</v>
      </c>
      <c r="D10" t="e">
        <f>META!D10</f>
        <v>#DIV/0!</v>
      </c>
      <c r="E10">
        <f>REVIEW!D10</f>
        <v>100</v>
      </c>
      <c r="F10" t="e">
        <f>CCJ!D10</f>
        <v>#DIV/0!</v>
      </c>
      <c r="G10">
        <f>ALL!D10</f>
        <v>95.195195195195197</v>
      </c>
    </row>
    <row r="11" spans="1:45" x14ac:dyDescent="0.3">
      <c r="A11">
        <f t="shared" si="0"/>
        <v>1999</v>
      </c>
      <c r="B11">
        <f>RCT!D11</f>
        <v>87.5</v>
      </c>
      <c r="C11">
        <f>CT!D11</f>
        <v>92.5</v>
      </c>
      <c r="D11" t="e">
        <f>META!D11</f>
        <v>#DIV/0!</v>
      </c>
      <c r="E11">
        <f>REVIEW!D11</f>
        <v>100</v>
      </c>
      <c r="F11" t="e">
        <f>CCJ!D11</f>
        <v>#DIV/0!</v>
      </c>
      <c r="G11">
        <f>ALL!D11</f>
        <v>97.540983606557376</v>
      </c>
    </row>
    <row r="12" spans="1:45" x14ac:dyDescent="0.3">
      <c r="A12">
        <f t="shared" si="0"/>
        <v>2000</v>
      </c>
      <c r="B12">
        <f>RCT!D12</f>
        <v>85.714285714285708</v>
      </c>
      <c r="C12">
        <f>CT!D12</f>
        <v>90.243902439024396</v>
      </c>
      <c r="D12">
        <f>META!D12</f>
        <v>100</v>
      </c>
      <c r="E12">
        <f>REVIEW!D12</f>
        <v>100</v>
      </c>
      <c r="F12">
        <f>CCJ!D12</f>
        <v>100</v>
      </c>
      <c r="G12">
        <f>ALL!D12</f>
        <v>94.986072423398326</v>
      </c>
    </row>
    <row r="13" spans="1:45" x14ac:dyDescent="0.3">
      <c r="A13">
        <f t="shared" si="0"/>
        <v>2001</v>
      </c>
      <c r="B13">
        <f>RCT!D13</f>
        <v>76.470588235294116</v>
      </c>
      <c r="C13">
        <f>CT!D13</f>
        <v>86.666666666666671</v>
      </c>
      <c r="D13">
        <f>META!D13</f>
        <v>66.666666666666657</v>
      </c>
      <c r="E13">
        <f>REVIEW!D13</f>
        <v>100</v>
      </c>
      <c r="F13" t="e">
        <f>CCJ!D13</f>
        <v>#DIV/0!</v>
      </c>
      <c r="G13">
        <f>ALL!D13</f>
        <v>94.039735099337747</v>
      </c>
    </row>
    <row r="14" spans="1:45" x14ac:dyDescent="0.3">
      <c r="A14">
        <f t="shared" si="0"/>
        <v>2002</v>
      </c>
      <c r="B14">
        <f>RCT!D14</f>
        <v>88.571428571428569</v>
      </c>
      <c r="C14">
        <f>CT!D14</f>
        <v>91.489361702127653</v>
      </c>
      <c r="D14">
        <f>META!D14</f>
        <v>100</v>
      </c>
      <c r="E14" t="e">
        <f>REVIEW!D14</f>
        <v>#DIV/0!</v>
      </c>
      <c r="F14">
        <f>CCJ!D14</f>
        <v>100</v>
      </c>
      <c r="G14">
        <f>ALL!D14</f>
        <v>95.787545787545795</v>
      </c>
    </row>
    <row r="15" spans="1:45" x14ac:dyDescent="0.3">
      <c r="A15">
        <f t="shared" si="0"/>
        <v>2003</v>
      </c>
      <c r="B15">
        <f>RCT!D15</f>
        <v>88.888888888888886</v>
      </c>
      <c r="C15">
        <f>CT!D15</f>
        <v>93.442622950819683</v>
      </c>
      <c r="D15">
        <f>META!D15</f>
        <v>75</v>
      </c>
      <c r="E15">
        <f>REVIEW!D15</f>
        <v>100</v>
      </c>
      <c r="F15">
        <f>CCJ!D15</f>
        <v>100</v>
      </c>
      <c r="G15">
        <f>ALL!D15</f>
        <v>95.710059171597635</v>
      </c>
    </row>
    <row r="16" spans="1:45" x14ac:dyDescent="0.3">
      <c r="A16">
        <f t="shared" si="0"/>
        <v>2004</v>
      </c>
      <c r="B16">
        <f>RCT!D16</f>
        <v>87.323943661971825</v>
      </c>
      <c r="C16">
        <f>CT!D16</f>
        <v>91.869918699186996</v>
      </c>
      <c r="D16">
        <f>META!D16</f>
        <v>75</v>
      </c>
      <c r="E16">
        <f>REVIEW!D16</f>
        <v>87.5</v>
      </c>
      <c r="F16">
        <f>CCJ!D16</f>
        <v>100</v>
      </c>
      <c r="G16">
        <f>ALL!D16</f>
        <v>94.216614090431122</v>
      </c>
    </row>
    <row r="17" spans="1:7" x14ac:dyDescent="0.3">
      <c r="A17">
        <f t="shared" si="0"/>
        <v>2005</v>
      </c>
      <c r="B17">
        <f>RCT!D17</f>
        <v>92.391304347826093</v>
      </c>
      <c r="C17">
        <f>CT!D17</f>
        <v>95.121951219512198</v>
      </c>
      <c r="D17">
        <f>META!D17</f>
        <v>63.636363636363633</v>
      </c>
      <c r="E17">
        <f>REVIEW!D17</f>
        <v>100</v>
      </c>
      <c r="F17">
        <f>CCJ!D17</f>
        <v>88.888888888888886</v>
      </c>
      <c r="G17">
        <f>ALL!D17</f>
        <v>95.234657039711195</v>
      </c>
    </row>
    <row r="18" spans="1:7" x14ac:dyDescent="0.3">
      <c r="A18">
        <f t="shared" si="0"/>
        <v>2006</v>
      </c>
      <c r="B18">
        <f>RCT!D18</f>
        <v>88.888888888888886</v>
      </c>
      <c r="C18">
        <f>CT!D18</f>
        <v>96.721311475409834</v>
      </c>
      <c r="D18">
        <f>META!D18</f>
        <v>83.333333333333343</v>
      </c>
      <c r="E18">
        <f>REVIEW!D18</f>
        <v>100</v>
      </c>
      <c r="F18">
        <f>CCJ!D18</f>
        <v>100</v>
      </c>
      <c r="G18">
        <f>ALL!D18</f>
        <v>94.655344655344649</v>
      </c>
    </row>
    <row r="19" spans="1:7" x14ac:dyDescent="0.3">
      <c r="A19">
        <f t="shared" si="0"/>
        <v>2007</v>
      </c>
      <c r="B19">
        <f>RCT!D19</f>
        <v>89.49771689497716</v>
      </c>
      <c r="C19">
        <f>CT!D19</f>
        <v>93.103448275862064</v>
      </c>
      <c r="D19">
        <f>META!D19</f>
        <v>90.909090909090907</v>
      </c>
      <c r="E19">
        <f>REVIEW!D19</f>
        <v>92.857142857142861</v>
      </c>
      <c r="F19">
        <f>CCJ!D19</f>
        <v>100</v>
      </c>
      <c r="G19">
        <f>ALL!D19</f>
        <v>95.474452554744531</v>
      </c>
    </row>
    <row r="20" spans="1:7" x14ac:dyDescent="0.3">
      <c r="A20">
        <f t="shared" si="0"/>
        <v>2008</v>
      </c>
      <c r="B20">
        <f>RCT!D20</f>
        <v>89.795918367346943</v>
      </c>
      <c r="C20">
        <f>CT!D20</f>
        <v>96.103896103896105</v>
      </c>
      <c r="D20">
        <f>META!D20</f>
        <v>79.545454545454547</v>
      </c>
      <c r="E20">
        <f>REVIEW!D20</f>
        <v>80</v>
      </c>
      <c r="F20">
        <f>CCJ!D20</f>
        <v>96.8</v>
      </c>
      <c r="G20">
        <f>ALL!D20</f>
        <v>95.329802599903715</v>
      </c>
    </row>
    <row r="21" spans="1:7" x14ac:dyDescent="0.3">
      <c r="A21">
        <f t="shared" si="0"/>
        <v>2009</v>
      </c>
      <c r="B21">
        <f>RCT!D21</f>
        <v>89.578713968957871</v>
      </c>
      <c r="C21">
        <f>CT!D21</f>
        <v>98.979591836734699</v>
      </c>
      <c r="D21">
        <f>META!D21</f>
        <v>92.682926829268297</v>
      </c>
      <c r="E21">
        <f>REVIEW!D21</f>
        <v>95.833333333333343</v>
      </c>
      <c r="F21">
        <f>CCJ!D21</f>
        <v>94.73684210526315</v>
      </c>
      <c r="G21">
        <f>ALL!D21</f>
        <v>95.418257549461998</v>
      </c>
    </row>
    <row r="22" spans="1:7" x14ac:dyDescent="0.3">
      <c r="A22">
        <f t="shared" si="0"/>
        <v>2010</v>
      </c>
      <c r="B22">
        <f>RCT!D22</f>
        <v>92.282958199356912</v>
      </c>
      <c r="C22">
        <f>CT!D22</f>
        <v>96.875</v>
      </c>
      <c r="D22">
        <f>META!D22</f>
        <v>88.181818181818187</v>
      </c>
      <c r="E22">
        <f>REVIEW!D22</f>
        <v>92.682926829268297</v>
      </c>
      <c r="F22">
        <f>CCJ!D22</f>
        <v>94.661921708185048</v>
      </c>
      <c r="G22">
        <f>ALL!D22</f>
        <v>95.525200188412626</v>
      </c>
    </row>
    <row r="23" spans="1:7" x14ac:dyDescent="0.3">
      <c r="A23">
        <f t="shared" si="0"/>
        <v>2011</v>
      </c>
      <c r="B23">
        <f>RCT!D23</f>
        <v>90.734055354993984</v>
      </c>
      <c r="C23">
        <f>CT!D23</f>
        <v>96.33507853403141</v>
      </c>
      <c r="D23">
        <f>META!D23</f>
        <v>88.679245283018872</v>
      </c>
      <c r="E23">
        <f>REVIEW!D23</f>
        <v>91.228070175438589</v>
      </c>
      <c r="F23">
        <f>CCJ!D23</f>
        <v>95.075757575757578</v>
      </c>
      <c r="G23">
        <f>ALL!D23</f>
        <v>95.321493175464568</v>
      </c>
    </row>
    <row r="24" spans="1:7" x14ac:dyDescent="0.3">
      <c r="A24">
        <f>A22+2</f>
        <v>2012</v>
      </c>
      <c r="B24">
        <f>RCT!D24</f>
        <v>92.447129909365557</v>
      </c>
      <c r="C24">
        <f>CT!D24</f>
        <v>96.036585365853654</v>
      </c>
      <c r="D24">
        <f>META!D24</f>
        <v>89.375</v>
      </c>
      <c r="E24">
        <f>REVIEW!D24</f>
        <v>96.551724137931032</v>
      </c>
      <c r="F24">
        <f>CCJ!D24</f>
        <v>92.660550458715591</v>
      </c>
      <c r="G24">
        <f>ALL!D24</f>
        <v>95.959539510450426</v>
      </c>
    </row>
    <row r="25" spans="1:7" x14ac:dyDescent="0.3">
      <c r="A25">
        <f t="shared" si="0"/>
        <v>2013</v>
      </c>
      <c r="B25">
        <f>RCT!D25</f>
        <v>91.095406360424022</v>
      </c>
      <c r="C25">
        <f>CT!D25</f>
        <v>97.245762711864401</v>
      </c>
      <c r="D25">
        <f>META!D25</f>
        <v>89.42652329749103</v>
      </c>
      <c r="E25">
        <f>REVIEW!D25</f>
        <v>91.452991452991455</v>
      </c>
      <c r="F25">
        <f>CCJ!D25</f>
        <v>92.682926829268297</v>
      </c>
      <c r="G25">
        <f>ALL!D25</f>
        <v>95.601391650099401</v>
      </c>
    </row>
    <row r="26" spans="1:7" x14ac:dyDescent="0.3">
      <c r="A26">
        <f t="shared" si="0"/>
        <v>2014</v>
      </c>
      <c r="B26">
        <f>RCT!D26</f>
        <v>91.991101223581765</v>
      </c>
      <c r="C26">
        <f>CT!D26</f>
        <v>96.545454545454547</v>
      </c>
      <c r="D26">
        <f>META!D26</f>
        <v>90.694626474442984</v>
      </c>
      <c r="E26">
        <f>REVIEW!D26</f>
        <v>92.523364485981304</v>
      </c>
      <c r="F26">
        <f>CCJ!D26</f>
        <v>92.986425339366519</v>
      </c>
      <c r="G26">
        <f>ALL!D26</f>
        <v>95.742282057233808</v>
      </c>
    </row>
    <row r="27" spans="1:7" x14ac:dyDescent="0.3">
      <c r="A27">
        <f t="shared" si="0"/>
        <v>2015</v>
      </c>
      <c r="B27">
        <f>RCT!D27</f>
        <v>90.882061446977204</v>
      </c>
      <c r="C27">
        <f>CT!D27</f>
        <v>96.768707482993193</v>
      </c>
      <c r="D27">
        <f>META!D27</f>
        <v>90.835030549898164</v>
      </c>
      <c r="E27">
        <f>REVIEW!D27</f>
        <v>92.307692307692307</v>
      </c>
      <c r="F27">
        <f>CCJ!D27</f>
        <v>95.307443365695789</v>
      </c>
      <c r="G27">
        <f>ALL!D27</f>
        <v>95.613934894346087</v>
      </c>
    </row>
    <row r="28" spans="1:7" x14ac:dyDescent="0.3">
      <c r="A28">
        <f t="shared" si="0"/>
        <v>2016</v>
      </c>
      <c r="B28">
        <f>RCT!D28</f>
        <v>91.706888986397544</v>
      </c>
      <c r="C28">
        <f>CT!D28</f>
        <v>96.698113207547166</v>
      </c>
      <c r="D28">
        <f>META!D28</f>
        <v>91.457286432160799</v>
      </c>
      <c r="E28">
        <f>REVIEW!D28</f>
        <v>92.077087794432543</v>
      </c>
      <c r="F28">
        <f>CCJ!D28</f>
        <v>95.304437564499494</v>
      </c>
      <c r="G28">
        <f>ALL!D28</f>
        <v>95.665352390340061</v>
      </c>
    </row>
    <row r="29" spans="1:7" x14ac:dyDescent="0.3">
      <c r="A29">
        <f t="shared" si="0"/>
        <v>2017</v>
      </c>
      <c r="B29">
        <f>RCT!D29</f>
        <v>91.152922337870308</v>
      </c>
      <c r="C29">
        <f>CT!D29</f>
        <v>95.017793594306056</v>
      </c>
      <c r="D29">
        <f>META!D29</f>
        <v>91.881638846737474</v>
      </c>
      <c r="E29">
        <f>REVIEW!D29</f>
        <v>89.837398373983731</v>
      </c>
      <c r="F29">
        <f>CCJ!D29</f>
        <v>95.30463946338736</v>
      </c>
      <c r="G29">
        <f>ALL!D29</f>
        <v>95.412011324098287</v>
      </c>
    </row>
    <row r="30" spans="1:7" x14ac:dyDescent="0.3">
      <c r="A30">
        <f t="shared" si="0"/>
        <v>2018</v>
      </c>
      <c r="B30">
        <f>RCT!D30</f>
        <v>90.636565507031833</v>
      </c>
      <c r="C30">
        <f>CT!D30</f>
        <v>96.21848739495799</v>
      </c>
      <c r="D30">
        <f>META!D30</f>
        <v>89.705882352941174</v>
      </c>
      <c r="E30">
        <f>REVIEW!D30</f>
        <v>89.875389408099693</v>
      </c>
      <c r="F30">
        <f>CCJ!D30</f>
        <v>93.808049535603715</v>
      </c>
      <c r="G30">
        <f>ALL!D30</f>
        <v>95.348971796751414</v>
      </c>
    </row>
    <row r="31" spans="1:7" x14ac:dyDescent="0.3">
      <c r="A31">
        <f t="shared" si="0"/>
        <v>2019</v>
      </c>
      <c r="B31">
        <f>RCT!D31</f>
        <v>90.759819703799096</v>
      </c>
      <c r="C31">
        <f>CT!D31</f>
        <v>96.893667861409796</v>
      </c>
      <c r="D31">
        <f>META!D31</f>
        <v>90.700557966522013</v>
      </c>
      <c r="E31">
        <f>REVIEW!D31</f>
        <v>90.451388888888886</v>
      </c>
      <c r="F31">
        <f>CCJ!D31</f>
        <v>93.971291866028707</v>
      </c>
      <c r="G31">
        <f>ALL!D31</f>
        <v>95.396490087747807</v>
      </c>
    </row>
    <row r="32" spans="1:7" x14ac:dyDescent="0.3">
      <c r="A32">
        <f t="shared" si="0"/>
        <v>2020</v>
      </c>
      <c r="B32">
        <f>RCT!D32</f>
        <v>90.425247392350897</v>
      </c>
      <c r="C32">
        <f>CT!D32</f>
        <v>96.614583333333343</v>
      </c>
      <c r="D32">
        <f>META!D32</f>
        <v>92.260692464358456</v>
      </c>
      <c r="E32">
        <f>REVIEW!D32</f>
        <v>91.581632653061234</v>
      </c>
      <c r="F32">
        <f>CCJ!D32</f>
        <v>94.549958711808429</v>
      </c>
      <c r="G32">
        <f>ALL!D32</f>
        <v>95.591096008470615</v>
      </c>
    </row>
    <row r="33" spans="1:7" x14ac:dyDescent="0.3">
      <c r="A33">
        <f t="shared" si="0"/>
        <v>2021</v>
      </c>
      <c r="B33">
        <f>RCT!D33</f>
        <v>90.611696168496522</v>
      </c>
      <c r="C33">
        <f>CT!D33</f>
        <v>95.338512763596</v>
      </c>
      <c r="D33">
        <f>META!D33</f>
        <v>92.182696530522605</v>
      </c>
      <c r="E33">
        <f>REVIEW!D33</f>
        <v>91.743892165122148</v>
      </c>
      <c r="F33">
        <f>CCJ!D33</f>
        <v>94.629156010230176</v>
      </c>
      <c r="G33">
        <f>ALL!D33</f>
        <v>95.645616289137777</v>
      </c>
    </row>
    <row r="34" spans="1:7" x14ac:dyDescent="0.3">
      <c r="A34">
        <f t="shared" si="0"/>
        <v>2022</v>
      </c>
      <c r="B34">
        <f>RCT!D34</f>
        <v>91.116088092571857</v>
      </c>
      <c r="C34">
        <f>CT!D34</f>
        <v>94.781144781144775</v>
      </c>
      <c r="D34">
        <f>META!D34</f>
        <v>92.162351294611625</v>
      </c>
      <c r="E34">
        <f>REVIEW!D34</f>
        <v>92.239955971381391</v>
      </c>
      <c r="F34">
        <f>CCJ!D34</f>
        <v>94.8874475391072</v>
      </c>
      <c r="G34">
        <f>ALL!D34</f>
        <v>95.730829521097931</v>
      </c>
    </row>
    <row r="35" spans="1:7" x14ac:dyDescent="0.3">
      <c r="A35">
        <f t="shared" si="0"/>
        <v>2023</v>
      </c>
      <c r="B35">
        <f>RCT!D35</f>
        <v>90.074107343364034</v>
      </c>
      <c r="C35">
        <f>CT!D35</f>
        <v>93.40425531914893</v>
      </c>
      <c r="D35">
        <f>META!D35</f>
        <v>92.703716331401296</v>
      </c>
      <c r="E35">
        <f>REVIEW!D35</f>
        <v>90.984974958263777</v>
      </c>
      <c r="F35">
        <f>CCJ!D35</f>
        <v>94.13949649195213</v>
      </c>
      <c r="G35">
        <f>ALL!D35</f>
        <v>95.635581832840629</v>
      </c>
    </row>
    <row r="36" spans="1:7" x14ac:dyDescent="0.3">
      <c r="A36">
        <f t="shared" si="0"/>
        <v>2024</v>
      </c>
      <c r="B36">
        <f>RCT!D36</f>
        <v>91.109362706530291</v>
      </c>
      <c r="C36">
        <f>CT!D36</f>
        <v>94.47115384615384</v>
      </c>
      <c r="D36">
        <f>META!D36</f>
        <v>93.568396996408751</v>
      </c>
      <c r="E36">
        <f>REVIEW!D36</f>
        <v>92.205196535642912</v>
      </c>
      <c r="F36">
        <f>CCJ!D36</f>
        <v>95.442255697180371</v>
      </c>
      <c r="G36">
        <f>ALL!D36</f>
        <v>95.717139978483232</v>
      </c>
    </row>
    <row r="37" spans="1:7" x14ac:dyDescent="0.3">
      <c r="A37">
        <v>2025</v>
      </c>
      <c r="B37">
        <f>RCT!D37</f>
        <v>90.913415794481438</v>
      </c>
      <c r="C37">
        <f>CT!D37</f>
        <v>95.652173913043484</v>
      </c>
      <c r="D37">
        <f>META!D37</f>
        <v>92.038078753786237</v>
      </c>
      <c r="E37">
        <f>REVIEW!D37</f>
        <v>92.341941228851283</v>
      </c>
      <c r="F37">
        <f>CCJ!D37</f>
        <v>94.108684611477912</v>
      </c>
      <c r="G37">
        <f>ALL!D37</f>
        <v>95.976875419281001</v>
      </c>
    </row>
    <row r="38" spans="1:7" x14ac:dyDescent="0.3">
      <c r="A38" t="s">
        <v>9</v>
      </c>
      <c r="B38">
        <f>RCT!D38</f>
        <v>0</v>
      </c>
      <c r="C38">
        <f>CT!D38</f>
        <v>0</v>
      </c>
      <c r="D38">
        <f>META!D38</f>
        <v>0</v>
      </c>
      <c r="E38">
        <f>REVIEW!D38</f>
        <v>0</v>
      </c>
      <c r="F38">
        <f>CCJ!D38</f>
        <v>0</v>
      </c>
      <c r="G38">
        <f>ALL!D38</f>
        <v>0</v>
      </c>
    </row>
    <row r="39" spans="1:7" x14ac:dyDescent="0.3">
      <c r="A39" t="s">
        <v>7</v>
      </c>
      <c r="B39">
        <f>RCT!D39</f>
        <v>100</v>
      </c>
      <c r="C39">
        <f>CT!D39</f>
        <v>100</v>
      </c>
      <c r="D39" t="e">
        <f>META!D39</f>
        <v>#DIV/0!</v>
      </c>
      <c r="E39" t="e">
        <f>REVIEW!D39</f>
        <v>#DIV/0!</v>
      </c>
      <c r="F39" t="e">
        <f>CCJ!D39</f>
        <v>#DIV/0!</v>
      </c>
      <c r="G39">
        <f>ALL!D39</f>
        <v>98.591549295774655</v>
      </c>
    </row>
    <row r="40" spans="1:7" x14ac:dyDescent="0.3">
      <c r="A40" t="s">
        <v>8</v>
      </c>
      <c r="B40">
        <f>RCT!D40</f>
        <v>66.666666666666657</v>
      </c>
      <c r="C40">
        <f>CT!D40</f>
        <v>75</v>
      </c>
      <c r="D40" t="e">
        <f>META!D40</f>
        <v>#DIV/0!</v>
      </c>
      <c r="E40" t="e">
        <f>REVIEW!D40</f>
        <v>#DIV/0!</v>
      </c>
      <c r="F40" t="e">
        <f>CCJ!D40</f>
        <v>#DIV/0!</v>
      </c>
      <c r="G40">
        <f>ALL!D40</f>
        <v>93.624161073825505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533F-4400-7C4F-8D08-3AA3EF037CC0}">
  <dimension ref="I1:AS47"/>
  <sheetViews>
    <sheetView tabSelected="1" topLeftCell="I19" zoomScaleNormal="100" workbookViewId="0">
      <selection activeCell="W13" sqref="W13"/>
    </sheetView>
  </sheetViews>
  <sheetFormatPr defaultColWidth="11.44140625" defaultRowHeight="17.25" x14ac:dyDescent="0.3"/>
  <cols>
    <col min="1" max="8" width="0" hidden="1" customWidth="1"/>
  </cols>
  <sheetData>
    <row r="1" spans="9:45" x14ac:dyDescent="0.3">
      <c r="I1" t="str">
        <f>NEWagg!K1</f>
        <v>Year</v>
      </c>
      <c r="J1">
        <f>NEWagg!L1</f>
        <v>1990</v>
      </c>
      <c r="K1">
        <f>NEWagg!M1</f>
        <v>1991</v>
      </c>
      <c r="L1">
        <f>NEWagg!N1</f>
        <v>1992</v>
      </c>
      <c r="M1">
        <f>NEWagg!O1</f>
        <v>1993</v>
      </c>
      <c r="N1">
        <f>NEWagg!P1</f>
        <v>1994</v>
      </c>
      <c r="O1">
        <f>NEWagg!Q1</f>
        <v>1995</v>
      </c>
      <c r="P1">
        <f>NEWagg!R1</f>
        <v>1996</v>
      </c>
      <c r="Q1">
        <f>NEWagg!S1</f>
        <v>1997</v>
      </c>
      <c r="R1">
        <f>NEWagg!T1</f>
        <v>1998</v>
      </c>
      <c r="S1">
        <f>NEWagg!U1</f>
        <v>1999</v>
      </c>
      <c r="T1">
        <f>NEWagg!V1</f>
        <v>2000</v>
      </c>
      <c r="U1">
        <f>NEWagg!W1</f>
        <v>2001</v>
      </c>
      <c r="V1">
        <f>NEWagg!X1</f>
        <v>2002</v>
      </c>
      <c r="W1">
        <f>NEWagg!Y1</f>
        <v>2003</v>
      </c>
      <c r="X1">
        <f>NEWagg!Z1</f>
        <v>2004</v>
      </c>
      <c r="Y1">
        <f>NEWagg!AA1</f>
        <v>2005</v>
      </c>
      <c r="Z1">
        <f>NEWagg!AB1</f>
        <v>2006</v>
      </c>
      <c r="AA1">
        <f>NEWagg!AC1</f>
        <v>2007</v>
      </c>
      <c r="AB1">
        <f>NEWagg!AD1</f>
        <v>2008</v>
      </c>
      <c r="AC1">
        <f>NEWagg!AE1</f>
        <v>2009</v>
      </c>
      <c r="AD1">
        <f>NEWagg!AF1</f>
        <v>2010</v>
      </c>
      <c r="AE1">
        <f>NEWagg!AG1</f>
        <v>2011</v>
      </c>
      <c r="AF1">
        <f>NEWagg!AH1</f>
        <v>2012</v>
      </c>
      <c r="AG1">
        <f>NEWagg!AI1</f>
        <v>2013</v>
      </c>
      <c r="AH1">
        <f>NEWagg!AJ1</f>
        <v>2014</v>
      </c>
      <c r="AI1">
        <f>NEWagg!AK1</f>
        <v>2015</v>
      </c>
      <c r="AJ1">
        <f>NEWagg!AL1</f>
        <v>2016</v>
      </c>
      <c r="AK1">
        <f>NEWagg!AM1</f>
        <v>2017</v>
      </c>
      <c r="AL1">
        <f>NEWagg!AN1</f>
        <v>2018</v>
      </c>
      <c r="AM1">
        <f>NEWagg!AO1</f>
        <v>2019</v>
      </c>
      <c r="AN1">
        <f>NEWagg!AP1</f>
        <v>2020</v>
      </c>
      <c r="AO1">
        <f>NEWagg!AQ1</f>
        <v>2021</v>
      </c>
      <c r="AP1">
        <f>NEWagg!AR1</f>
        <v>2022</v>
      </c>
      <c r="AQ1">
        <f>NEWagg!AS1</f>
        <v>2023</v>
      </c>
      <c r="AR1">
        <f>NEWagg!AT1</f>
        <v>2024</v>
      </c>
      <c r="AS1">
        <f>NEWagg!AU1</f>
        <v>2025</v>
      </c>
    </row>
    <row r="2" spans="9:45" x14ac:dyDescent="0.3">
      <c r="I2" t="str">
        <f>NEWagg!K2</f>
        <v>Randomized controlled trial</v>
      </c>
      <c r="M2">
        <f>NEWagg!O2</f>
        <v>100</v>
      </c>
      <c r="N2">
        <f>NEWagg!P2</f>
        <v>89.473684210526315</v>
      </c>
      <c r="O2">
        <f>NEWagg!Q2</f>
        <v>86.666666666666671</v>
      </c>
      <c r="P2">
        <f>NEWagg!R2</f>
        <v>84.210526315789465</v>
      </c>
      <c r="Q2">
        <f>NEWagg!S2</f>
        <v>88.235294117647058</v>
      </c>
      <c r="R2">
        <f>NEWagg!T2</f>
        <v>85.18518518518519</v>
      </c>
      <c r="S2">
        <f>NEWagg!U2</f>
        <v>87.5</v>
      </c>
      <c r="T2">
        <f>NEWagg!V2</f>
        <v>85.714285714285708</v>
      </c>
      <c r="U2">
        <f>NEWagg!W2</f>
        <v>76.470588235294116</v>
      </c>
      <c r="V2">
        <f>NEWagg!X2</f>
        <v>88.571428571428569</v>
      </c>
      <c r="W2">
        <f>NEWagg!Y2</f>
        <v>88.888888888888886</v>
      </c>
      <c r="X2">
        <f>NEWagg!Z2</f>
        <v>87.323943661971825</v>
      </c>
      <c r="Y2">
        <f>NEWagg!AA2</f>
        <v>92.391304347826093</v>
      </c>
      <c r="Z2">
        <f>NEWagg!AB2</f>
        <v>88.888888888888886</v>
      </c>
      <c r="AA2">
        <f>NEWagg!AC2</f>
        <v>89.49771689497716</v>
      </c>
      <c r="AB2">
        <f>NEWagg!AD2</f>
        <v>89.795918367346943</v>
      </c>
      <c r="AC2">
        <f>NEWagg!AE2</f>
        <v>89.578713968957871</v>
      </c>
      <c r="AD2">
        <f>NEWagg!AF2</f>
        <v>92.282958199356912</v>
      </c>
      <c r="AE2">
        <f>NEWagg!AG2</f>
        <v>90.734055354993984</v>
      </c>
      <c r="AF2">
        <f>NEWagg!AH2</f>
        <v>92.447129909365557</v>
      </c>
      <c r="AG2">
        <f>NEWagg!AI2</f>
        <v>91.095406360424022</v>
      </c>
      <c r="AH2">
        <f>NEWagg!AJ2</f>
        <v>91.991101223581765</v>
      </c>
      <c r="AI2">
        <f>NEWagg!AK2</f>
        <v>90.882061446977204</v>
      </c>
      <c r="AJ2">
        <f>NEWagg!AL2</f>
        <v>91.706888986397544</v>
      </c>
      <c r="AK2">
        <f>NEWagg!AM2</f>
        <v>91.152922337870308</v>
      </c>
      <c r="AL2">
        <f>NEWagg!AN2</f>
        <v>90.636565507031833</v>
      </c>
      <c r="AM2">
        <f>NEWagg!AO2</f>
        <v>90.759819703799096</v>
      </c>
      <c r="AN2">
        <f>NEWagg!AP2</f>
        <v>90.425247392350897</v>
      </c>
      <c r="AO2">
        <f>NEWagg!AQ2</f>
        <v>90.611696168496522</v>
      </c>
      <c r="AP2">
        <f>NEWagg!AR2</f>
        <v>91.116088092571857</v>
      </c>
      <c r="AQ2">
        <f>NEWagg!AS2</f>
        <v>90.074107343364034</v>
      </c>
      <c r="AR2">
        <f>NEWagg!AT2</f>
        <v>91.109362706530291</v>
      </c>
      <c r="AS2">
        <f>NEWagg!AU2</f>
        <v>90.913415794481438</v>
      </c>
    </row>
    <row r="3" spans="9:45" x14ac:dyDescent="0.3">
      <c r="I3" t="str">
        <f>NEWagg!K3</f>
        <v>Clinical trial</v>
      </c>
      <c r="M3">
        <f>NEWagg!O3</f>
        <v>95.652173913043484</v>
      </c>
      <c r="N3">
        <f>NEWagg!P3</f>
        <v>93.939393939393938</v>
      </c>
      <c r="O3">
        <f>NEWagg!Q3</f>
        <v>88.461538461538453</v>
      </c>
      <c r="P3">
        <f>NEWagg!R3</f>
        <v>88.888888888888886</v>
      </c>
      <c r="Q3">
        <f>NEWagg!S3</f>
        <v>90.625</v>
      </c>
      <c r="R3">
        <f>NEWagg!T3</f>
        <v>89.583333333333343</v>
      </c>
      <c r="S3">
        <f>NEWagg!U3</f>
        <v>92.5</v>
      </c>
      <c r="T3">
        <f>NEWagg!V3</f>
        <v>90.243902439024396</v>
      </c>
      <c r="U3">
        <f>NEWagg!W3</f>
        <v>86.666666666666671</v>
      </c>
      <c r="V3">
        <f>NEWagg!X3</f>
        <v>91.489361702127653</v>
      </c>
      <c r="W3">
        <f>NEWagg!Y3</f>
        <v>93.442622950819683</v>
      </c>
      <c r="X3">
        <f>NEWagg!Z3</f>
        <v>91.869918699186996</v>
      </c>
      <c r="Y3">
        <f>NEWagg!AA3</f>
        <v>95.121951219512198</v>
      </c>
      <c r="Z3">
        <f>NEWagg!AB3</f>
        <v>96.721311475409834</v>
      </c>
      <c r="AA3">
        <f>NEWagg!AC3</f>
        <v>93.103448275862064</v>
      </c>
      <c r="AB3">
        <f>NEWagg!AD3</f>
        <v>96.103896103896105</v>
      </c>
      <c r="AC3">
        <f>NEWagg!AE3</f>
        <v>98.979591836734699</v>
      </c>
      <c r="AD3">
        <f>NEWagg!AF3</f>
        <v>96.875</v>
      </c>
      <c r="AE3">
        <f>NEWagg!AG3</f>
        <v>96.33507853403141</v>
      </c>
      <c r="AF3">
        <f>NEWagg!AH3</f>
        <v>96.036585365853654</v>
      </c>
      <c r="AG3">
        <f>NEWagg!AI3</f>
        <v>97.245762711864401</v>
      </c>
      <c r="AH3">
        <f>NEWagg!AJ3</f>
        <v>96.545454545454547</v>
      </c>
      <c r="AI3">
        <f>NEWagg!AK3</f>
        <v>96.768707482993193</v>
      </c>
      <c r="AJ3">
        <f>NEWagg!AL3</f>
        <v>96.698113207547166</v>
      </c>
      <c r="AK3">
        <f>NEWagg!AM3</f>
        <v>95.017793594306056</v>
      </c>
      <c r="AL3">
        <f>NEWagg!AN3</f>
        <v>96.21848739495799</v>
      </c>
      <c r="AM3">
        <f>NEWagg!AO3</f>
        <v>96.893667861409796</v>
      </c>
      <c r="AN3">
        <f>NEWagg!AP3</f>
        <v>96.614583333333343</v>
      </c>
      <c r="AO3">
        <f>NEWagg!AQ3</f>
        <v>95.338512763596</v>
      </c>
      <c r="AP3">
        <f>NEWagg!AR3</f>
        <v>94.781144781144775</v>
      </c>
      <c r="AQ3">
        <f>NEWagg!AS3</f>
        <v>93.40425531914893</v>
      </c>
      <c r="AR3">
        <f>NEWagg!AT3</f>
        <v>94.47115384615384</v>
      </c>
      <c r="AS3">
        <f>NEWagg!AU3</f>
        <v>95.652173913043484</v>
      </c>
    </row>
    <row r="4" spans="9:45" x14ac:dyDescent="0.3">
      <c r="I4" t="str">
        <f>NEWagg!K4</f>
        <v>Meta-analysis</v>
      </c>
      <c r="Y4">
        <f>NEWagg!AA4</f>
        <v>63.636363636363633</v>
      </c>
      <c r="Z4">
        <f>NEWagg!AB4</f>
        <v>83.333333333333343</v>
      </c>
      <c r="AA4">
        <f>NEWagg!AC4</f>
        <v>90.909090909090907</v>
      </c>
      <c r="AB4">
        <f>NEWagg!AD4</f>
        <v>79.545454545454547</v>
      </c>
      <c r="AC4">
        <f>NEWagg!AE4</f>
        <v>92.682926829268297</v>
      </c>
      <c r="AD4">
        <f>NEWagg!AF4</f>
        <v>88.181818181818187</v>
      </c>
      <c r="AE4">
        <f>NEWagg!AG4</f>
        <v>88.679245283018872</v>
      </c>
      <c r="AF4">
        <f>NEWagg!AH4</f>
        <v>89.375</v>
      </c>
      <c r="AG4">
        <f>NEWagg!AI4</f>
        <v>89.42652329749103</v>
      </c>
      <c r="AH4">
        <f>NEWagg!AJ4</f>
        <v>90.694626474442984</v>
      </c>
      <c r="AI4">
        <f>NEWagg!AK4</f>
        <v>90.835030549898164</v>
      </c>
      <c r="AJ4">
        <f>NEWagg!AL4</f>
        <v>91.457286432160799</v>
      </c>
      <c r="AK4">
        <f>NEWagg!AM4</f>
        <v>91.881638846737474</v>
      </c>
      <c r="AL4">
        <f>NEWagg!AN4</f>
        <v>89.705882352941174</v>
      </c>
      <c r="AM4">
        <f>NEWagg!AO4</f>
        <v>90.700557966522013</v>
      </c>
      <c r="AN4">
        <f>NEWagg!AP4</f>
        <v>92.260692464358456</v>
      </c>
      <c r="AO4">
        <f>NEWagg!AQ4</f>
        <v>92.182696530522605</v>
      </c>
      <c r="AP4">
        <f>NEWagg!AR4</f>
        <v>92.162351294611625</v>
      </c>
      <c r="AQ4">
        <f>NEWagg!AS4</f>
        <v>92.703716331401296</v>
      </c>
      <c r="AR4">
        <f>NEWagg!AT4</f>
        <v>93.568396996408751</v>
      </c>
      <c r="AS4">
        <f>NEWagg!AU4</f>
        <v>92.038078753786237</v>
      </c>
    </row>
    <row r="5" spans="9:45" x14ac:dyDescent="0.3">
      <c r="I5" t="str">
        <f>NEWagg!K5</f>
        <v>Review</v>
      </c>
      <c r="Z5">
        <f>NEWagg!AB5</f>
        <v>100</v>
      </c>
      <c r="AA5">
        <f>NEWagg!AC5</f>
        <v>92.857142857142861</v>
      </c>
      <c r="AB5">
        <f>NEWagg!AD5</f>
        <v>80</v>
      </c>
      <c r="AC5">
        <f>NEWagg!AE5</f>
        <v>95.833333333333343</v>
      </c>
      <c r="AD5">
        <f>NEWagg!AF5</f>
        <v>92.682926829268297</v>
      </c>
      <c r="AE5">
        <f>NEWagg!AG5</f>
        <v>91.228070175438589</v>
      </c>
      <c r="AF5">
        <f>NEWagg!AH5</f>
        <v>96.551724137931032</v>
      </c>
      <c r="AG5">
        <f>NEWagg!AI5</f>
        <v>91.452991452991455</v>
      </c>
      <c r="AH5">
        <f>NEWagg!AJ5</f>
        <v>92.523364485981304</v>
      </c>
      <c r="AI5">
        <f>NEWagg!AK5</f>
        <v>92.307692307692307</v>
      </c>
      <c r="AJ5">
        <f>NEWagg!AL5</f>
        <v>92.077087794432543</v>
      </c>
      <c r="AK5">
        <f>NEWagg!AM5</f>
        <v>89.837398373983731</v>
      </c>
      <c r="AL5">
        <f>NEWagg!AN5</f>
        <v>89.875389408099693</v>
      </c>
      <c r="AM5">
        <f>NEWagg!AO5</f>
        <v>90.451388888888886</v>
      </c>
      <c r="AN5">
        <f>NEWagg!AP5</f>
        <v>91.581632653061234</v>
      </c>
      <c r="AO5">
        <f>NEWagg!AQ5</f>
        <v>91.743892165122148</v>
      </c>
      <c r="AP5">
        <f>NEWagg!AR5</f>
        <v>92.239955971381391</v>
      </c>
      <c r="AQ5">
        <f>NEWagg!AS5</f>
        <v>90.984974958263777</v>
      </c>
      <c r="AR5">
        <f>NEWagg!AT5</f>
        <v>92.205196535642912</v>
      </c>
      <c r="AS5">
        <f>NEWagg!AU5</f>
        <v>92.341941228851283</v>
      </c>
    </row>
    <row r="6" spans="9:45" x14ac:dyDescent="0.3">
      <c r="I6" t="str">
        <f>NEWagg!K6</f>
        <v>Core clinical journal</v>
      </c>
      <c r="AA6">
        <f>NEWagg!AC6</f>
        <v>100</v>
      </c>
      <c r="AB6">
        <f>NEWagg!AD6</f>
        <v>96.8</v>
      </c>
      <c r="AC6">
        <f>NEWagg!AE6</f>
        <v>94.73684210526315</v>
      </c>
      <c r="AD6">
        <f>NEWagg!AF6</f>
        <v>94.661921708185048</v>
      </c>
      <c r="AE6">
        <f>NEWagg!AG6</f>
        <v>95.075757575757578</v>
      </c>
      <c r="AF6">
        <f>NEWagg!AH6</f>
        <v>92.660550458715591</v>
      </c>
      <c r="AG6">
        <f>NEWagg!AI6</f>
        <v>92.682926829268297</v>
      </c>
      <c r="AH6">
        <f>NEWagg!AJ6</f>
        <v>92.986425339366519</v>
      </c>
      <c r="AI6">
        <f>NEWagg!AK6</f>
        <v>95.307443365695789</v>
      </c>
      <c r="AJ6">
        <f>NEWagg!AL6</f>
        <v>95.304437564499494</v>
      </c>
      <c r="AK6">
        <f>NEWagg!AM6</f>
        <v>95.30463946338736</v>
      </c>
      <c r="AL6">
        <f>NEWagg!AN6</f>
        <v>93.808049535603715</v>
      </c>
      <c r="AM6">
        <f>NEWagg!AO6</f>
        <v>93.971291866028707</v>
      </c>
      <c r="AN6">
        <f>NEWagg!AP6</f>
        <v>94.549958711808429</v>
      </c>
      <c r="AO6">
        <f>NEWagg!AQ6</f>
        <v>94.629156010230176</v>
      </c>
      <c r="AP6">
        <f>NEWagg!AR6</f>
        <v>94.8874475391072</v>
      </c>
      <c r="AQ6">
        <f>NEWagg!AS6</f>
        <v>94.13949649195213</v>
      </c>
      <c r="AR6">
        <f>NEWagg!AT6</f>
        <v>95.442255697180371</v>
      </c>
      <c r="AS6">
        <f>NEWagg!AU6</f>
        <v>94.108684611477912</v>
      </c>
    </row>
    <row r="7" spans="9:45" x14ac:dyDescent="0.3">
      <c r="I7" t="str">
        <f>NEWagg!K7</f>
        <v>All MEDLINE</v>
      </c>
      <c r="J7">
        <f>NEWagg!L7</f>
        <v>95.744680851063833</v>
      </c>
      <c r="K7">
        <f>NEWagg!M7</f>
        <v>98.591549295774655</v>
      </c>
      <c r="L7">
        <f>NEWagg!N7</f>
        <v>97.241379310344826</v>
      </c>
      <c r="M7">
        <f>NEWagg!O7</f>
        <v>96</v>
      </c>
      <c r="N7">
        <f>NEWagg!P7</f>
        <v>97.872340425531917</v>
      </c>
      <c r="O7">
        <f>NEWagg!Q7</f>
        <v>96.017699115044252</v>
      </c>
      <c r="P7">
        <f>NEWagg!R7</f>
        <v>95.604395604395606</v>
      </c>
      <c r="Q7">
        <f>NEWagg!S7</f>
        <v>93.624161073825505</v>
      </c>
      <c r="R7">
        <f>NEWagg!T7</f>
        <v>95.195195195195197</v>
      </c>
      <c r="S7">
        <f>NEWagg!U7</f>
        <v>97.540983606557376</v>
      </c>
      <c r="T7">
        <f>NEWagg!V7</f>
        <v>94.986072423398326</v>
      </c>
      <c r="U7">
        <f>NEWagg!W7</f>
        <v>94.039735099337747</v>
      </c>
      <c r="V7">
        <f>NEWagg!X7</f>
        <v>95.787545787545795</v>
      </c>
      <c r="W7">
        <f>NEWagg!Y7</f>
        <v>95.710059171597635</v>
      </c>
      <c r="X7">
        <f>NEWagg!Z7</f>
        <v>94.216614090431122</v>
      </c>
      <c r="Y7">
        <f>NEWagg!AA7</f>
        <v>95.234657039711195</v>
      </c>
      <c r="Z7">
        <f>NEWagg!AB7</f>
        <v>94.655344655344649</v>
      </c>
      <c r="AA7">
        <f>NEWagg!AC7</f>
        <v>95.474452554744531</v>
      </c>
      <c r="AB7">
        <f>NEWagg!AD7</f>
        <v>95.329802599903715</v>
      </c>
      <c r="AC7">
        <f>NEWagg!AE7</f>
        <v>95.418257549461998</v>
      </c>
      <c r="AD7">
        <f>NEWagg!AF7</f>
        <v>95.525200188412626</v>
      </c>
      <c r="AE7">
        <f>NEWagg!AG7</f>
        <v>95.321493175464568</v>
      </c>
      <c r="AF7">
        <f>NEWagg!AH7</f>
        <v>95.959539510450426</v>
      </c>
      <c r="AG7">
        <f>NEWagg!AI7</f>
        <v>95.601391650099401</v>
      </c>
      <c r="AH7">
        <f>NEWagg!AJ7</f>
        <v>95.742282057233808</v>
      </c>
      <c r="AI7">
        <f>NEWagg!AK7</f>
        <v>95.613934894346087</v>
      </c>
      <c r="AJ7">
        <f>NEWagg!AL7</f>
        <v>95.665352390340061</v>
      </c>
      <c r="AK7">
        <f>NEWagg!AM7</f>
        <v>95.412011324098287</v>
      </c>
      <c r="AL7">
        <f>NEWagg!AN7</f>
        <v>95.348971796751414</v>
      </c>
      <c r="AM7">
        <f>NEWagg!AO7</f>
        <v>95.396490087747807</v>
      </c>
      <c r="AN7">
        <f>NEWagg!AP7</f>
        <v>95.591096008470615</v>
      </c>
      <c r="AO7">
        <f>NEWagg!AQ7</f>
        <v>95.645616289137777</v>
      </c>
      <c r="AP7">
        <f>NEWagg!AR7</f>
        <v>95.730829521097931</v>
      </c>
      <c r="AQ7">
        <f>NEWagg!AS7</f>
        <v>95.635581832840629</v>
      </c>
      <c r="AR7">
        <f>NEWagg!AT7</f>
        <v>95.717139978483232</v>
      </c>
      <c r="AS7">
        <f>NEWagg!AU7</f>
        <v>95.976875419281001</v>
      </c>
    </row>
    <row r="8" spans="9:45" x14ac:dyDescent="0.3">
      <c r="I8" t="str">
        <f>NEWagg!K8</f>
        <v>Observational study</v>
      </c>
      <c r="AF8">
        <f>NEWagg!AH8</f>
        <v>93.103448275862064</v>
      </c>
      <c r="AG8">
        <f>NEWagg!AI8</f>
        <v>97.959183673469383</v>
      </c>
      <c r="AH8">
        <f>NEWagg!AJ8</f>
        <v>96.735905044510389</v>
      </c>
      <c r="AI8">
        <f>NEWagg!AK8</f>
        <v>95.746455379482896</v>
      </c>
      <c r="AJ8">
        <f>NEWagg!AL8</f>
        <v>95.977011494252878</v>
      </c>
      <c r="AK8">
        <f>NEWagg!AM8</f>
        <v>96.442914515203668</v>
      </c>
      <c r="AL8">
        <f>NEWagg!AN8</f>
        <v>95.410005157297576</v>
      </c>
      <c r="AM8">
        <f>NEWagg!AO8</f>
        <v>95.840336134453779</v>
      </c>
      <c r="AN8">
        <f>NEWagg!AP8</f>
        <v>95.87866798549291</v>
      </c>
      <c r="AO8">
        <f>NEWagg!AQ8</f>
        <v>95.844649646931018</v>
      </c>
      <c r="AP8">
        <f>NEWagg!AR8</f>
        <v>95.68993245416533</v>
      </c>
      <c r="AQ8">
        <f>NEWagg!AS8</f>
        <v>95.914542728635681</v>
      </c>
      <c r="AR8">
        <f>NEWagg!AT8</f>
        <v>95.382782246053026</v>
      </c>
      <c r="AS8">
        <f>NEWagg!AU8</f>
        <v>95.220338983050851</v>
      </c>
    </row>
    <row r="9" spans="9:45" x14ac:dyDescent="0.3">
      <c r="I9" t="str">
        <f>NEWagg!K9</f>
        <v>Systematic review</v>
      </c>
      <c r="Z9">
        <f>NEWagg!AB9</f>
        <v>90.909090909090907</v>
      </c>
      <c r="AA9">
        <f>NEWagg!AC9</f>
        <v>84.615384615384613</v>
      </c>
      <c r="AB9">
        <f>NEWagg!AD9</f>
        <v>85.714285714285708</v>
      </c>
      <c r="AC9">
        <f>NEWagg!AE9</f>
        <v>88.235294117647058</v>
      </c>
      <c r="AD9">
        <f>NEWagg!AF9</f>
        <v>87.719298245614027</v>
      </c>
      <c r="AE9">
        <f>NEWagg!AG9</f>
        <v>87.692307692307693</v>
      </c>
      <c r="AF9">
        <f>NEWagg!AH9</f>
        <v>83.898305084745758</v>
      </c>
      <c r="AG9">
        <f>NEWagg!AI9</f>
        <v>90.77669902912622</v>
      </c>
      <c r="AH9">
        <f>NEWagg!AJ9</f>
        <v>89.556962025316452</v>
      </c>
      <c r="AI9">
        <f>NEWagg!AK9</f>
        <v>90.570175438596493</v>
      </c>
      <c r="AJ9">
        <f>NEWagg!AL9</f>
        <v>88.908145580589263</v>
      </c>
      <c r="AK9">
        <f>NEWagg!AM9</f>
        <v>91.202346041055719</v>
      </c>
      <c r="AL9">
        <f>NEWagg!AN9</f>
        <v>89.494163424124523</v>
      </c>
      <c r="AM9">
        <f>NEWagg!AO9</f>
        <v>90.84615384615384</v>
      </c>
      <c r="AN9">
        <f>NEWagg!AP9</f>
        <v>92.748538011695899</v>
      </c>
      <c r="AO9">
        <f>NEWagg!AQ9</f>
        <v>92.396218660090426</v>
      </c>
      <c r="AP9">
        <f>NEWagg!AR9</f>
        <v>92.526017029328287</v>
      </c>
      <c r="AQ9">
        <f>NEWagg!AS9</f>
        <v>92.839678658749563</v>
      </c>
      <c r="AR9">
        <f>NEWagg!AT9</f>
        <v>93.787515006002394</v>
      </c>
      <c r="AS9">
        <f>NEWagg!AU9</f>
        <v>92.559188275084551</v>
      </c>
    </row>
    <row r="12" spans="9:45" x14ac:dyDescent="0.3">
      <c r="W12" t="s">
        <v>13</v>
      </c>
    </row>
    <row r="47" spans="12:12" ht="18" customHeight="1" x14ac:dyDescent="0.3">
      <c r="L47" s="1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2C4D9-8136-4D86-812B-9D1196D24A25}">
  <dimension ref="A1:AU40"/>
  <sheetViews>
    <sheetView zoomScale="85" zoomScaleNormal="85" workbookViewId="0">
      <selection activeCell="K1" sqref="K1:AU9"/>
    </sheetView>
  </sheetViews>
  <sheetFormatPr defaultRowHeight="17.25" x14ac:dyDescent="0.3"/>
  <sheetData>
    <row r="1" spans="1:47" x14ac:dyDescent="0.3">
      <c r="A1" t="s">
        <v>0</v>
      </c>
      <c r="B1" t="s">
        <v>10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12</v>
      </c>
      <c r="K1" t="str" cm="1">
        <f t="array" ref="K1:AU9">TRANSPOSE(A1:I37)</f>
        <v>Year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  <c r="AS1">
        <v>2023</v>
      </c>
      <c r="AT1">
        <v>2024</v>
      </c>
      <c r="AU1">
        <v>2025</v>
      </c>
    </row>
    <row r="2" spans="1:47" x14ac:dyDescent="0.3">
      <c r="A2">
        <v>1990</v>
      </c>
      <c r="B2">
        <f>RCT!D2</f>
        <v>66.666666666666657</v>
      </c>
      <c r="C2">
        <f>CT!D2</f>
        <v>75</v>
      </c>
      <c r="D2" t="e">
        <f>META!D2</f>
        <v>#DIV/0!</v>
      </c>
      <c r="E2">
        <f>REVIEW!D2</f>
        <v>100</v>
      </c>
      <c r="F2">
        <f>CCJ!D2</f>
        <v>100</v>
      </c>
      <c r="G2">
        <f>ALL!D2</f>
        <v>95.744680851063833</v>
      </c>
      <c r="H2" t="e">
        <f>OBS!D2</f>
        <v>#DIV/0!</v>
      </c>
      <c r="I2" t="e">
        <f>SYSREV!D2</f>
        <v>#DIV/0!</v>
      </c>
      <c r="K2" t="str">
        <v>Randomized controlled trial</v>
      </c>
      <c r="L2">
        <v>66.666666666666657</v>
      </c>
      <c r="M2">
        <v>100</v>
      </c>
      <c r="N2">
        <v>100</v>
      </c>
      <c r="O2">
        <v>100</v>
      </c>
      <c r="P2">
        <v>89.473684210526315</v>
      </c>
      <c r="Q2">
        <v>86.666666666666671</v>
      </c>
      <c r="R2">
        <v>84.210526315789465</v>
      </c>
      <c r="S2">
        <v>88.235294117647058</v>
      </c>
      <c r="T2">
        <v>85.18518518518519</v>
      </c>
      <c r="U2">
        <v>87.5</v>
      </c>
      <c r="V2">
        <v>85.714285714285708</v>
      </c>
      <c r="W2">
        <v>76.470588235294116</v>
      </c>
      <c r="X2">
        <v>88.571428571428569</v>
      </c>
      <c r="Y2">
        <v>88.888888888888886</v>
      </c>
      <c r="Z2">
        <v>87.323943661971825</v>
      </c>
      <c r="AA2">
        <v>92.391304347826093</v>
      </c>
      <c r="AB2">
        <v>88.888888888888886</v>
      </c>
      <c r="AC2">
        <v>89.49771689497716</v>
      </c>
      <c r="AD2">
        <v>89.795918367346943</v>
      </c>
      <c r="AE2">
        <v>89.578713968957871</v>
      </c>
      <c r="AF2">
        <v>92.282958199356912</v>
      </c>
      <c r="AG2">
        <v>90.734055354993984</v>
      </c>
      <c r="AH2">
        <v>92.447129909365557</v>
      </c>
      <c r="AI2">
        <v>91.095406360424022</v>
      </c>
      <c r="AJ2">
        <v>91.991101223581765</v>
      </c>
      <c r="AK2">
        <v>90.882061446977204</v>
      </c>
      <c r="AL2">
        <v>91.706888986397544</v>
      </c>
      <c r="AM2">
        <v>91.152922337870308</v>
      </c>
      <c r="AN2">
        <v>90.636565507031833</v>
      </c>
      <c r="AO2">
        <v>90.759819703799096</v>
      </c>
      <c r="AP2">
        <v>90.425247392350897</v>
      </c>
      <c r="AQ2">
        <v>90.611696168496522</v>
      </c>
      <c r="AR2">
        <v>91.116088092571857</v>
      </c>
      <c r="AS2">
        <v>90.074107343364034</v>
      </c>
      <c r="AT2">
        <v>91.109362706530291</v>
      </c>
      <c r="AU2">
        <v>90.913415794481438</v>
      </c>
    </row>
    <row r="3" spans="1:47" x14ac:dyDescent="0.3">
      <c r="A3">
        <v>1991</v>
      </c>
      <c r="B3">
        <f>RCT!D3</f>
        <v>100</v>
      </c>
      <c r="C3">
        <f>CT!D3</f>
        <v>100</v>
      </c>
      <c r="D3" t="e">
        <f>META!D3</f>
        <v>#DIV/0!</v>
      </c>
      <c r="E3">
        <f>REVIEW!D3</f>
        <v>100</v>
      </c>
      <c r="F3">
        <f>CCJ!D3</f>
        <v>100</v>
      </c>
      <c r="G3">
        <f>ALL!D3</f>
        <v>98.591549295774655</v>
      </c>
      <c r="H3" t="e">
        <f>OBS!D3</f>
        <v>#DIV/0!</v>
      </c>
      <c r="I3" t="e">
        <f>SYSREV!D3</f>
        <v>#DIV/0!</v>
      </c>
      <c r="K3" t="str">
        <v>Clinical trial</v>
      </c>
      <c r="L3">
        <v>75</v>
      </c>
      <c r="M3">
        <v>100</v>
      </c>
      <c r="N3">
        <v>100</v>
      </c>
      <c r="O3">
        <v>95.652173913043484</v>
      </c>
      <c r="P3">
        <v>93.939393939393938</v>
      </c>
      <c r="Q3">
        <v>88.461538461538453</v>
      </c>
      <c r="R3">
        <v>88.888888888888886</v>
      </c>
      <c r="S3">
        <v>90.625</v>
      </c>
      <c r="T3">
        <v>89.583333333333343</v>
      </c>
      <c r="U3">
        <v>92.5</v>
      </c>
      <c r="V3">
        <v>90.243902439024396</v>
      </c>
      <c r="W3">
        <v>86.666666666666671</v>
      </c>
      <c r="X3">
        <v>91.489361702127653</v>
      </c>
      <c r="Y3">
        <v>93.442622950819683</v>
      </c>
      <c r="Z3">
        <v>91.869918699186996</v>
      </c>
      <c r="AA3">
        <v>95.121951219512198</v>
      </c>
      <c r="AB3">
        <v>96.721311475409834</v>
      </c>
      <c r="AC3">
        <v>93.103448275862064</v>
      </c>
      <c r="AD3">
        <v>96.103896103896105</v>
      </c>
      <c r="AE3">
        <v>98.979591836734699</v>
      </c>
      <c r="AF3">
        <v>96.875</v>
      </c>
      <c r="AG3">
        <v>96.33507853403141</v>
      </c>
      <c r="AH3">
        <v>96.036585365853654</v>
      </c>
      <c r="AI3">
        <v>97.245762711864401</v>
      </c>
      <c r="AJ3">
        <v>96.545454545454547</v>
      </c>
      <c r="AK3">
        <v>96.768707482993193</v>
      </c>
      <c r="AL3">
        <v>96.698113207547166</v>
      </c>
      <c r="AM3">
        <v>95.017793594306056</v>
      </c>
      <c r="AN3">
        <v>96.21848739495799</v>
      </c>
      <c r="AO3">
        <v>96.893667861409796</v>
      </c>
      <c r="AP3">
        <v>96.614583333333343</v>
      </c>
      <c r="AQ3">
        <v>95.338512763596</v>
      </c>
      <c r="AR3">
        <v>94.781144781144775</v>
      </c>
      <c r="AS3">
        <v>93.40425531914893</v>
      </c>
      <c r="AT3">
        <v>94.47115384615384</v>
      </c>
      <c r="AU3">
        <v>95.652173913043484</v>
      </c>
    </row>
    <row r="4" spans="1:47" x14ac:dyDescent="0.3">
      <c r="A4">
        <f>A2+2</f>
        <v>1992</v>
      </c>
      <c r="B4">
        <f>RCT!D4</f>
        <v>100</v>
      </c>
      <c r="C4">
        <f>CT!D4</f>
        <v>100</v>
      </c>
      <c r="D4" t="e">
        <f>META!D4</f>
        <v>#DIV/0!</v>
      </c>
      <c r="E4" t="e">
        <f>REVIEW!D4</f>
        <v>#DIV/0!</v>
      </c>
      <c r="F4" t="e">
        <f>CCJ!D4</f>
        <v>#DIV/0!</v>
      </c>
      <c r="G4">
        <f>ALL!D4</f>
        <v>97.241379310344826</v>
      </c>
      <c r="H4" t="e">
        <f>OBS!D4</f>
        <v>#DIV/0!</v>
      </c>
      <c r="I4" t="e">
        <f>SYSREV!D4</f>
        <v>#DIV/0!</v>
      </c>
      <c r="K4" t="str">
        <v>Meta-analysis</v>
      </c>
      <c r="L4" t="e">
        <v>#DIV/0!</v>
      </c>
      <c r="M4" t="e">
        <v>#DIV/0!</v>
      </c>
      <c r="N4" t="e">
        <v>#DIV/0!</v>
      </c>
      <c r="O4" t="e">
        <v>#DIV/0!</v>
      </c>
      <c r="P4">
        <v>100</v>
      </c>
      <c r="Q4">
        <v>100</v>
      </c>
      <c r="R4" t="e">
        <v>#DIV/0!</v>
      </c>
      <c r="S4">
        <v>100</v>
      </c>
      <c r="T4" t="e">
        <v>#DIV/0!</v>
      </c>
      <c r="U4" t="e">
        <v>#DIV/0!</v>
      </c>
      <c r="V4">
        <v>100</v>
      </c>
      <c r="W4">
        <v>66.666666666666657</v>
      </c>
      <c r="X4">
        <v>100</v>
      </c>
      <c r="Y4">
        <v>75</v>
      </c>
      <c r="Z4">
        <v>75</v>
      </c>
      <c r="AA4">
        <v>63.636363636363633</v>
      </c>
      <c r="AB4">
        <v>83.333333333333343</v>
      </c>
      <c r="AC4">
        <v>90.909090909090907</v>
      </c>
      <c r="AD4">
        <v>79.545454545454547</v>
      </c>
      <c r="AE4">
        <v>92.682926829268297</v>
      </c>
      <c r="AF4">
        <v>88.181818181818187</v>
      </c>
      <c r="AG4">
        <v>88.679245283018872</v>
      </c>
      <c r="AH4">
        <v>89.375</v>
      </c>
      <c r="AI4">
        <v>89.42652329749103</v>
      </c>
      <c r="AJ4">
        <v>90.694626474442984</v>
      </c>
      <c r="AK4">
        <v>90.835030549898164</v>
      </c>
      <c r="AL4">
        <v>91.457286432160799</v>
      </c>
      <c r="AM4">
        <v>91.881638846737474</v>
      </c>
      <c r="AN4">
        <v>89.705882352941174</v>
      </c>
      <c r="AO4">
        <v>90.700557966522013</v>
      </c>
      <c r="AP4">
        <v>92.260692464358456</v>
      </c>
      <c r="AQ4">
        <v>92.182696530522605</v>
      </c>
      <c r="AR4">
        <v>92.162351294611625</v>
      </c>
      <c r="AS4">
        <v>92.703716331401296</v>
      </c>
      <c r="AT4">
        <v>93.568396996408751</v>
      </c>
      <c r="AU4">
        <v>92.038078753786237</v>
      </c>
    </row>
    <row r="5" spans="1:47" x14ac:dyDescent="0.3">
      <c r="A5">
        <f t="shared" ref="A5:A36" si="0">A3+2</f>
        <v>1993</v>
      </c>
      <c r="B5">
        <f>RCT!D5</f>
        <v>100</v>
      </c>
      <c r="C5">
        <f>CT!D5</f>
        <v>95.652173913043484</v>
      </c>
      <c r="D5" t="e">
        <f>META!D5</f>
        <v>#DIV/0!</v>
      </c>
      <c r="E5">
        <f>REVIEW!D5</f>
        <v>100</v>
      </c>
      <c r="F5" t="e">
        <f>CCJ!D5</f>
        <v>#DIV/0!</v>
      </c>
      <c r="G5">
        <f>ALL!D5</f>
        <v>96</v>
      </c>
      <c r="H5" t="e">
        <f>OBS!D5</f>
        <v>#DIV/0!</v>
      </c>
      <c r="I5" t="e">
        <f>SYSREV!D5</f>
        <v>#DIV/0!</v>
      </c>
      <c r="K5" t="str">
        <v>Review</v>
      </c>
      <c r="L5">
        <v>100</v>
      </c>
      <c r="M5">
        <v>100</v>
      </c>
      <c r="N5" t="e">
        <v>#DIV/0!</v>
      </c>
      <c r="O5">
        <v>100</v>
      </c>
      <c r="P5">
        <v>100</v>
      </c>
      <c r="Q5">
        <v>100</v>
      </c>
      <c r="R5" t="e">
        <v>#DIV/0!</v>
      </c>
      <c r="S5">
        <v>100</v>
      </c>
      <c r="T5">
        <v>100</v>
      </c>
      <c r="U5">
        <v>100</v>
      </c>
      <c r="V5">
        <v>100</v>
      </c>
      <c r="W5">
        <v>100</v>
      </c>
      <c r="X5" t="e">
        <v>#DIV/0!</v>
      </c>
      <c r="Y5">
        <v>100</v>
      </c>
      <c r="Z5">
        <v>87.5</v>
      </c>
      <c r="AA5">
        <v>100</v>
      </c>
      <c r="AB5">
        <v>100</v>
      </c>
      <c r="AC5">
        <v>92.857142857142861</v>
      </c>
      <c r="AD5">
        <v>80</v>
      </c>
      <c r="AE5">
        <v>95.833333333333343</v>
      </c>
      <c r="AF5">
        <v>92.682926829268297</v>
      </c>
      <c r="AG5">
        <v>91.228070175438589</v>
      </c>
      <c r="AH5">
        <v>96.551724137931032</v>
      </c>
      <c r="AI5">
        <v>91.452991452991455</v>
      </c>
      <c r="AJ5">
        <v>92.523364485981304</v>
      </c>
      <c r="AK5">
        <v>92.307692307692307</v>
      </c>
      <c r="AL5">
        <v>92.077087794432543</v>
      </c>
      <c r="AM5">
        <v>89.837398373983731</v>
      </c>
      <c r="AN5">
        <v>89.875389408099693</v>
      </c>
      <c r="AO5">
        <v>90.451388888888886</v>
      </c>
      <c r="AP5">
        <v>91.581632653061234</v>
      </c>
      <c r="AQ5">
        <v>91.743892165122148</v>
      </c>
      <c r="AR5">
        <v>92.239955971381391</v>
      </c>
      <c r="AS5">
        <v>90.984974958263777</v>
      </c>
      <c r="AT5">
        <v>92.205196535642912</v>
      </c>
      <c r="AU5">
        <v>92.341941228851283</v>
      </c>
    </row>
    <row r="6" spans="1:47" x14ac:dyDescent="0.3">
      <c r="A6">
        <f t="shared" si="0"/>
        <v>1994</v>
      </c>
      <c r="B6">
        <f>RCT!D6</f>
        <v>89.473684210526315</v>
      </c>
      <c r="C6">
        <f>CT!D6</f>
        <v>93.939393939393938</v>
      </c>
      <c r="D6">
        <f>META!D6</f>
        <v>100</v>
      </c>
      <c r="E6">
        <f>REVIEW!D6</f>
        <v>100</v>
      </c>
      <c r="F6" t="e">
        <f>CCJ!D6</f>
        <v>#DIV/0!</v>
      </c>
      <c r="G6">
        <f>ALL!D6</f>
        <v>97.872340425531917</v>
      </c>
      <c r="H6" t="e">
        <f>OBS!D6</f>
        <v>#DIV/0!</v>
      </c>
      <c r="I6" t="e">
        <f>SYSREV!D6</f>
        <v>#DIV/0!</v>
      </c>
      <c r="K6" t="str">
        <v>Core clinical journal</v>
      </c>
      <c r="L6">
        <v>100</v>
      </c>
      <c r="M6">
        <v>100</v>
      </c>
      <c r="N6" t="e">
        <v>#DIV/0!</v>
      </c>
      <c r="O6" t="e">
        <v>#DIV/0!</v>
      </c>
      <c r="P6" t="e">
        <v>#DIV/0!</v>
      </c>
      <c r="Q6" t="e">
        <v>#DIV/0!</v>
      </c>
      <c r="R6" t="e">
        <v>#DIV/0!</v>
      </c>
      <c r="S6">
        <v>100</v>
      </c>
      <c r="T6" t="e">
        <v>#DIV/0!</v>
      </c>
      <c r="U6" t="e">
        <v>#DIV/0!</v>
      </c>
      <c r="V6">
        <v>100</v>
      </c>
      <c r="W6" t="e">
        <v>#DIV/0!</v>
      </c>
      <c r="X6">
        <v>100</v>
      </c>
      <c r="Y6">
        <v>100</v>
      </c>
      <c r="Z6">
        <v>100</v>
      </c>
      <c r="AA6">
        <v>88.888888888888886</v>
      </c>
      <c r="AB6">
        <v>100</v>
      </c>
      <c r="AC6">
        <v>100</v>
      </c>
      <c r="AD6">
        <v>96.8</v>
      </c>
      <c r="AE6">
        <v>94.73684210526315</v>
      </c>
      <c r="AF6">
        <v>94.661921708185048</v>
      </c>
      <c r="AG6">
        <v>95.075757575757578</v>
      </c>
      <c r="AH6">
        <v>92.660550458715591</v>
      </c>
      <c r="AI6">
        <v>92.682926829268297</v>
      </c>
      <c r="AJ6">
        <v>92.986425339366519</v>
      </c>
      <c r="AK6">
        <v>95.307443365695789</v>
      </c>
      <c r="AL6">
        <v>95.304437564499494</v>
      </c>
      <c r="AM6">
        <v>95.30463946338736</v>
      </c>
      <c r="AN6">
        <v>93.808049535603715</v>
      </c>
      <c r="AO6">
        <v>93.971291866028707</v>
      </c>
      <c r="AP6">
        <v>94.549958711808429</v>
      </c>
      <c r="AQ6">
        <v>94.629156010230176</v>
      </c>
      <c r="AR6">
        <v>94.8874475391072</v>
      </c>
      <c r="AS6">
        <v>94.13949649195213</v>
      </c>
      <c r="AT6">
        <v>95.442255697180371</v>
      </c>
      <c r="AU6">
        <v>94.108684611477912</v>
      </c>
    </row>
    <row r="7" spans="1:47" x14ac:dyDescent="0.3">
      <c r="A7">
        <f t="shared" si="0"/>
        <v>1995</v>
      </c>
      <c r="B7">
        <f>RCT!D7</f>
        <v>86.666666666666671</v>
      </c>
      <c r="C7">
        <f>CT!D7</f>
        <v>88.461538461538453</v>
      </c>
      <c r="D7">
        <f>META!D7</f>
        <v>100</v>
      </c>
      <c r="E7">
        <f>REVIEW!D7</f>
        <v>100</v>
      </c>
      <c r="F7" t="e">
        <f>CCJ!D7</f>
        <v>#DIV/0!</v>
      </c>
      <c r="G7">
        <f>ALL!D7</f>
        <v>96.017699115044252</v>
      </c>
      <c r="H7" t="e">
        <f>OBS!D7</f>
        <v>#DIV/0!</v>
      </c>
      <c r="I7" t="e">
        <f>SYSREV!D7</f>
        <v>#DIV/0!</v>
      </c>
      <c r="K7" t="str">
        <v>All MEDLINE</v>
      </c>
      <c r="L7">
        <v>95.744680851063833</v>
      </c>
      <c r="M7">
        <v>98.591549295774655</v>
      </c>
      <c r="N7">
        <v>97.241379310344826</v>
      </c>
      <c r="O7">
        <v>96</v>
      </c>
      <c r="P7">
        <v>97.872340425531917</v>
      </c>
      <c r="Q7">
        <v>96.017699115044252</v>
      </c>
      <c r="R7">
        <v>95.604395604395606</v>
      </c>
      <c r="S7">
        <v>93.624161073825505</v>
      </c>
      <c r="T7">
        <v>95.195195195195197</v>
      </c>
      <c r="U7">
        <v>97.540983606557376</v>
      </c>
      <c r="V7">
        <v>94.986072423398326</v>
      </c>
      <c r="W7">
        <v>94.039735099337747</v>
      </c>
      <c r="X7">
        <v>95.787545787545795</v>
      </c>
      <c r="Y7">
        <v>95.710059171597635</v>
      </c>
      <c r="Z7">
        <v>94.216614090431122</v>
      </c>
      <c r="AA7">
        <v>95.234657039711195</v>
      </c>
      <c r="AB7">
        <v>94.655344655344649</v>
      </c>
      <c r="AC7">
        <v>95.474452554744531</v>
      </c>
      <c r="AD7">
        <v>95.329802599903715</v>
      </c>
      <c r="AE7">
        <v>95.418257549461998</v>
      </c>
      <c r="AF7">
        <v>95.525200188412626</v>
      </c>
      <c r="AG7">
        <v>95.321493175464568</v>
      </c>
      <c r="AH7">
        <v>95.959539510450426</v>
      </c>
      <c r="AI7">
        <v>95.601391650099401</v>
      </c>
      <c r="AJ7">
        <v>95.742282057233808</v>
      </c>
      <c r="AK7">
        <v>95.613934894346087</v>
      </c>
      <c r="AL7">
        <v>95.665352390340061</v>
      </c>
      <c r="AM7">
        <v>95.412011324098287</v>
      </c>
      <c r="AN7">
        <v>95.348971796751414</v>
      </c>
      <c r="AO7">
        <v>95.396490087747807</v>
      </c>
      <c r="AP7">
        <v>95.591096008470615</v>
      </c>
      <c r="AQ7">
        <v>95.645616289137777</v>
      </c>
      <c r="AR7">
        <v>95.730829521097931</v>
      </c>
      <c r="AS7">
        <v>95.635581832840629</v>
      </c>
      <c r="AT7">
        <v>95.717139978483232</v>
      </c>
      <c r="AU7">
        <v>95.976875419281001</v>
      </c>
    </row>
    <row r="8" spans="1:47" x14ac:dyDescent="0.3">
      <c r="A8">
        <f t="shared" si="0"/>
        <v>1996</v>
      </c>
      <c r="B8">
        <f>RCT!D8</f>
        <v>84.210526315789465</v>
      </c>
      <c r="C8">
        <f>CT!D8</f>
        <v>88.888888888888886</v>
      </c>
      <c r="D8" t="e">
        <f>META!D8</f>
        <v>#DIV/0!</v>
      </c>
      <c r="E8" t="e">
        <f>REVIEW!D8</f>
        <v>#DIV/0!</v>
      </c>
      <c r="F8" t="e">
        <f>CCJ!D8</f>
        <v>#DIV/0!</v>
      </c>
      <c r="G8">
        <f>ALL!D8</f>
        <v>95.604395604395606</v>
      </c>
      <c r="H8" t="e">
        <f>OBS!D8</f>
        <v>#DIV/0!</v>
      </c>
      <c r="I8" t="e">
        <f>SYSREV!D8</f>
        <v>#DIV/0!</v>
      </c>
      <c r="K8" t="str">
        <v>Observational study</v>
      </c>
      <c r="L8" t="e">
        <v>#DIV/0!</v>
      </c>
      <c r="M8" t="e">
        <v>#DIV/0!</v>
      </c>
      <c r="N8" t="e">
        <v>#DIV/0!</v>
      </c>
      <c r="O8" t="e">
        <v>#DIV/0!</v>
      </c>
      <c r="P8" t="e">
        <v>#DIV/0!</v>
      </c>
      <c r="Q8" t="e">
        <v>#DIV/0!</v>
      </c>
      <c r="R8" t="e">
        <v>#DIV/0!</v>
      </c>
      <c r="S8" t="e">
        <v>#DIV/0!</v>
      </c>
      <c r="T8" t="e">
        <v>#DIV/0!</v>
      </c>
      <c r="U8" t="e">
        <v>#DIV/0!</v>
      </c>
      <c r="V8" t="e">
        <v>#DIV/0!</v>
      </c>
      <c r="W8" t="e">
        <v>#DIV/0!</v>
      </c>
      <c r="X8" t="e">
        <v>#DIV/0!</v>
      </c>
      <c r="Y8" t="e">
        <v>#DIV/0!</v>
      </c>
      <c r="Z8" t="e">
        <v>#DIV/0!</v>
      </c>
      <c r="AA8" t="e">
        <v>#DIV/0!</v>
      </c>
      <c r="AB8" t="e">
        <v>#DIV/0!</v>
      </c>
      <c r="AC8" t="e">
        <v>#DIV/0!</v>
      </c>
      <c r="AD8" t="e">
        <v>#DIV/0!</v>
      </c>
      <c r="AE8" t="e">
        <v>#DIV/0!</v>
      </c>
      <c r="AF8" t="e">
        <v>#DIV/0!</v>
      </c>
      <c r="AG8" t="e">
        <v>#DIV/0!</v>
      </c>
      <c r="AH8">
        <v>93.103448275862064</v>
      </c>
      <c r="AI8">
        <v>97.959183673469383</v>
      </c>
      <c r="AJ8">
        <v>96.735905044510389</v>
      </c>
      <c r="AK8">
        <v>95.746455379482896</v>
      </c>
      <c r="AL8">
        <v>95.977011494252878</v>
      </c>
      <c r="AM8">
        <v>96.442914515203668</v>
      </c>
      <c r="AN8">
        <v>95.410005157297576</v>
      </c>
      <c r="AO8">
        <v>95.840336134453779</v>
      </c>
      <c r="AP8">
        <v>95.87866798549291</v>
      </c>
      <c r="AQ8">
        <v>95.844649646931018</v>
      </c>
      <c r="AR8">
        <v>95.68993245416533</v>
      </c>
      <c r="AS8">
        <v>95.914542728635681</v>
      </c>
      <c r="AT8">
        <v>95.382782246053026</v>
      </c>
      <c r="AU8">
        <v>95.220338983050851</v>
      </c>
    </row>
    <row r="9" spans="1:47" x14ac:dyDescent="0.3">
      <c r="A9">
        <f t="shared" si="0"/>
        <v>1997</v>
      </c>
      <c r="B9">
        <f>RCT!D9</f>
        <v>88.235294117647058</v>
      </c>
      <c r="C9">
        <f>CT!D9</f>
        <v>90.625</v>
      </c>
      <c r="D9">
        <f>META!D9</f>
        <v>100</v>
      </c>
      <c r="E9">
        <f>REVIEW!D9</f>
        <v>100</v>
      </c>
      <c r="F9">
        <f>CCJ!D9</f>
        <v>100</v>
      </c>
      <c r="G9">
        <f>ALL!D9</f>
        <v>93.624161073825505</v>
      </c>
      <c r="H9" t="e">
        <f>OBS!D9</f>
        <v>#DIV/0!</v>
      </c>
      <c r="I9" t="e">
        <f>SYSREV!D9</f>
        <v>#DIV/0!</v>
      </c>
      <c r="K9" t="str">
        <v>Systematic review</v>
      </c>
      <c r="L9" t="e">
        <v>#DIV/0!</v>
      </c>
      <c r="M9" t="e">
        <v>#DIV/0!</v>
      </c>
      <c r="N9" t="e">
        <v>#DIV/0!</v>
      </c>
      <c r="O9" t="e">
        <v>#DIV/0!</v>
      </c>
      <c r="P9" t="e">
        <v>#DIV/0!</v>
      </c>
      <c r="Q9" t="e">
        <v>#DIV/0!</v>
      </c>
      <c r="R9" t="e">
        <v>#DIV/0!</v>
      </c>
      <c r="S9" t="e">
        <v>#DIV/0!</v>
      </c>
      <c r="T9" t="e">
        <v>#DIV/0!</v>
      </c>
      <c r="U9" t="e">
        <v>#DIV/0!</v>
      </c>
      <c r="V9" t="e">
        <v>#DIV/0!</v>
      </c>
      <c r="W9">
        <v>100</v>
      </c>
      <c r="X9">
        <v>100</v>
      </c>
      <c r="Y9">
        <v>100</v>
      </c>
      <c r="Z9">
        <v>66.666666666666657</v>
      </c>
      <c r="AA9">
        <v>66.666666666666657</v>
      </c>
      <c r="AB9">
        <v>90.909090909090907</v>
      </c>
      <c r="AC9">
        <v>84.615384615384613</v>
      </c>
      <c r="AD9">
        <v>85.714285714285708</v>
      </c>
      <c r="AE9">
        <v>88.235294117647058</v>
      </c>
      <c r="AF9">
        <v>87.719298245614027</v>
      </c>
      <c r="AG9">
        <v>87.692307692307693</v>
      </c>
      <c r="AH9">
        <v>83.898305084745758</v>
      </c>
      <c r="AI9">
        <v>90.77669902912622</v>
      </c>
      <c r="AJ9">
        <v>89.556962025316452</v>
      </c>
      <c r="AK9">
        <v>90.570175438596493</v>
      </c>
      <c r="AL9">
        <v>88.908145580589263</v>
      </c>
      <c r="AM9">
        <v>91.202346041055719</v>
      </c>
      <c r="AN9">
        <v>89.494163424124523</v>
      </c>
      <c r="AO9">
        <v>90.84615384615384</v>
      </c>
      <c r="AP9">
        <v>92.748538011695899</v>
      </c>
      <c r="AQ9">
        <v>92.396218660090426</v>
      </c>
      <c r="AR9">
        <v>92.526017029328287</v>
      </c>
      <c r="AS9">
        <v>92.839678658749563</v>
      </c>
      <c r="AT9">
        <v>93.787515006002394</v>
      </c>
      <c r="AU9">
        <v>92.559188275084551</v>
      </c>
    </row>
    <row r="10" spans="1:47" x14ac:dyDescent="0.3">
      <c r="A10">
        <f t="shared" si="0"/>
        <v>1998</v>
      </c>
      <c r="B10">
        <f>RCT!D10</f>
        <v>85.18518518518519</v>
      </c>
      <c r="C10">
        <f>CT!D10</f>
        <v>89.583333333333343</v>
      </c>
      <c r="D10" t="e">
        <f>META!D10</f>
        <v>#DIV/0!</v>
      </c>
      <c r="E10">
        <f>REVIEW!D10</f>
        <v>100</v>
      </c>
      <c r="F10" t="e">
        <f>CCJ!D10</f>
        <v>#DIV/0!</v>
      </c>
      <c r="G10">
        <f>ALL!D10</f>
        <v>95.195195195195197</v>
      </c>
      <c r="H10" t="e">
        <f>OBS!D10</f>
        <v>#DIV/0!</v>
      </c>
      <c r="I10" t="e">
        <f>SYSREV!D10</f>
        <v>#DIV/0!</v>
      </c>
    </row>
    <row r="11" spans="1:47" x14ac:dyDescent="0.3">
      <c r="A11">
        <f t="shared" si="0"/>
        <v>1999</v>
      </c>
      <c r="B11">
        <f>RCT!D11</f>
        <v>87.5</v>
      </c>
      <c r="C11">
        <f>CT!D11</f>
        <v>92.5</v>
      </c>
      <c r="D11" t="e">
        <f>META!D11</f>
        <v>#DIV/0!</v>
      </c>
      <c r="E11">
        <f>REVIEW!D11</f>
        <v>100</v>
      </c>
      <c r="F11" t="e">
        <f>CCJ!D11</f>
        <v>#DIV/0!</v>
      </c>
      <c r="G11">
        <f>ALL!D11</f>
        <v>97.540983606557376</v>
      </c>
      <c r="H11" t="e">
        <f>OBS!D11</f>
        <v>#DIV/0!</v>
      </c>
      <c r="I11" t="e">
        <f>SYSREV!D11</f>
        <v>#DIV/0!</v>
      </c>
    </row>
    <row r="12" spans="1:47" x14ac:dyDescent="0.3">
      <c r="A12">
        <f t="shared" si="0"/>
        <v>2000</v>
      </c>
      <c r="B12">
        <f>RCT!D12</f>
        <v>85.714285714285708</v>
      </c>
      <c r="C12">
        <f>CT!D12</f>
        <v>90.243902439024396</v>
      </c>
      <c r="D12">
        <f>META!D12</f>
        <v>100</v>
      </c>
      <c r="E12">
        <f>REVIEW!D12</f>
        <v>100</v>
      </c>
      <c r="F12">
        <f>CCJ!D12</f>
        <v>100</v>
      </c>
      <c r="G12">
        <f>ALL!D12</f>
        <v>94.986072423398326</v>
      </c>
      <c r="H12" t="e">
        <f>OBS!D12</f>
        <v>#DIV/0!</v>
      </c>
      <c r="I12" t="e">
        <f>SYSREV!D12</f>
        <v>#DIV/0!</v>
      </c>
    </row>
    <row r="13" spans="1:47" x14ac:dyDescent="0.3">
      <c r="A13">
        <f t="shared" si="0"/>
        <v>2001</v>
      </c>
      <c r="B13">
        <f>RCT!D13</f>
        <v>76.470588235294116</v>
      </c>
      <c r="C13">
        <f>CT!D13</f>
        <v>86.666666666666671</v>
      </c>
      <c r="D13">
        <f>META!D13</f>
        <v>66.666666666666657</v>
      </c>
      <c r="E13">
        <f>REVIEW!D13</f>
        <v>100</v>
      </c>
      <c r="F13" t="e">
        <f>CCJ!D13</f>
        <v>#DIV/0!</v>
      </c>
      <c r="G13">
        <f>ALL!D13</f>
        <v>94.039735099337747</v>
      </c>
      <c r="H13" t="e">
        <f>OBS!D13</f>
        <v>#DIV/0!</v>
      </c>
      <c r="I13">
        <f>SYSREV!D13</f>
        <v>100</v>
      </c>
    </row>
    <row r="14" spans="1:47" x14ac:dyDescent="0.3">
      <c r="A14">
        <f t="shared" si="0"/>
        <v>2002</v>
      </c>
      <c r="B14">
        <f>RCT!D14</f>
        <v>88.571428571428569</v>
      </c>
      <c r="C14">
        <f>CT!D14</f>
        <v>91.489361702127653</v>
      </c>
      <c r="D14">
        <f>META!D14</f>
        <v>100</v>
      </c>
      <c r="E14" t="e">
        <f>REVIEW!D14</f>
        <v>#DIV/0!</v>
      </c>
      <c r="F14">
        <f>CCJ!D14</f>
        <v>100</v>
      </c>
      <c r="G14">
        <f>ALL!D14</f>
        <v>95.787545787545795</v>
      </c>
      <c r="H14" t="e">
        <f>OBS!D14</f>
        <v>#DIV/0!</v>
      </c>
      <c r="I14">
        <f>SYSREV!D14</f>
        <v>100</v>
      </c>
    </row>
    <row r="15" spans="1:47" x14ac:dyDescent="0.3">
      <c r="A15">
        <f t="shared" si="0"/>
        <v>2003</v>
      </c>
      <c r="B15">
        <f>RCT!D15</f>
        <v>88.888888888888886</v>
      </c>
      <c r="C15">
        <f>CT!D15</f>
        <v>93.442622950819683</v>
      </c>
      <c r="D15">
        <f>META!D15</f>
        <v>75</v>
      </c>
      <c r="E15">
        <f>REVIEW!D15</f>
        <v>100</v>
      </c>
      <c r="F15">
        <f>CCJ!D15</f>
        <v>100</v>
      </c>
      <c r="G15">
        <f>ALL!D15</f>
        <v>95.710059171597635</v>
      </c>
      <c r="H15" t="e">
        <f>OBS!D15</f>
        <v>#DIV/0!</v>
      </c>
      <c r="I15">
        <f>SYSREV!D15</f>
        <v>100</v>
      </c>
    </row>
    <row r="16" spans="1:47" x14ac:dyDescent="0.3">
      <c r="A16">
        <f t="shared" si="0"/>
        <v>2004</v>
      </c>
      <c r="B16">
        <f>RCT!D16</f>
        <v>87.323943661971825</v>
      </c>
      <c r="C16">
        <f>CT!D16</f>
        <v>91.869918699186996</v>
      </c>
      <c r="D16">
        <f>META!D16</f>
        <v>75</v>
      </c>
      <c r="E16">
        <f>REVIEW!D16</f>
        <v>87.5</v>
      </c>
      <c r="F16">
        <f>CCJ!D16</f>
        <v>100</v>
      </c>
      <c r="G16">
        <f>ALL!D16</f>
        <v>94.216614090431122</v>
      </c>
      <c r="H16" t="e">
        <f>OBS!D16</f>
        <v>#DIV/0!</v>
      </c>
      <c r="I16">
        <f>SYSREV!D16</f>
        <v>66.666666666666657</v>
      </c>
    </row>
    <row r="17" spans="1:9" x14ac:dyDescent="0.3">
      <c r="A17">
        <f t="shared" si="0"/>
        <v>2005</v>
      </c>
      <c r="B17">
        <f>RCT!D17</f>
        <v>92.391304347826093</v>
      </c>
      <c r="C17">
        <f>CT!D17</f>
        <v>95.121951219512198</v>
      </c>
      <c r="D17">
        <f>META!D17</f>
        <v>63.636363636363633</v>
      </c>
      <c r="E17">
        <f>REVIEW!D17</f>
        <v>100</v>
      </c>
      <c r="F17">
        <f>CCJ!D17</f>
        <v>88.888888888888886</v>
      </c>
      <c r="G17">
        <f>ALL!D17</f>
        <v>95.234657039711195</v>
      </c>
      <c r="H17" t="e">
        <f>OBS!D17</f>
        <v>#DIV/0!</v>
      </c>
      <c r="I17">
        <f>SYSREV!D17</f>
        <v>66.666666666666657</v>
      </c>
    </row>
    <row r="18" spans="1:9" x14ac:dyDescent="0.3">
      <c r="A18">
        <f t="shared" si="0"/>
        <v>2006</v>
      </c>
      <c r="B18">
        <f>RCT!D18</f>
        <v>88.888888888888886</v>
      </c>
      <c r="C18">
        <f>CT!D18</f>
        <v>96.721311475409834</v>
      </c>
      <c r="D18">
        <f>META!D18</f>
        <v>83.333333333333343</v>
      </c>
      <c r="E18">
        <f>REVIEW!D18</f>
        <v>100</v>
      </c>
      <c r="F18">
        <f>CCJ!D18</f>
        <v>100</v>
      </c>
      <c r="G18">
        <f>ALL!D18</f>
        <v>94.655344655344649</v>
      </c>
      <c r="H18" t="e">
        <f>OBS!D18</f>
        <v>#DIV/0!</v>
      </c>
      <c r="I18">
        <f>SYSREV!D18</f>
        <v>90.909090909090907</v>
      </c>
    </row>
    <row r="19" spans="1:9" x14ac:dyDescent="0.3">
      <c r="A19">
        <f t="shared" si="0"/>
        <v>2007</v>
      </c>
      <c r="B19">
        <f>RCT!D19</f>
        <v>89.49771689497716</v>
      </c>
      <c r="C19">
        <f>CT!D19</f>
        <v>93.103448275862064</v>
      </c>
      <c r="D19">
        <f>META!D19</f>
        <v>90.909090909090907</v>
      </c>
      <c r="E19">
        <f>REVIEW!D19</f>
        <v>92.857142857142861</v>
      </c>
      <c r="F19">
        <f>CCJ!D19</f>
        <v>100</v>
      </c>
      <c r="G19">
        <f>ALL!D19</f>
        <v>95.474452554744531</v>
      </c>
      <c r="H19" t="e">
        <f>OBS!D19</f>
        <v>#DIV/0!</v>
      </c>
      <c r="I19">
        <f>SYSREV!D19</f>
        <v>84.615384615384613</v>
      </c>
    </row>
    <row r="20" spans="1:9" x14ac:dyDescent="0.3">
      <c r="A20">
        <f t="shared" si="0"/>
        <v>2008</v>
      </c>
      <c r="B20">
        <f>RCT!D20</f>
        <v>89.795918367346943</v>
      </c>
      <c r="C20">
        <f>CT!D20</f>
        <v>96.103896103896105</v>
      </c>
      <c r="D20">
        <f>META!D20</f>
        <v>79.545454545454547</v>
      </c>
      <c r="E20">
        <f>REVIEW!D20</f>
        <v>80</v>
      </c>
      <c r="F20">
        <f>CCJ!D20</f>
        <v>96.8</v>
      </c>
      <c r="G20">
        <f>ALL!D20</f>
        <v>95.329802599903715</v>
      </c>
      <c r="H20" t="e">
        <f>OBS!D20</f>
        <v>#DIV/0!</v>
      </c>
      <c r="I20">
        <f>SYSREV!D20</f>
        <v>85.714285714285708</v>
      </c>
    </row>
    <row r="21" spans="1:9" x14ac:dyDescent="0.3">
      <c r="A21">
        <f t="shared" si="0"/>
        <v>2009</v>
      </c>
      <c r="B21">
        <f>RCT!D21</f>
        <v>89.578713968957871</v>
      </c>
      <c r="C21">
        <f>CT!D21</f>
        <v>98.979591836734699</v>
      </c>
      <c r="D21">
        <f>META!D21</f>
        <v>92.682926829268297</v>
      </c>
      <c r="E21">
        <f>REVIEW!D21</f>
        <v>95.833333333333343</v>
      </c>
      <c r="F21">
        <f>CCJ!D21</f>
        <v>94.73684210526315</v>
      </c>
      <c r="G21">
        <f>ALL!D21</f>
        <v>95.418257549461998</v>
      </c>
      <c r="H21" t="e">
        <f>OBS!D21</f>
        <v>#DIV/0!</v>
      </c>
      <c r="I21">
        <f>SYSREV!D21</f>
        <v>88.235294117647058</v>
      </c>
    </row>
    <row r="22" spans="1:9" x14ac:dyDescent="0.3">
      <c r="A22">
        <f t="shared" si="0"/>
        <v>2010</v>
      </c>
      <c r="B22">
        <f>RCT!D22</f>
        <v>92.282958199356912</v>
      </c>
      <c r="C22">
        <f>CT!D22</f>
        <v>96.875</v>
      </c>
      <c r="D22">
        <f>META!D22</f>
        <v>88.181818181818187</v>
      </c>
      <c r="E22">
        <f>REVIEW!D22</f>
        <v>92.682926829268297</v>
      </c>
      <c r="F22">
        <f>CCJ!D22</f>
        <v>94.661921708185048</v>
      </c>
      <c r="G22">
        <f>ALL!D22</f>
        <v>95.525200188412626</v>
      </c>
      <c r="H22" t="e">
        <f>OBS!D22</f>
        <v>#DIV/0!</v>
      </c>
      <c r="I22">
        <f>SYSREV!D22</f>
        <v>87.719298245614027</v>
      </c>
    </row>
    <row r="23" spans="1:9" x14ac:dyDescent="0.3">
      <c r="A23">
        <f t="shared" si="0"/>
        <v>2011</v>
      </c>
      <c r="B23">
        <f>RCT!D23</f>
        <v>90.734055354993984</v>
      </c>
      <c r="C23">
        <f>CT!D23</f>
        <v>96.33507853403141</v>
      </c>
      <c r="D23">
        <f>META!D23</f>
        <v>88.679245283018872</v>
      </c>
      <c r="E23">
        <f>REVIEW!D23</f>
        <v>91.228070175438589</v>
      </c>
      <c r="F23">
        <f>CCJ!D23</f>
        <v>95.075757575757578</v>
      </c>
      <c r="G23">
        <f>ALL!D23</f>
        <v>95.321493175464568</v>
      </c>
      <c r="H23" t="e">
        <f>OBS!D23</f>
        <v>#DIV/0!</v>
      </c>
      <c r="I23">
        <f>SYSREV!D23</f>
        <v>87.692307692307693</v>
      </c>
    </row>
    <row r="24" spans="1:9" x14ac:dyDescent="0.3">
      <c r="A24">
        <f>A22+2</f>
        <v>2012</v>
      </c>
      <c r="B24">
        <f>RCT!D24</f>
        <v>92.447129909365557</v>
      </c>
      <c r="C24">
        <f>CT!D24</f>
        <v>96.036585365853654</v>
      </c>
      <c r="D24">
        <f>META!D24</f>
        <v>89.375</v>
      </c>
      <c r="E24">
        <f>REVIEW!D24</f>
        <v>96.551724137931032</v>
      </c>
      <c r="F24">
        <f>CCJ!D24</f>
        <v>92.660550458715591</v>
      </c>
      <c r="G24">
        <f>ALL!D24</f>
        <v>95.959539510450426</v>
      </c>
      <c r="H24">
        <f>OBS!D24</f>
        <v>93.103448275862064</v>
      </c>
      <c r="I24">
        <f>SYSREV!D24</f>
        <v>83.898305084745758</v>
      </c>
    </row>
    <row r="25" spans="1:9" x14ac:dyDescent="0.3">
      <c r="A25">
        <f t="shared" si="0"/>
        <v>2013</v>
      </c>
      <c r="B25">
        <f>RCT!D25</f>
        <v>91.095406360424022</v>
      </c>
      <c r="C25">
        <f>CT!D25</f>
        <v>97.245762711864401</v>
      </c>
      <c r="D25">
        <f>META!D25</f>
        <v>89.42652329749103</v>
      </c>
      <c r="E25">
        <f>REVIEW!D25</f>
        <v>91.452991452991455</v>
      </c>
      <c r="F25">
        <f>CCJ!D25</f>
        <v>92.682926829268297</v>
      </c>
      <c r="G25">
        <f>ALL!D25</f>
        <v>95.601391650099401</v>
      </c>
      <c r="H25">
        <f>OBS!D25</f>
        <v>97.959183673469383</v>
      </c>
      <c r="I25">
        <f>SYSREV!D25</f>
        <v>90.77669902912622</v>
      </c>
    </row>
    <row r="26" spans="1:9" x14ac:dyDescent="0.3">
      <c r="A26">
        <f t="shared" si="0"/>
        <v>2014</v>
      </c>
      <c r="B26">
        <f>RCT!D26</f>
        <v>91.991101223581765</v>
      </c>
      <c r="C26">
        <f>CT!D26</f>
        <v>96.545454545454547</v>
      </c>
      <c r="D26">
        <f>META!D26</f>
        <v>90.694626474442984</v>
      </c>
      <c r="E26">
        <f>REVIEW!D26</f>
        <v>92.523364485981304</v>
      </c>
      <c r="F26">
        <f>CCJ!D26</f>
        <v>92.986425339366519</v>
      </c>
      <c r="G26">
        <f>ALL!D26</f>
        <v>95.742282057233808</v>
      </c>
      <c r="H26">
        <f>OBS!D26</f>
        <v>96.735905044510389</v>
      </c>
      <c r="I26">
        <f>SYSREV!D26</f>
        <v>89.556962025316452</v>
      </c>
    </row>
    <row r="27" spans="1:9" x14ac:dyDescent="0.3">
      <c r="A27">
        <f t="shared" si="0"/>
        <v>2015</v>
      </c>
      <c r="B27">
        <f>RCT!D27</f>
        <v>90.882061446977204</v>
      </c>
      <c r="C27">
        <f>CT!D27</f>
        <v>96.768707482993193</v>
      </c>
      <c r="D27">
        <f>META!D27</f>
        <v>90.835030549898164</v>
      </c>
      <c r="E27">
        <f>REVIEW!D27</f>
        <v>92.307692307692307</v>
      </c>
      <c r="F27">
        <f>CCJ!D27</f>
        <v>95.307443365695789</v>
      </c>
      <c r="G27">
        <f>ALL!D27</f>
        <v>95.613934894346087</v>
      </c>
      <c r="H27">
        <f>OBS!D27</f>
        <v>95.746455379482896</v>
      </c>
      <c r="I27">
        <f>SYSREV!D27</f>
        <v>90.570175438596493</v>
      </c>
    </row>
    <row r="28" spans="1:9" x14ac:dyDescent="0.3">
      <c r="A28">
        <f t="shared" si="0"/>
        <v>2016</v>
      </c>
      <c r="B28">
        <f>RCT!D28</f>
        <v>91.706888986397544</v>
      </c>
      <c r="C28">
        <f>CT!D28</f>
        <v>96.698113207547166</v>
      </c>
      <c r="D28">
        <f>META!D28</f>
        <v>91.457286432160799</v>
      </c>
      <c r="E28">
        <f>REVIEW!D28</f>
        <v>92.077087794432543</v>
      </c>
      <c r="F28">
        <f>CCJ!D28</f>
        <v>95.304437564499494</v>
      </c>
      <c r="G28">
        <f>ALL!D28</f>
        <v>95.665352390340061</v>
      </c>
      <c r="H28">
        <f>OBS!D28</f>
        <v>95.977011494252878</v>
      </c>
      <c r="I28">
        <f>SYSREV!D28</f>
        <v>88.908145580589263</v>
      </c>
    </row>
    <row r="29" spans="1:9" x14ac:dyDescent="0.3">
      <c r="A29">
        <f t="shared" si="0"/>
        <v>2017</v>
      </c>
      <c r="B29">
        <f>RCT!D29</f>
        <v>91.152922337870308</v>
      </c>
      <c r="C29">
        <f>CT!D29</f>
        <v>95.017793594306056</v>
      </c>
      <c r="D29">
        <f>META!D29</f>
        <v>91.881638846737474</v>
      </c>
      <c r="E29">
        <f>REVIEW!D29</f>
        <v>89.837398373983731</v>
      </c>
      <c r="F29">
        <f>CCJ!D29</f>
        <v>95.30463946338736</v>
      </c>
      <c r="G29">
        <f>ALL!D29</f>
        <v>95.412011324098287</v>
      </c>
      <c r="H29">
        <f>OBS!D29</f>
        <v>96.442914515203668</v>
      </c>
      <c r="I29">
        <f>SYSREV!D29</f>
        <v>91.202346041055719</v>
      </c>
    </row>
    <row r="30" spans="1:9" x14ac:dyDescent="0.3">
      <c r="A30">
        <f t="shared" si="0"/>
        <v>2018</v>
      </c>
      <c r="B30">
        <f>RCT!D30</f>
        <v>90.636565507031833</v>
      </c>
      <c r="C30">
        <f>CT!D30</f>
        <v>96.21848739495799</v>
      </c>
      <c r="D30">
        <f>META!D30</f>
        <v>89.705882352941174</v>
      </c>
      <c r="E30">
        <f>REVIEW!D30</f>
        <v>89.875389408099693</v>
      </c>
      <c r="F30">
        <f>CCJ!D30</f>
        <v>93.808049535603715</v>
      </c>
      <c r="G30">
        <f>ALL!D30</f>
        <v>95.348971796751414</v>
      </c>
      <c r="H30">
        <f>OBS!D30</f>
        <v>95.410005157297576</v>
      </c>
      <c r="I30">
        <f>SYSREV!D30</f>
        <v>89.494163424124523</v>
      </c>
    </row>
    <row r="31" spans="1:9" x14ac:dyDescent="0.3">
      <c r="A31">
        <f t="shared" si="0"/>
        <v>2019</v>
      </c>
      <c r="B31">
        <f>RCT!D31</f>
        <v>90.759819703799096</v>
      </c>
      <c r="C31">
        <f>CT!D31</f>
        <v>96.893667861409796</v>
      </c>
      <c r="D31">
        <f>META!D31</f>
        <v>90.700557966522013</v>
      </c>
      <c r="E31">
        <f>REVIEW!D31</f>
        <v>90.451388888888886</v>
      </c>
      <c r="F31">
        <f>CCJ!D31</f>
        <v>93.971291866028707</v>
      </c>
      <c r="G31">
        <f>ALL!D31</f>
        <v>95.396490087747807</v>
      </c>
      <c r="H31">
        <f>OBS!D31</f>
        <v>95.840336134453779</v>
      </c>
      <c r="I31">
        <f>SYSREV!D31</f>
        <v>90.84615384615384</v>
      </c>
    </row>
    <row r="32" spans="1:9" x14ac:dyDescent="0.3">
      <c r="A32">
        <f t="shared" si="0"/>
        <v>2020</v>
      </c>
      <c r="B32">
        <f>RCT!D32</f>
        <v>90.425247392350897</v>
      </c>
      <c r="C32">
        <f>CT!D32</f>
        <v>96.614583333333343</v>
      </c>
      <c r="D32">
        <f>META!D32</f>
        <v>92.260692464358456</v>
      </c>
      <c r="E32">
        <f>REVIEW!D32</f>
        <v>91.581632653061234</v>
      </c>
      <c r="F32">
        <f>CCJ!D32</f>
        <v>94.549958711808429</v>
      </c>
      <c r="G32">
        <f>ALL!D32</f>
        <v>95.591096008470615</v>
      </c>
      <c r="H32">
        <f>OBS!D32</f>
        <v>95.87866798549291</v>
      </c>
      <c r="I32">
        <f>SYSREV!D32</f>
        <v>92.748538011695899</v>
      </c>
    </row>
    <row r="33" spans="1:9" x14ac:dyDescent="0.3">
      <c r="A33">
        <f t="shared" si="0"/>
        <v>2021</v>
      </c>
      <c r="B33">
        <f>RCT!D33</f>
        <v>90.611696168496522</v>
      </c>
      <c r="C33">
        <f>CT!D33</f>
        <v>95.338512763596</v>
      </c>
      <c r="D33">
        <f>META!D33</f>
        <v>92.182696530522605</v>
      </c>
      <c r="E33">
        <f>REVIEW!D33</f>
        <v>91.743892165122148</v>
      </c>
      <c r="F33">
        <f>CCJ!D33</f>
        <v>94.629156010230176</v>
      </c>
      <c r="G33">
        <f>ALL!D33</f>
        <v>95.645616289137777</v>
      </c>
      <c r="H33">
        <f>OBS!D33</f>
        <v>95.844649646931018</v>
      </c>
      <c r="I33">
        <f>SYSREV!D33</f>
        <v>92.396218660090426</v>
      </c>
    </row>
    <row r="34" spans="1:9" x14ac:dyDescent="0.3">
      <c r="A34">
        <f t="shared" si="0"/>
        <v>2022</v>
      </c>
      <c r="B34">
        <f>RCT!D34</f>
        <v>91.116088092571857</v>
      </c>
      <c r="C34">
        <f>CT!D34</f>
        <v>94.781144781144775</v>
      </c>
      <c r="D34">
        <f>META!D34</f>
        <v>92.162351294611625</v>
      </c>
      <c r="E34">
        <f>REVIEW!D34</f>
        <v>92.239955971381391</v>
      </c>
      <c r="F34">
        <f>CCJ!D34</f>
        <v>94.8874475391072</v>
      </c>
      <c r="G34">
        <f>ALL!D34</f>
        <v>95.730829521097931</v>
      </c>
      <c r="H34">
        <f>OBS!D34</f>
        <v>95.68993245416533</v>
      </c>
      <c r="I34">
        <f>SYSREV!D34</f>
        <v>92.526017029328287</v>
      </c>
    </row>
    <row r="35" spans="1:9" x14ac:dyDescent="0.3">
      <c r="A35">
        <f t="shared" si="0"/>
        <v>2023</v>
      </c>
      <c r="B35">
        <f>RCT!D35</f>
        <v>90.074107343364034</v>
      </c>
      <c r="C35">
        <f>CT!D35</f>
        <v>93.40425531914893</v>
      </c>
      <c r="D35">
        <f>META!D35</f>
        <v>92.703716331401296</v>
      </c>
      <c r="E35">
        <f>REVIEW!D35</f>
        <v>90.984974958263777</v>
      </c>
      <c r="F35">
        <f>CCJ!D35</f>
        <v>94.13949649195213</v>
      </c>
      <c r="G35">
        <f>ALL!D35</f>
        <v>95.635581832840629</v>
      </c>
      <c r="H35">
        <f>OBS!D35</f>
        <v>95.914542728635681</v>
      </c>
      <c r="I35">
        <f>SYSREV!D35</f>
        <v>92.839678658749563</v>
      </c>
    </row>
    <row r="36" spans="1:9" x14ac:dyDescent="0.3">
      <c r="A36">
        <f t="shared" si="0"/>
        <v>2024</v>
      </c>
      <c r="B36">
        <f>RCT!D36</f>
        <v>91.109362706530291</v>
      </c>
      <c r="C36">
        <f>CT!D36</f>
        <v>94.47115384615384</v>
      </c>
      <c r="D36">
        <f>META!D36</f>
        <v>93.568396996408751</v>
      </c>
      <c r="E36">
        <f>REVIEW!D36</f>
        <v>92.205196535642912</v>
      </c>
      <c r="F36">
        <f>CCJ!D36</f>
        <v>95.442255697180371</v>
      </c>
      <c r="G36">
        <f>ALL!D36</f>
        <v>95.717139978483232</v>
      </c>
      <c r="H36">
        <f>OBS!D36</f>
        <v>95.382782246053026</v>
      </c>
      <c r="I36">
        <f>SYSREV!D36</f>
        <v>93.787515006002394</v>
      </c>
    </row>
    <row r="37" spans="1:9" x14ac:dyDescent="0.3">
      <c r="A37">
        <v>2025</v>
      </c>
      <c r="B37">
        <f>RCT!D37</f>
        <v>90.913415794481438</v>
      </c>
      <c r="C37">
        <f>CT!D37</f>
        <v>95.652173913043484</v>
      </c>
      <c r="D37">
        <f>META!D37</f>
        <v>92.038078753786237</v>
      </c>
      <c r="E37">
        <f>REVIEW!D37</f>
        <v>92.341941228851283</v>
      </c>
      <c r="F37">
        <f>CCJ!D37</f>
        <v>94.108684611477912</v>
      </c>
      <c r="G37">
        <f>ALL!D37</f>
        <v>95.976875419281001</v>
      </c>
      <c r="H37">
        <f>OBS!D37</f>
        <v>95.220338983050851</v>
      </c>
      <c r="I37">
        <f>SYSREV!D37</f>
        <v>92.559188275084551</v>
      </c>
    </row>
    <row r="38" spans="1:9" x14ac:dyDescent="0.3">
      <c r="A38" t="s">
        <v>9</v>
      </c>
    </row>
    <row r="39" spans="1:9" x14ac:dyDescent="0.3">
      <c r="A39" t="s">
        <v>7</v>
      </c>
    </row>
    <row r="40" spans="1:9" x14ac:dyDescent="0.3">
      <c r="A40" t="s">
        <v>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ED7C73-130E-4CAC-8AA2-6A6DAB0B66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RCT</vt:lpstr>
      <vt:lpstr>CT</vt:lpstr>
      <vt:lpstr>META</vt:lpstr>
      <vt:lpstr>REVIEW</vt:lpstr>
      <vt:lpstr>CCJ</vt:lpstr>
      <vt:lpstr>ALL</vt:lpstr>
      <vt:lpstr>OBS</vt:lpstr>
      <vt:lpstr>SYSREV</vt:lpstr>
      <vt:lpstr>aggregate</vt:lpstr>
      <vt:lpstr>Sheet1</vt:lpstr>
      <vt:lpstr>NEWagg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최진혁 [학부 / 의예과]</cp:lastModifiedBy>
  <dcterms:created xsi:type="dcterms:W3CDTF">2025-09-20T09:37:29Z</dcterms:created>
  <dcterms:modified xsi:type="dcterms:W3CDTF">2025-11-28T03:14:29Z</dcterms:modified>
</cp:coreProperties>
</file>