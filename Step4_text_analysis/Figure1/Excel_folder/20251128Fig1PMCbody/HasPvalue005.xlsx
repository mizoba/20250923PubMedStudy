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4\Documents\카카오톡 받은 파일\20250923\20251128Fig1PMCbody\"/>
    </mc:Choice>
  </mc:AlternateContent>
  <xr:revisionPtr revIDLastSave="0" documentId="13_ncr:1_{8BC1A1EF-6B9F-4715-B0F9-E782BADE4D81}" xr6:coauthVersionLast="47" xr6:coauthVersionMax="47" xr10:uidLastSave="{00000000-0000-0000-0000-000000000000}"/>
  <bookViews>
    <workbookView xWindow="-120" yWindow="-120" windowWidth="29040" windowHeight="15720" activeTab="9" xr2:uid="{DF799AEA-2700-0847-986A-8EA80B3DCF15}"/>
  </bookViews>
  <sheets>
    <sheet name="RCT" sheetId="1" r:id="rId1"/>
    <sheet name="CT" sheetId="2" r:id="rId2"/>
    <sheet name="META" sheetId="3" r:id="rId3"/>
    <sheet name="REVIEW" sheetId="4" r:id="rId4"/>
    <sheet name="CCJ" sheetId="5" r:id="rId5"/>
    <sheet name="ALL" sheetId="6" r:id="rId6"/>
    <sheet name="OBS" sheetId="9" r:id="rId7"/>
    <sheet name="SYSREV" sheetId="10" r:id="rId8"/>
    <sheet name="aggregate" sheetId="8" r:id="rId9"/>
    <sheet name="Sheet1" sheetId="7" r:id="rId10"/>
    <sheet name="NEWagg" sheetId="11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0" l="1"/>
  <c r="C4" i="10"/>
  <c r="C5" i="10"/>
  <c r="C6" i="10"/>
  <c r="C7" i="10"/>
  <c r="C8" i="10"/>
  <c r="C9" i="10"/>
  <c r="C10" i="10"/>
  <c r="C11" i="10"/>
  <c r="C12" i="10"/>
  <c r="C13" i="10"/>
  <c r="C14" i="10"/>
  <c r="C15" i="10"/>
  <c r="D15" i="10" s="1"/>
  <c r="I15" i="11" s="1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D33" i="10" s="1"/>
  <c r="I33" i="11" s="1"/>
  <c r="C34" i="10"/>
  <c r="C35" i="10"/>
  <c r="C36" i="10"/>
  <c r="C37" i="10"/>
  <c r="C38" i="10"/>
  <c r="C39" i="10"/>
  <c r="C40" i="10"/>
  <c r="C1" i="10"/>
  <c r="C2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1" i="10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C1" i="9"/>
  <c r="B1" i="9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C1" i="6"/>
  <c r="B1" i="6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C1" i="5"/>
  <c r="B1" i="5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C1" i="4"/>
  <c r="B1" i="4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C1" i="3"/>
  <c r="B1" i="3"/>
  <c r="C1" i="1"/>
  <c r="B1" i="1"/>
  <c r="C1" i="2"/>
  <c r="B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C2" i="2"/>
  <c r="B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C2" i="1"/>
  <c r="B2" i="1"/>
  <c r="A6" i="11"/>
  <c r="A8" i="11" s="1"/>
  <c r="A10" i="11" s="1"/>
  <c r="A12" i="11" s="1"/>
  <c r="A14" i="11" s="1"/>
  <c r="A16" i="11" s="1"/>
  <c r="A18" i="11" s="1"/>
  <c r="A20" i="11" s="1"/>
  <c r="A22" i="11" s="1"/>
  <c r="A24" i="11" s="1"/>
  <c r="A26" i="11" s="1"/>
  <c r="A28" i="11" s="1"/>
  <c r="A30" i="11" s="1"/>
  <c r="A32" i="11" s="1"/>
  <c r="A34" i="11" s="1"/>
  <c r="A36" i="11" s="1"/>
  <c r="A5" i="11"/>
  <c r="A7" i="11" s="1"/>
  <c r="A9" i="11" s="1"/>
  <c r="A11" i="11" s="1"/>
  <c r="A13" i="11" s="1"/>
  <c r="A15" i="11" s="1"/>
  <c r="A17" i="11" s="1"/>
  <c r="A19" i="11" s="1"/>
  <c r="A21" i="11" s="1"/>
  <c r="A23" i="11" s="1"/>
  <c r="A25" i="11" s="1"/>
  <c r="A27" i="11" s="1"/>
  <c r="A29" i="11" s="1"/>
  <c r="A31" i="11" s="1"/>
  <c r="A33" i="11" s="1"/>
  <c r="A35" i="11" s="1"/>
  <c r="A4" i="11"/>
  <c r="D5" i="10"/>
  <c r="I5" i="11" s="1"/>
  <c r="D13" i="10"/>
  <c r="I13" i="11" s="1"/>
  <c r="D21" i="10"/>
  <c r="I21" i="11" s="1"/>
  <c r="D29" i="10"/>
  <c r="I29" i="11" s="1"/>
  <c r="D30" i="10"/>
  <c r="I30" i="11" s="1"/>
  <c r="D37" i="10"/>
  <c r="I37" i="11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D36" i="9"/>
  <c r="H36" i="11" s="1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" i="9"/>
  <c r="D2" i="9"/>
  <c r="H2" i="11" s="1"/>
  <c r="D31" i="10" l="1"/>
  <c r="I31" i="11" s="1"/>
  <c r="D23" i="10"/>
  <c r="I23" i="11" s="1"/>
  <c r="D7" i="10"/>
  <c r="I7" i="11" s="1"/>
  <c r="D28" i="9"/>
  <c r="H28" i="11" s="1"/>
  <c r="D20" i="9"/>
  <c r="H20" i="11" s="1"/>
  <c r="D12" i="9"/>
  <c r="H12" i="11" s="1"/>
  <c r="D4" i="9"/>
  <c r="H4" i="11" s="1"/>
  <c r="D14" i="10"/>
  <c r="I14" i="11" s="1"/>
  <c r="D6" i="10"/>
  <c r="I6" i="11" s="1"/>
  <c r="D17" i="10"/>
  <c r="I17" i="11" s="1"/>
  <c r="D22" i="10"/>
  <c r="I22" i="11" s="1"/>
  <c r="D25" i="10"/>
  <c r="I25" i="11" s="1"/>
  <c r="D9" i="10"/>
  <c r="I9" i="11" s="1"/>
  <c r="D40" i="10"/>
  <c r="D39" i="10"/>
  <c r="D33" i="9"/>
  <c r="H33" i="11" s="1"/>
  <c r="D9" i="9"/>
  <c r="H9" i="11" s="1"/>
  <c r="D40" i="9"/>
  <c r="D8" i="9"/>
  <c r="H8" i="11" s="1"/>
  <c r="D32" i="9"/>
  <c r="H32" i="11" s="1"/>
  <c r="D38" i="9"/>
  <c r="D17" i="9"/>
  <c r="H17" i="11" s="1"/>
  <c r="D16" i="9"/>
  <c r="H16" i="11" s="1"/>
  <c r="D25" i="9"/>
  <c r="H25" i="11" s="1"/>
  <c r="D24" i="9"/>
  <c r="H24" i="11" s="1"/>
  <c r="D35" i="9"/>
  <c r="H35" i="11" s="1"/>
  <c r="D27" i="9"/>
  <c r="H27" i="11" s="1"/>
  <c r="D19" i="9"/>
  <c r="H19" i="11" s="1"/>
  <c r="D11" i="9"/>
  <c r="H11" i="11" s="1"/>
  <c r="D3" i="9"/>
  <c r="H3" i="11" s="1"/>
  <c r="D30" i="9"/>
  <c r="H30" i="11" s="1"/>
  <c r="D22" i="9"/>
  <c r="H22" i="11" s="1"/>
  <c r="D14" i="9"/>
  <c r="H14" i="11" s="1"/>
  <c r="D6" i="9"/>
  <c r="H6" i="11" s="1"/>
  <c r="D34" i="9"/>
  <c r="H34" i="11" s="1"/>
  <c r="D26" i="9"/>
  <c r="H26" i="11" s="1"/>
  <c r="D18" i="9"/>
  <c r="H18" i="11" s="1"/>
  <c r="D10" i="9"/>
  <c r="H10" i="11" s="1"/>
  <c r="D37" i="9"/>
  <c r="H37" i="11" s="1"/>
  <c r="D29" i="9"/>
  <c r="H29" i="11" s="1"/>
  <c r="D21" i="9"/>
  <c r="H21" i="11" s="1"/>
  <c r="D13" i="9"/>
  <c r="H13" i="11" s="1"/>
  <c r="D5" i="9"/>
  <c r="H5" i="11" s="1"/>
  <c r="D32" i="10"/>
  <c r="I32" i="11" s="1"/>
  <c r="D24" i="10"/>
  <c r="I24" i="11" s="1"/>
  <c r="D16" i="10"/>
  <c r="I16" i="11" s="1"/>
  <c r="D8" i="10"/>
  <c r="I8" i="11" s="1"/>
  <c r="D36" i="10"/>
  <c r="I36" i="11" s="1"/>
  <c r="D28" i="10"/>
  <c r="I28" i="11" s="1"/>
  <c r="D20" i="10"/>
  <c r="I20" i="11" s="1"/>
  <c r="D12" i="10"/>
  <c r="I12" i="11" s="1"/>
  <c r="D4" i="10"/>
  <c r="I4" i="11" s="1"/>
  <c r="D35" i="10"/>
  <c r="I35" i="11" s="1"/>
  <c r="D27" i="10"/>
  <c r="I27" i="11" s="1"/>
  <c r="D19" i="10"/>
  <c r="I19" i="11" s="1"/>
  <c r="D11" i="10"/>
  <c r="I11" i="11" s="1"/>
  <c r="D3" i="10"/>
  <c r="I3" i="11" s="1"/>
  <c r="D39" i="9"/>
  <c r="D38" i="10"/>
  <c r="D31" i="9"/>
  <c r="H31" i="11" s="1"/>
  <c r="D23" i="9"/>
  <c r="H23" i="11" s="1"/>
  <c r="D15" i="9"/>
  <c r="H15" i="11" s="1"/>
  <c r="D7" i="9"/>
  <c r="H7" i="11" s="1"/>
  <c r="D34" i="10"/>
  <c r="I34" i="11" s="1"/>
  <c r="D26" i="10"/>
  <c r="I26" i="11" s="1"/>
  <c r="D18" i="10"/>
  <c r="I18" i="11" s="1"/>
  <c r="D10" i="10"/>
  <c r="I10" i="11" s="1"/>
  <c r="D2" i="10"/>
  <c r="I2" i="11" s="1"/>
  <c r="D14" i="6"/>
  <c r="G14" i="11" s="1"/>
  <c r="G38" i="8"/>
  <c r="F38" i="8"/>
  <c r="E38" i="8"/>
  <c r="B38" i="8"/>
  <c r="D38" i="8"/>
  <c r="C38" i="8"/>
  <c r="A7" i="8"/>
  <c r="A9" i="8" s="1"/>
  <c r="A11" i="8" s="1"/>
  <c r="A13" i="8" s="1"/>
  <c r="A15" i="8" s="1"/>
  <c r="A17" i="8" s="1"/>
  <c r="A19" i="8" s="1"/>
  <c r="A21" i="8" s="1"/>
  <c r="A23" i="8" s="1"/>
  <c r="A25" i="8" s="1"/>
  <c r="A27" i="8" s="1"/>
  <c r="A29" i="8" s="1"/>
  <c r="A31" i="8" s="1"/>
  <c r="A33" i="8" s="1"/>
  <c r="A35" i="8" s="1"/>
  <c r="A6" i="8"/>
  <c r="A8" i="8" s="1"/>
  <c r="A10" i="8" s="1"/>
  <c r="A12" i="8" s="1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5" i="8"/>
  <c r="A4" i="8"/>
  <c r="A5" i="6"/>
  <c r="A7" i="6" s="1"/>
  <c r="A9" i="6" s="1"/>
  <c r="A11" i="6" s="1"/>
  <c r="A13" i="6" s="1"/>
  <c r="A15" i="6" s="1"/>
  <c r="A17" i="6" s="1"/>
  <c r="A19" i="6" s="1"/>
  <c r="A21" i="6" s="1"/>
  <c r="A23" i="6" s="1"/>
  <c r="A25" i="6" s="1"/>
  <c r="A27" i="6" s="1"/>
  <c r="A29" i="6" s="1"/>
  <c r="A31" i="6" s="1"/>
  <c r="A33" i="6" s="1"/>
  <c r="A35" i="6" s="1"/>
  <c r="A4" i="6"/>
  <c r="A6" i="6" s="1"/>
  <c r="A8" i="6" s="1"/>
  <c r="A10" i="6" s="1"/>
  <c r="A12" i="6" s="1"/>
  <c r="A14" i="6" s="1"/>
  <c r="A16" i="6" s="1"/>
  <c r="A18" i="6" s="1"/>
  <c r="A20" i="6" s="1"/>
  <c r="A22" i="6" s="1"/>
  <c r="A24" i="6" s="1"/>
  <c r="A26" i="6" s="1"/>
  <c r="A28" i="6" s="1"/>
  <c r="A30" i="6" s="1"/>
  <c r="A32" i="6" s="1"/>
  <c r="A34" i="6" s="1"/>
  <c r="A36" i="6" s="1"/>
  <c r="A5" i="5"/>
  <c r="A7" i="5" s="1"/>
  <c r="A9" i="5" s="1"/>
  <c r="A11" i="5" s="1"/>
  <c r="A13" i="5" s="1"/>
  <c r="A15" i="5" s="1"/>
  <c r="A17" i="5" s="1"/>
  <c r="A19" i="5" s="1"/>
  <c r="A21" i="5" s="1"/>
  <c r="A23" i="5" s="1"/>
  <c r="A25" i="5" s="1"/>
  <c r="A27" i="5" s="1"/>
  <c r="A29" i="5" s="1"/>
  <c r="A31" i="5" s="1"/>
  <c r="A33" i="5" s="1"/>
  <c r="A35" i="5" s="1"/>
  <c r="A4" i="5"/>
  <c r="A6" i="5" s="1"/>
  <c r="A8" i="5" s="1"/>
  <c r="A10" i="5" s="1"/>
  <c r="A12" i="5" s="1"/>
  <c r="A14" i="5" s="1"/>
  <c r="A16" i="5" s="1"/>
  <c r="A18" i="5" s="1"/>
  <c r="A20" i="5" s="1"/>
  <c r="A22" i="5" s="1"/>
  <c r="A24" i="5" s="1"/>
  <c r="A26" i="5" s="1"/>
  <c r="A28" i="5" s="1"/>
  <c r="A30" i="5" s="1"/>
  <c r="A32" i="5" s="1"/>
  <c r="A34" i="5" s="1"/>
  <c r="A36" i="5" s="1"/>
  <c r="A5" i="4"/>
  <c r="A7" i="4" s="1"/>
  <c r="A9" i="4" s="1"/>
  <c r="A11" i="4" s="1"/>
  <c r="A13" i="4" s="1"/>
  <c r="A15" i="4" s="1"/>
  <c r="A17" i="4" s="1"/>
  <c r="A19" i="4" s="1"/>
  <c r="A21" i="4" s="1"/>
  <c r="A23" i="4" s="1"/>
  <c r="A25" i="4" s="1"/>
  <c r="A27" i="4" s="1"/>
  <c r="A29" i="4" s="1"/>
  <c r="A31" i="4" s="1"/>
  <c r="A33" i="4" s="1"/>
  <c r="A35" i="4" s="1"/>
  <c r="A4" i="4"/>
  <c r="A6" i="4" s="1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5" i="3"/>
  <c r="A7" i="3" s="1"/>
  <c r="A9" i="3" s="1"/>
  <c r="A11" i="3" s="1"/>
  <c r="A13" i="3" s="1"/>
  <c r="A15" i="3" s="1"/>
  <c r="A17" i="3" s="1"/>
  <c r="A19" i="3" s="1"/>
  <c r="A21" i="3" s="1"/>
  <c r="A23" i="3" s="1"/>
  <c r="A25" i="3" s="1"/>
  <c r="A27" i="3" s="1"/>
  <c r="A29" i="3" s="1"/>
  <c r="A31" i="3" s="1"/>
  <c r="A33" i="3" s="1"/>
  <c r="A35" i="3" s="1"/>
  <c r="A4" i="3"/>
  <c r="A6" i="3" s="1"/>
  <c r="A8" i="3" s="1"/>
  <c r="A10" i="3" s="1"/>
  <c r="A12" i="3" s="1"/>
  <c r="A14" i="3" s="1"/>
  <c r="A16" i="3" s="1"/>
  <c r="A18" i="3" s="1"/>
  <c r="A20" i="3" s="1"/>
  <c r="A22" i="3" s="1"/>
  <c r="A24" i="3" s="1"/>
  <c r="A26" i="3" s="1"/>
  <c r="A28" i="3" s="1"/>
  <c r="A30" i="3" s="1"/>
  <c r="A32" i="3" s="1"/>
  <c r="A34" i="3" s="1"/>
  <c r="A36" i="3" s="1"/>
  <c r="A5" i="2"/>
  <c r="A7" i="2" s="1"/>
  <c r="A9" i="2" s="1"/>
  <c r="A11" i="2" s="1"/>
  <c r="A13" i="2" s="1"/>
  <c r="A15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4" i="2"/>
  <c r="A6" i="2" s="1"/>
  <c r="A8" i="2" s="1"/>
  <c r="A10" i="2" s="1"/>
  <c r="A12" i="2" s="1"/>
  <c r="A14" i="2" s="1"/>
  <c r="A16" i="2" s="1"/>
  <c r="A18" i="2" s="1"/>
  <c r="A20" i="2" s="1"/>
  <c r="A22" i="2" s="1"/>
  <c r="A24" i="2" s="1"/>
  <c r="A26" i="2" s="1"/>
  <c r="A28" i="2" s="1"/>
  <c r="A30" i="2" s="1"/>
  <c r="A32" i="2" s="1"/>
  <c r="A34" i="2" s="1"/>
  <c r="A36" i="2" s="1"/>
  <c r="A5" i="1"/>
  <c r="A7" i="1" s="1"/>
  <c r="A9" i="1" s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4" i="1"/>
  <c r="A6" i="1" s="1"/>
  <c r="A8" i="1" s="1"/>
  <c r="A10" i="1" s="1"/>
  <c r="A12" i="1" s="1"/>
  <c r="A14" i="1" s="1"/>
  <c r="A16" i="1" s="1"/>
  <c r="A18" i="1" s="1"/>
  <c r="A20" i="1" s="1"/>
  <c r="A22" i="1" s="1"/>
  <c r="A24" i="1" s="1"/>
  <c r="A26" i="1" s="1"/>
  <c r="A28" i="1" s="1"/>
  <c r="A30" i="1" s="1"/>
  <c r="A32" i="1" s="1"/>
  <c r="A34" i="1" s="1"/>
  <c r="A36" i="1" s="1"/>
  <c r="D8" i="6" l="1"/>
  <c r="G8" i="11" s="1"/>
  <c r="D7" i="6"/>
  <c r="G7" i="11" s="1"/>
  <c r="D13" i="6"/>
  <c r="G13" i="11" s="1"/>
  <c r="G8" i="8"/>
  <c r="G7" i="8"/>
  <c r="G14" i="8"/>
  <c r="G13" i="8"/>
  <c r="D11" i="6"/>
  <c r="G11" i="11" s="1"/>
  <c r="D3" i="6"/>
  <c r="G3" i="11" s="1"/>
  <c r="D10" i="6"/>
  <c r="G10" i="11" s="1"/>
  <c r="D12" i="6"/>
  <c r="G12" i="11" s="1"/>
  <c r="D9" i="6"/>
  <c r="G9" i="11" s="1"/>
  <c r="D15" i="6"/>
  <c r="G15" i="11" s="1"/>
  <c r="D16" i="6"/>
  <c r="G16" i="11" s="1"/>
  <c r="D17" i="6"/>
  <c r="G17" i="11" s="1"/>
  <c r="D18" i="6"/>
  <c r="G18" i="11" s="1"/>
  <c r="D2" i="6"/>
  <c r="G2" i="11" s="1"/>
  <c r="D2" i="5"/>
  <c r="F2" i="11" s="1"/>
  <c r="D35" i="4"/>
  <c r="E35" i="11" s="1"/>
  <c r="D30" i="6"/>
  <c r="G30" i="11" s="1"/>
  <c r="D31" i="6"/>
  <c r="G31" i="11" s="1"/>
  <c r="D32" i="6"/>
  <c r="G32" i="11" s="1"/>
  <c r="D33" i="6"/>
  <c r="G33" i="11" s="1"/>
  <c r="D34" i="6"/>
  <c r="G34" i="11" s="1"/>
  <c r="D35" i="6"/>
  <c r="G35" i="11" s="1"/>
  <c r="D36" i="6"/>
  <c r="G36" i="11" s="1"/>
  <c r="D37" i="6"/>
  <c r="G37" i="11" s="1"/>
  <c r="D36" i="4"/>
  <c r="E36" i="11" s="1"/>
  <c r="D19" i="6"/>
  <c r="G19" i="11" s="1"/>
  <c r="D21" i="6"/>
  <c r="G21" i="11" s="1"/>
  <c r="D22" i="6"/>
  <c r="G22" i="11" s="1"/>
  <c r="D20" i="6"/>
  <c r="G20" i="11" s="1"/>
  <c r="D23" i="6"/>
  <c r="G23" i="11" s="1"/>
  <c r="D24" i="6"/>
  <c r="G24" i="11" s="1"/>
  <c r="D25" i="6"/>
  <c r="G25" i="11" s="1"/>
  <c r="D26" i="6"/>
  <c r="G26" i="11" s="1"/>
  <c r="D27" i="6"/>
  <c r="G27" i="11" s="1"/>
  <c r="D6" i="3"/>
  <c r="D6" i="11" s="1"/>
  <c r="D8" i="3"/>
  <c r="D8" i="11" s="1"/>
  <c r="D13" i="3"/>
  <c r="D13" i="11" s="1"/>
  <c r="D17" i="3"/>
  <c r="D17" i="11" s="1"/>
  <c r="D22" i="3"/>
  <c r="D22" i="11" s="1"/>
  <c r="D3" i="3"/>
  <c r="D3" i="11" s="1"/>
  <c r="D9" i="3"/>
  <c r="D9" i="11" s="1"/>
  <c r="D10" i="3"/>
  <c r="D10" i="11" s="1"/>
  <c r="D18" i="3"/>
  <c r="D18" i="11" s="1"/>
  <c r="D24" i="3"/>
  <c r="D24" i="11" s="1"/>
  <c r="D5" i="3"/>
  <c r="D5" i="11" s="1"/>
  <c r="D12" i="3"/>
  <c r="D12" i="11" s="1"/>
  <c r="D16" i="3"/>
  <c r="D16" i="11" s="1"/>
  <c r="D21" i="3"/>
  <c r="D21" i="11" s="1"/>
  <c r="D25" i="3"/>
  <c r="D25" i="11" s="1"/>
  <c r="D4" i="3"/>
  <c r="D4" i="11" s="1"/>
  <c r="D15" i="3"/>
  <c r="D15" i="11" s="1"/>
  <c r="D19" i="3"/>
  <c r="D19" i="11" s="1"/>
  <c r="D23" i="3"/>
  <c r="D23" i="11" s="1"/>
  <c r="D11" i="3"/>
  <c r="D11" i="11" s="1"/>
  <c r="D7" i="3"/>
  <c r="D7" i="11" s="1"/>
  <c r="D14" i="3"/>
  <c r="D14" i="11" s="1"/>
  <c r="D20" i="3"/>
  <c r="D20" i="11" s="1"/>
  <c r="D4" i="6"/>
  <c r="G4" i="11" s="1"/>
  <c r="D5" i="6"/>
  <c r="G5" i="11" s="1"/>
  <c r="D6" i="6"/>
  <c r="G6" i="11" s="1"/>
  <c r="D28" i="6"/>
  <c r="G28" i="11" s="1"/>
  <c r="D29" i="6"/>
  <c r="G29" i="11" s="1"/>
  <c r="D6" i="4"/>
  <c r="E6" i="11" s="1"/>
  <c r="D10" i="4"/>
  <c r="E10" i="11" s="1"/>
  <c r="D13" i="4"/>
  <c r="E13" i="11" s="1"/>
  <c r="D17" i="4"/>
  <c r="E17" i="11" s="1"/>
  <c r="D20" i="4"/>
  <c r="E20" i="11" s="1"/>
  <c r="D23" i="4"/>
  <c r="E23" i="11" s="1"/>
  <c r="D26" i="4"/>
  <c r="E26" i="11" s="1"/>
  <c r="D29" i="4"/>
  <c r="E29" i="11" s="1"/>
  <c r="D32" i="4"/>
  <c r="E32" i="11" s="1"/>
  <c r="D7" i="4"/>
  <c r="E7" i="11" s="1"/>
  <c r="D11" i="4"/>
  <c r="E11" i="11" s="1"/>
  <c r="D14" i="4"/>
  <c r="E14" i="11" s="1"/>
  <c r="D18" i="4"/>
  <c r="E18" i="11" s="1"/>
  <c r="D21" i="4"/>
  <c r="E21" i="11" s="1"/>
  <c r="D24" i="4"/>
  <c r="E24" i="11" s="1"/>
  <c r="D27" i="4"/>
  <c r="E27" i="11" s="1"/>
  <c r="D30" i="4"/>
  <c r="E30" i="11" s="1"/>
  <c r="D33" i="4"/>
  <c r="E33" i="11" s="1"/>
  <c r="D3" i="4"/>
  <c r="E3" i="11" s="1"/>
  <c r="D4" i="4"/>
  <c r="E4" i="11" s="1"/>
  <c r="D5" i="4"/>
  <c r="E5" i="11" s="1"/>
  <c r="D8" i="4"/>
  <c r="E8" i="11" s="1"/>
  <c r="D9" i="4"/>
  <c r="E9" i="11" s="1"/>
  <c r="D12" i="4"/>
  <c r="E12" i="11" s="1"/>
  <c r="D15" i="4"/>
  <c r="E15" i="11" s="1"/>
  <c r="D16" i="4"/>
  <c r="E16" i="11" s="1"/>
  <c r="D19" i="4"/>
  <c r="E19" i="11" s="1"/>
  <c r="D22" i="4"/>
  <c r="E22" i="11" s="1"/>
  <c r="D25" i="4"/>
  <c r="E25" i="11" s="1"/>
  <c r="D28" i="4"/>
  <c r="E28" i="11" s="1"/>
  <c r="D31" i="4"/>
  <c r="E31" i="11" s="1"/>
  <c r="D34" i="4"/>
  <c r="E34" i="11" s="1"/>
  <c r="D2" i="4"/>
  <c r="E2" i="11" s="1"/>
  <c r="D30" i="3"/>
  <c r="D30" i="11" s="1"/>
  <c r="D31" i="3"/>
  <c r="D31" i="11" s="1"/>
  <c r="D32" i="3"/>
  <c r="D32" i="11" s="1"/>
  <c r="D33" i="3"/>
  <c r="D33" i="11" s="1"/>
  <c r="D34" i="3"/>
  <c r="D34" i="11" s="1"/>
  <c r="D35" i="3"/>
  <c r="D35" i="11" s="1"/>
  <c r="D36" i="3"/>
  <c r="D36" i="11" s="1"/>
  <c r="D3" i="5"/>
  <c r="F3" i="11" s="1"/>
  <c r="D4" i="5"/>
  <c r="F4" i="11" s="1"/>
  <c r="D5" i="5"/>
  <c r="F5" i="11" s="1"/>
  <c r="D6" i="5"/>
  <c r="F6" i="11" s="1"/>
  <c r="D7" i="5"/>
  <c r="F7" i="11" s="1"/>
  <c r="D8" i="5"/>
  <c r="F8" i="11" s="1"/>
  <c r="D9" i="5"/>
  <c r="F9" i="11" s="1"/>
  <c r="D10" i="5"/>
  <c r="F10" i="11" s="1"/>
  <c r="D11" i="5"/>
  <c r="F11" i="11" s="1"/>
  <c r="D12" i="5"/>
  <c r="F12" i="11" s="1"/>
  <c r="D13" i="5"/>
  <c r="F13" i="11" s="1"/>
  <c r="D14" i="5"/>
  <c r="F14" i="11" s="1"/>
  <c r="D15" i="5"/>
  <c r="F15" i="11" s="1"/>
  <c r="D16" i="5"/>
  <c r="F16" i="11" s="1"/>
  <c r="D17" i="5"/>
  <c r="F17" i="11" s="1"/>
  <c r="D18" i="5"/>
  <c r="F18" i="11" s="1"/>
  <c r="D19" i="5"/>
  <c r="F19" i="11" s="1"/>
  <c r="D20" i="5"/>
  <c r="F20" i="11" s="1"/>
  <c r="D21" i="5"/>
  <c r="F21" i="11" s="1"/>
  <c r="D22" i="5"/>
  <c r="F22" i="11" s="1"/>
  <c r="D23" i="5"/>
  <c r="F23" i="11" s="1"/>
  <c r="D24" i="5"/>
  <c r="F24" i="11" s="1"/>
  <c r="D25" i="5"/>
  <c r="F25" i="11" s="1"/>
  <c r="D26" i="5"/>
  <c r="F26" i="11" s="1"/>
  <c r="D37" i="4"/>
  <c r="E37" i="11" s="1"/>
  <c r="D26" i="3"/>
  <c r="D26" i="11" s="1"/>
  <c r="D27" i="3"/>
  <c r="D27" i="11" s="1"/>
  <c r="D28" i="3"/>
  <c r="D28" i="11" s="1"/>
  <c r="D29" i="3"/>
  <c r="D29" i="11" s="1"/>
  <c r="D27" i="5"/>
  <c r="F27" i="11" s="1"/>
  <c r="D28" i="5"/>
  <c r="F28" i="11" s="1"/>
  <c r="D29" i="5"/>
  <c r="F29" i="11" s="1"/>
  <c r="D30" i="5"/>
  <c r="F30" i="11" s="1"/>
  <c r="D31" i="5"/>
  <c r="F31" i="11" s="1"/>
  <c r="D32" i="5"/>
  <c r="F32" i="11" s="1"/>
  <c r="D33" i="5"/>
  <c r="F33" i="11" s="1"/>
  <c r="D34" i="5"/>
  <c r="F34" i="11" s="1"/>
  <c r="D35" i="5"/>
  <c r="F35" i="11" s="1"/>
  <c r="D36" i="5"/>
  <c r="F36" i="11" s="1"/>
  <c r="D37" i="5"/>
  <c r="F37" i="11" s="1"/>
  <c r="D37" i="3"/>
  <c r="D37" i="11" s="1"/>
  <c r="D2" i="3"/>
  <c r="D2" i="11" s="1"/>
  <c r="D3" i="2"/>
  <c r="C3" i="11" s="1"/>
  <c r="D5" i="2"/>
  <c r="C5" i="11" s="1"/>
  <c r="D7" i="2"/>
  <c r="C7" i="11" s="1"/>
  <c r="D8" i="2"/>
  <c r="C8" i="11" s="1"/>
  <c r="D9" i="2"/>
  <c r="C9" i="11" s="1"/>
  <c r="D13" i="2"/>
  <c r="C13" i="11" s="1"/>
  <c r="D16" i="2"/>
  <c r="C16" i="11" s="1"/>
  <c r="D19" i="2"/>
  <c r="C19" i="11" s="1"/>
  <c r="D22" i="2"/>
  <c r="C22" i="11" s="1"/>
  <c r="D25" i="2"/>
  <c r="C25" i="11" s="1"/>
  <c r="D27" i="2"/>
  <c r="C27" i="11" s="1"/>
  <c r="D28" i="2"/>
  <c r="C28" i="11" s="1"/>
  <c r="D29" i="2"/>
  <c r="C29" i="11" s="1"/>
  <c r="D30" i="2"/>
  <c r="C30" i="11" s="1"/>
  <c r="D31" i="2"/>
  <c r="C31" i="11" s="1"/>
  <c r="D32" i="2"/>
  <c r="C32" i="11" s="1"/>
  <c r="D33" i="2"/>
  <c r="C33" i="11" s="1"/>
  <c r="D34" i="2"/>
  <c r="C34" i="11" s="1"/>
  <c r="D35" i="2"/>
  <c r="C35" i="11" s="1"/>
  <c r="D36" i="2"/>
  <c r="C36" i="11" s="1"/>
  <c r="D37" i="2"/>
  <c r="C37" i="11" s="1"/>
  <c r="D4" i="2"/>
  <c r="C4" i="11" s="1"/>
  <c r="D10" i="2"/>
  <c r="C10" i="11" s="1"/>
  <c r="D12" i="2"/>
  <c r="C12" i="11" s="1"/>
  <c r="D18" i="2"/>
  <c r="C18" i="11" s="1"/>
  <c r="D21" i="2"/>
  <c r="C21" i="11" s="1"/>
  <c r="D24" i="2"/>
  <c r="C24" i="11" s="1"/>
  <c r="D6" i="2"/>
  <c r="C6" i="11" s="1"/>
  <c r="D11" i="2"/>
  <c r="C11" i="11" s="1"/>
  <c r="D14" i="2"/>
  <c r="C14" i="11" s="1"/>
  <c r="D17" i="2"/>
  <c r="C17" i="11" s="1"/>
  <c r="D20" i="2"/>
  <c r="C20" i="11" s="1"/>
  <c r="D23" i="2"/>
  <c r="C23" i="11" s="1"/>
  <c r="D26" i="2"/>
  <c r="C26" i="11" s="1"/>
  <c r="D2" i="2"/>
  <c r="C2" i="11" s="1"/>
  <c r="D3" i="1"/>
  <c r="B3" i="11" s="1"/>
  <c r="D17" i="1"/>
  <c r="B17" i="11" s="1"/>
  <c r="D19" i="1"/>
  <c r="B19" i="11" s="1"/>
  <c r="D20" i="1"/>
  <c r="B20" i="11" s="1"/>
  <c r="D21" i="1"/>
  <c r="B21" i="11" s="1"/>
  <c r="D22" i="1"/>
  <c r="B22" i="11" s="1"/>
  <c r="D27" i="1"/>
  <c r="B27" i="11" s="1"/>
  <c r="D30" i="1"/>
  <c r="B30" i="11" s="1"/>
  <c r="D31" i="1"/>
  <c r="B31" i="11" s="1"/>
  <c r="D34" i="1"/>
  <c r="B34" i="11" s="1"/>
  <c r="D6" i="1"/>
  <c r="B6" i="11" s="1"/>
  <c r="D4" i="1"/>
  <c r="B4" i="11" s="1"/>
  <c r="D29" i="1"/>
  <c r="B29" i="11" s="1"/>
  <c r="D35" i="1"/>
  <c r="B35" i="11" s="1"/>
  <c r="D37" i="1"/>
  <c r="B37" i="11" s="1"/>
  <c r="D11" i="1"/>
  <c r="B11" i="11" s="1"/>
  <c r="D32" i="1"/>
  <c r="B32" i="11" s="1"/>
  <c r="D36" i="1"/>
  <c r="B36" i="11" s="1"/>
  <c r="D5" i="1"/>
  <c r="B5" i="11" s="1"/>
  <c r="D8" i="1"/>
  <c r="B8" i="11" s="1"/>
  <c r="D12" i="1"/>
  <c r="B12" i="11" s="1"/>
  <c r="D7" i="1"/>
  <c r="B7" i="11" s="1"/>
  <c r="D13" i="1"/>
  <c r="B13" i="11" s="1"/>
  <c r="D26" i="1"/>
  <c r="B26" i="11" s="1"/>
  <c r="D10" i="1"/>
  <c r="B10" i="11" s="1"/>
  <c r="D33" i="1"/>
  <c r="B33" i="11" s="1"/>
  <c r="D25" i="1"/>
  <c r="B25" i="11" s="1"/>
  <c r="D9" i="1"/>
  <c r="B9" i="11" s="1"/>
  <c r="D24" i="1"/>
  <c r="B24" i="11" s="1"/>
  <c r="D16" i="1"/>
  <c r="B16" i="11" s="1"/>
  <c r="D14" i="1"/>
  <c r="B14" i="11" s="1"/>
  <c r="D28" i="1"/>
  <c r="B28" i="11" s="1"/>
  <c r="D18" i="1"/>
  <c r="B18" i="11" s="1"/>
  <c r="D23" i="1"/>
  <c r="B23" i="11" s="1"/>
  <c r="D15" i="1"/>
  <c r="B15" i="11" s="1"/>
  <c r="D2" i="1"/>
  <c r="B2" i="11" s="1"/>
  <c r="B3" i="8" l="1"/>
  <c r="C6" i="8"/>
  <c r="C36" i="8"/>
  <c r="C28" i="8"/>
  <c r="C8" i="8"/>
  <c r="F35" i="8"/>
  <c r="F27" i="8"/>
  <c r="F24" i="8"/>
  <c r="F16" i="8"/>
  <c r="F8" i="8"/>
  <c r="D34" i="8"/>
  <c r="E28" i="8"/>
  <c r="E8" i="8"/>
  <c r="E21" i="8"/>
  <c r="E23" i="8"/>
  <c r="G6" i="8"/>
  <c r="D19" i="8"/>
  <c r="D24" i="8"/>
  <c r="D8" i="8"/>
  <c r="G22" i="8"/>
  <c r="G33" i="8"/>
  <c r="G17" i="8"/>
  <c r="B18" i="8"/>
  <c r="B10" i="8"/>
  <c r="B32" i="8"/>
  <c r="B31" i="8"/>
  <c r="B28" i="8"/>
  <c r="B26" i="8"/>
  <c r="B11" i="8"/>
  <c r="B30" i="8"/>
  <c r="C7" i="8"/>
  <c r="F34" i="8"/>
  <c r="D29" i="8"/>
  <c r="F23" i="8"/>
  <c r="F15" i="8"/>
  <c r="F7" i="8"/>
  <c r="D33" i="8"/>
  <c r="E25" i="8"/>
  <c r="E5" i="8"/>
  <c r="E18" i="8"/>
  <c r="E20" i="8"/>
  <c r="G5" i="8"/>
  <c r="D15" i="8"/>
  <c r="D18" i="8"/>
  <c r="D6" i="8"/>
  <c r="G21" i="8"/>
  <c r="G32" i="8"/>
  <c r="G16" i="8"/>
  <c r="C24" i="8"/>
  <c r="C35" i="8"/>
  <c r="C27" i="8"/>
  <c r="B14" i="8"/>
  <c r="B13" i="8"/>
  <c r="B37" i="8"/>
  <c r="B27" i="8"/>
  <c r="C26" i="8"/>
  <c r="C21" i="8"/>
  <c r="C34" i="8"/>
  <c r="C25" i="8"/>
  <c r="C5" i="8"/>
  <c r="D28" i="8"/>
  <c r="F22" i="8"/>
  <c r="F14" i="8"/>
  <c r="F6" i="8"/>
  <c r="D32" i="8"/>
  <c r="E22" i="8"/>
  <c r="E4" i="8"/>
  <c r="E14" i="8"/>
  <c r="E17" i="8"/>
  <c r="D4" i="8"/>
  <c r="D10" i="8"/>
  <c r="G27" i="8"/>
  <c r="G19" i="8"/>
  <c r="G31" i="8"/>
  <c r="G15" i="8"/>
  <c r="B22" i="8"/>
  <c r="C23" i="8"/>
  <c r="C18" i="8"/>
  <c r="C22" i="8"/>
  <c r="C3" i="8"/>
  <c r="D27" i="8"/>
  <c r="F21" i="8"/>
  <c r="F13" i="8"/>
  <c r="F5" i="8"/>
  <c r="D31" i="8"/>
  <c r="E19" i="8"/>
  <c r="E11" i="8"/>
  <c r="E13" i="8"/>
  <c r="D20" i="8"/>
  <c r="D25" i="8"/>
  <c r="D9" i="8"/>
  <c r="G26" i="8"/>
  <c r="E36" i="8"/>
  <c r="G30" i="8"/>
  <c r="G9" i="8"/>
  <c r="B16" i="8"/>
  <c r="B7" i="8"/>
  <c r="C33" i="8"/>
  <c r="B24" i="8"/>
  <c r="B12" i="8"/>
  <c r="B29" i="8"/>
  <c r="B21" i="8"/>
  <c r="C20" i="8"/>
  <c r="C12" i="8"/>
  <c r="C32" i="8"/>
  <c r="C19" i="8"/>
  <c r="D26" i="8"/>
  <c r="F20" i="8"/>
  <c r="F4" i="8"/>
  <c r="D30" i="8"/>
  <c r="E16" i="8"/>
  <c r="E33" i="8"/>
  <c r="E7" i="8"/>
  <c r="E10" i="8"/>
  <c r="D14" i="8"/>
  <c r="D21" i="8"/>
  <c r="D3" i="8"/>
  <c r="G25" i="8"/>
  <c r="G37" i="8"/>
  <c r="E35" i="8"/>
  <c r="G12" i="8"/>
  <c r="F31" i="8"/>
  <c r="E37" i="8"/>
  <c r="F19" i="8"/>
  <c r="F11" i="8"/>
  <c r="F3" i="8"/>
  <c r="E2" i="8"/>
  <c r="E15" i="8"/>
  <c r="E30" i="8"/>
  <c r="E32" i="8"/>
  <c r="E6" i="8"/>
  <c r="D7" i="8"/>
  <c r="D16" i="8"/>
  <c r="D22" i="8"/>
  <c r="G24" i="8"/>
  <c r="G36" i="8"/>
  <c r="F2" i="8"/>
  <c r="G10" i="8"/>
  <c r="F30" i="8"/>
  <c r="B15" i="8"/>
  <c r="B25" i="8"/>
  <c r="B5" i="8"/>
  <c r="B6" i="8"/>
  <c r="B19" i="8"/>
  <c r="C14" i="8"/>
  <c r="C4" i="8"/>
  <c r="C30" i="8"/>
  <c r="C13" i="8"/>
  <c r="F37" i="8"/>
  <c r="F29" i="8"/>
  <c r="F26" i="8"/>
  <c r="F18" i="8"/>
  <c r="F10" i="8"/>
  <c r="D36" i="8"/>
  <c r="E34" i="8"/>
  <c r="E12" i="8"/>
  <c r="E27" i="8"/>
  <c r="E29" i="8"/>
  <c r="G29" i="8"/>
  <c r="D11" i="8"/>
  <c r="D12" i="8"/>
  <c r="D17" i="8"/>
  <c r="G23" i="8"/>
  <c r="G35" i="8"/>
  <c r="G2" i="8"/>
  <c r="G3" i="8"/>
  <c r="B35" i="8"/>
  <c r="F12" i="8"/>
  <c r="B9" i="8"/>
  <c r="B8" i="8"/>
  <c r="B4" i="8"/>
  <c r="B20" i="8"/>
  <c r="C17" i="8"/>
  <c r="C10" i="8"/>
  <c r="C31" i="8"/>
  <c r="C16" i="8"/>
  <c r="D37" i="8"/>
  <c r="B23" i="8"/>
  <c r="B33" i="8"/>
  <c r="B36" i="8"/>
  <c r="B34" i="8"/>
  <c r="B17" i="8"/>
  <c r="C11" i="8"/>
  <c r="C37" i="8"/>
  <c r="C29" i="8"/>
  <c r="C9" i="8"/>
  <c r="F36" i="8"/>
  <c r="F28" i="8"/>
  <c r="F25" i="8"/>
  <c r="F17" i="8"/>
  <c r="F9" i="8"/>
  <c r="D35" i="8"/>
  <c r="E31" i="8"/>
  <c r="E9" i="8"/>
  <c r="E24" i="8"/>
  <c r="E26" i="8"/>
  <c r="G28" i="8"/>
  <c r="D23" i="8"/>
  <c r="D5" i="8"/>
  <c r="D13" i="8"/>
  <c r="G20" i="8"/>
  <c r="G34" i="8"/>
  <c r="G18" i="8"/>
  <c r="G11" i="8"/>
  <c r="G4" i="8"/>
  <c r="D39" i="6"/>
  <c r="D40" i="6"/>
  <c r="E3" i="8"/>
  <c r="D39" i="4"/>
  <c r="D40" i="4"/>
  <c r="F32" i="8"/>
  <c r="D40" i="5"/>
  <c r="F33" i="8"/>
  <c r="D39" i="5"/>
  <c r="D2" i="8"/>
  <c r="D40" i="3"/>
  <c r="D39" i="3"/>
  <c r="D15" i="2"/>
  <c r="C15" i="11" s="1"/>
  <c r="K1" i="11" s="1" a="1"/>
  <c r="C2" i="8"/>
  <c r="D40" i="1"/>
  <c r="D39" i="1"/>
  <c r="B2" i="8"/>
  <c r="K1" i="11" l="1"/>
  <c r="I1" i="7" s="1"/>
  <c r="J1" i="7"/>
  <c r="R1" i="7"/>
  <c r="Z1" i="7"/>
  <c r="AH1" i="7"/>
  <c r="AP1" i="7"/>
  <c r="U2" i="7"/>
  <c r="AC2" i="7"/>
  <c r="AK2" i="7"/>
  <c r="AS2" i="7"/>
  <c r="X3" i="7"/>
  <c r="AF3" i="7"/>
  <c r="AN3" i="7"/>
  <c r="AA4" i="7"/>
  <c r="AI4" i="7"/>
  <c r="AQ4" i="7"/>
  <c r="V5" i="7"/>
  <c r="AD5" i="7"/>
  <c r="AL5" i="7"/>
  <c r="I6" i="7"/>
  <c r="Y6" i="7"/>
  <c r="AG6" i="7"/>
  <c r="AO6" i="7"/>
  <c r="L7" i="7"/>
  <c r="T7" i="7"/>
  <c r="AB7" i="7"/>
  <c r="AJ7" i="7"/>
  <c r="AR7" i="7"/>
  <c r="AI8" i="7"/>
  <c r="AQ8" i="7"/>
  <c r="AD9" i="7"/>
  <c r="AL9" i="7"/>
  <c r="K1" i="7"/>
  <c r="S1" i="7"/>
  <c r="AA1" i="7"/>
  <c r="AI1" i="7"/>
  <c r="AQ1" i="7"/>
  <c r="V2" i="7"/>
  <c r="AD2" i="7"/>
  <c r="AL2" i="7"/>
  <c r="I3" i="7"/>
  <c r="Y3" i="7"/>
  <c r="AG3" i="7"/>
  <c r="AO3" i="7"/>
  <c r="AB4" i="7"/>
  <c r="AJ4" i="7"/>
  <c r="AR4" i="7"/>
  <c r="W5" i="7"/>
  <c r="AE5" i="7"/>
  <c r="AM5" i="7"/>
  <c r="Z6" i="7"/>
  <c r="AH6" i="7"/>
  <c r="AP6" i="7"/>
  <c r="M7" i="7"/>
  <c r="U7" i="7"/>
  <c r="AC7" i="7"/>
  <c r="AK7" i="7"/>
  <c r="AS7" i="7"/>
  <c r="AJ8" i="7"/>
  <c r="AR8" i="7"/>
  <c r="AE9" i="7"/>
  <c r="AM9" i="7"/>
  <c r="AF5" i="7"/>
  <c r="AN5" i="7"/>
  <c r="AA6" i="7"/>
  <c r="AI6" i="7"/>
  <c r="AQ6" i="7"/>
  <c r="N7" i="7"/>
  <c r="V7" i="7"/>
  <c r="L1" i="7"/>
  <c r="T1" i="7"/>
  <c r="AB1" i="7"/>
  <c r="AJ1" i="7"/>
  <c r="AR1" i="7"/>
  <c r="W2" i="7"/>
  <c r="AE2" i="7"/>
  <c r="AM2" i="7"/>
  <c r="Z3" i="7"/>
  <c r="AH3" i="7"/>
  <c r="AP3" i="7"/>
  <c r="AC4" i="7"/>
  <c r="AK4" i="7"/>
  <c r="AS4" i="7"/>
  <c r="X5" i="7"/>
  <c r="W1" i="7"/>
  <c r="AK1" i="7"/>
  <c r="Y2" i="7"/>
  <c r="AJ2" i="7"/>
  <c r="AA3" i="7"/>
  <c r="AL3" i="7"/>
  <c r="Z4" i="7"/>
  <c r="AN4" i="7"/>
  <c r="AB5" i="7"/>
  <c r="AP5" i="7"/>
  <c r="AD6" i="7"/>
  <c r="AR6" i="7"/>
  <c r="R7" i="7"/>
  <c r="AE7" i="7"/>
  <c r="AO7" i="7"/>
  <c r="AH8" i="7"/>
  <c r="I9" i="7"/>
  <c r="AA9" i="7"/>
  <c r="AK9" i="7"/>
  <c r="AS6" i="7"/>
  <c r="S7" i="7"/>
  <c r="AP7" i="7"/>
  <c r="AK8" i="7"/>
  <c r="AN9" i="7"/>
  <c r="AQ7" i="7"/>
  <c r="AL8" i="7"/>
  <c r="AC9" i="7"/>
  <c r="AN1" i="7"/>
  <c r="T5" i="7"/>
  <c r="AJ6" i="7"/>
  <c r="AH7" i="7"/>
  <c r="AK6" i="7"/>
  <c r="M1" i="7"/>
  <c r="X1" i="7"/>
  <c r="AL1" i="7"/>
  <c r="Z2" i="7"/>
  <c r="AN2" i="7"/>
  <c r="AB3" i="7"/>
  <c r="AM3" i="7"/>
  <c r="AD4" i="7"/>
  <c r="AO4" i="7"/>
  <c r="AC5" i="7"/>
  <c r="AQ5" i="7"/>
  <c r="AE6" i="7"/>
  <c r="AF7" i="7"/>
  <c r="AB9" i="7"/>
  <c r="AC1" i="7"/>
  <c r="AD3" i="7"/>
  <c r="AF4" i="7"/>
  <c r="AH5" i="7"/>
  <c r="J7" i="7"/>
  <c r="I8" i="7"/>
  <c r="AF9" i="7"/>
  <c r="U5" i="7"/>
  <c r="Y7" i="7"/>
  <c r="AG9" i="7"/>
  <c r="N1" i="7"/>
  <c r="Y1" i="7"/>
  <c r="AM1" i="7"/>
  <c r="AA2" i="7"/>
  <c r="AO2" i="7"/>
  <c r="AC3" i="7"/>
  <c r="AQ3" i="7"/>
  <c r="AE4" i="7"/>
  <c r="AP4" i="7"/>
  <c r="AG5" i="7"/>
  <c r="AR5" i="7"/>
  <c r="AF6" i="7"/>
  <c r="I7" i="7"/>
  <c r="W7" i="7"/>
  <c r="AG7" i="7"/>
  <c r="AO9" i="7"/>
  <c r="AP2" i="7"/>
  <c r="AR3" i="7"/>
  <c r="I5" i="7"/>
  <c r="X7" i="7"/>
  <c r="AM8" i="7"/>
  <c r="AI5" i="7"/>
  <c r="AI7" i="7"/>
  <c r="O1" i="7"/>
  <c r="AB2" i="7"/>
  <c r="AS5" i="7"/>
  <c r="P1" i="7"/>
  <c r="AD1" i="7"/>
  <c r="AO1" i="7"/>
  <c r="AF2" i="7"/>
  <c r="AQ2" i="7"/>
  <c r="T3" i="7"/>
  <c r="AE3" i="7"/>
  <c r="AS3" i="7"/>
  <c r="AG4" i="7"/>
  <c r="AN8" i="7"/>
  <c r="Q1" i="7"/>
  <c r="AE1" i="7"/>
  <c r="AS1" i="7"/>
  <c r="AG2" i="7"/>
  <c r="AR2" i="7"/>
  <c r="U3" i="7"/>
  <c r="AI3" i="7"/>
  <c r="I4" i="7"/>
  <c r="W4" i="7"/>
  <c r="AH4" i="7"/>
  <c r="Y5" i="7"/>
  <c r="AJ5" i="7"/>
  <c r="X6" i="7"/>
  <c r="AL6" i="7"/>
  <c r="O7" i="7"/>
  <c r="Z7" i="7"/>
  <c r="AL7" i="7"/>
  <c r="AO8" i="7"/>
  <c r="X9" i="7"/>
  <c r="AH9" i="7"/>
  <c r="AR9" i="7"/>
  <c r="V1" i="7"/>
  <c r="X2" i="7"/>
  <c r="W3" i="7"/>
  <c r="AM4" i="7"/>
  <c r="AA5" i="7"/>
  <c r="AN6" i="7"/>
  <c r="AD7" i="7"/>
  <c r="AG8" i="7"/>
  <c r="Z9" i="7"/>
  <c r="AP9" i="7"/>
  <c r="W6" i="7"/>
  <c r="K7" i="7"/>
  <c r="AQ9" i="7"/>
  <c r="U1" i="7"/>
  <c r="AF1" i="7"/>
  <c r="I2" i="7"/>
  <c r="AH2" i="7"/>
  <c r="V3" i="7"/>
  <c r="AJ3" i="7"/>
  <c r="X4" i="7"/>
  <c r="AL4" i="7"/>
  <c r="Z5" i="7"/>
  <c r="AK5" i="7"/>
  <c r="AB6" i="7"/>
  <c r="AM6" i="7"/>
  <c r="P7" i="7"/>
  <c r="AA7" i="7"/>
  <c r="AM7" i="7"/>
  <c r="AF8" i="7"/>
  <c r="AP8" i="7"/>
  <c r="Y9" i="7"/>
  <c r="AI9" i="7"/>
  <c r="AS9" i="7"/>
  <c r="AG1" i="7"/>
  <c r="AI2" i="7"/>
  <c r="AK3" i="7"/>
  <c r="Y4" i="7"/>
  <c r="AO5" i="7"/>
  <c r="AC6" i="7"/>
  <c r="Q7" i="7"/>
  <c r="AN7" i="7"/>
  <c r="AS8" i="7"/>
  <c r="AJ9" i="7"/>
  <c r="D40" i="2"/>
  <c r="C40" i="8" s="1"/>
  <c r="F40" i="8"/>
  <c r="E40" i="8"/>
  <c r="E39" i="8"/>
  <c r="D39" i="8"/>
  <c r="D40" i="8"/>
  <c r="G40" i="8"/>
  <c r="B39" i="8"/>
  <c r="G39" i="8"/>
  <c r="F39" i="8"/>
  <c r="B40" i="8"/>
  <c r="C15" i="8"/>
  <c r="I1" i="8" s="1" a="1"/>
  <c r="D39" i="2"/>
  <c r="C39" i="8" l="1"/>
  <c r="AO1" i="8"/>
  <c r="K1" i="8"/>
  <c r="AJ4" i="8"/>
  <c r="Z7" i="8"/>
  <c r="R2" i="8"/>
  <c r="T6" i="8"/>
  <c r="W5" i="8"/>
  <c r="Z2" i="8"/>
  <c r="AK5" i="8"/>
  <c r="V4" i="8"/>
  <c r="O4" i="8"/>
  <c r="AP2" i="8"/>
  <c r="Q6" i="8"/>
  <c r="R1" i="8"/>
  <c r="N4" i="8"/>
  <c r="U2" i="8"/>
  <c r="AD7" i="8"/>
  <c r="I1" i="8"/>
  <c r="J6" i="8"/>
  <c r="M3" i="8"/>
  <c r="Q2" i="8"/>
  <c r="J7" i="8"/>
  <c r="W3" i="8"/>
  <c r="AQ5" i="8"/>
  <c r="AH7" i="8"/>
  <c r="U4" i="8"/>
  <c r="L2" i="8"/>
  <c r="AG2" i="8"/>
  <c r="AC4" i="8"/>
  <c r="AA7" i="8"/>
  <c r="AD1" i="8"/>
  <c r="W1" i="8"/>
  <c r="R7" i="8"/>
  <c r="T3" i="8"/>
  <c r="AI4" i="8"/>
  <c r="N7" i="8"/>
  <c r="K4" i="8"/>
  <c r="R5" i="8"/>
  <c r="V2" i="8"/>
  <c r="Q1" i="8"/>
  <c r="O5" i="8"/>
  <c r="Q4" i="8"/>
  <c r="AR4" i="8"/>
  <c r="AC7" i="8"/>
  <c r="M5" i="8"/>
  <c r="T5" i="8"/>
  <c r="K7" i="8"/>
  <c r="M6" i="8"/>
  <c r="AF3" i="8"/>
  <c r="Z6" i="8"/>
  <c r="AJ3" i="8"/>
  <c r="AQ1" i="8"/>
  <c r="AN7" i="8"/>
  <c r="AC2" i="8"/>
  <c r="AL4" i="8"/>
  <c r="AM1" i="8"/>
  <c r="I5" i="8"/>
  <c r="Z3" i="8"/>
  <c r="AK4" i="8"/>
  <c r="AL3" i="8"/>
  <c r="AH3" i="8"/>
  <c r="I4" i="8"/>
  <c r="AF6" i="8"/>
  <c r="V1" i="8"/>
  <c r="AJ6" i="8"/>
  <c r="AD6" i="8"/>
  <c r="AG6" i="8"/>
  <c r="AF4" i="8"/>
  <c r="AO6" i="8"/>
  <c r="Y7" i="8"/>
  <c r="V5" i="8"/>
  <c r="AR3" i="8"/>
  <c r="Y4" i="8"/>
  <c r="AG3" i="8"/>
  <c r="AO4" i="8"/>
  <c r="AO5" i="8"/>
  <c r="N2" i="8"/>
  <c r="S7" i="8"/>
  <c r="AG4" i="8"/>
  <c r="Y5" i="8"/>
  <c r="AD5" i="8"/>
  <c r="N6" i="8"/>
  <c r="AJ2" i="8"/>
  <c r="P2" i="8"/>
  <c r="S5" i="8"/>
  <c r="Y6" i="8"/>
  <c r="AR5" i="8"/>
  <c r="AO3" i="8"/>
  <c r="AA2" i="8"/>
  <c r="AL6" i="8"/>
  <c r="AH4" i="8"/>
  <c r="K3" i="8"/>
  <c r="N3" i="8"/>
  <c r="J3" i="8"/>
  <c r="AQ6" i="8"/>
  <c r="AN6" i="8"/>
  <c r="AF2" i="8"/>
  <c r="AH1" i="8"/>
  <c r="AM7" i="8"/>
  <c r="AP1" i="8"/>
  <c r="AR1" i="8"/>
  <c r="AS7" i="8"/>
  <c r="T7" i="8"/>
  <c r="AD3" i="8"/>
  <c r="P6" i="8"/>
  <c r="P4" i="8"/>
  <c r="AS6" i="8"/>
  <c r="U7" i="8"/>
  <c r="X5" i="8"/>
  <c r="M7" i="8"/>
  <c r="AR6" i="8"/>
  <c r="AE1" i="8"/>
  <c r="T4" i="8"/>
  <c r="O3" i="8"/>
  <c r="Y2" i="8"/>
  <c r="J5" i="8"/>
  <c r="AK1" i="8"/>
  <c r="AQ4" i="8"/>
  <c r="I7" i="8"/>
  <c r="N5" i="8"/>
  <c r="AJ1" i="8"/>
  <c r="AB2" i="8"/>
  <c r="N1" i="8"/>
  <c r="AF7" i="8"/>
  <c r="P3" i="8"/>
  <c r="X2" i="8"/>
  <c r="P7" i="8"/>
  <c r="X3" i="8"/>
  <c r="L5" i="8"/>
  <c r="AL7" i="8"/>
  <c r="AG1" i="8"/>
  <c r="I6" i="8"/>
  <c r="AR2" i="8"/>
  <c r="AP3" i="8"/>
  <c r="AI6" i="8"/>
  <c r="R4" i="8"/>
  <c r="AS1" i="8"/>
  <c r="L1" i="8"/>
  <c r="AE5" i="8"/>
  <c r="AP5" i="8"/>
  <c r="AI3" i="8"/>
  <c r="AK7" i="8"/>
  <c r="AC1" i="8"/>
  <c r="W2" i="8"/>
  <c r="S1" i="8"/>
  <c r="AN1" i="8"/>
  <c r="AG5" i="8"/>
  <c r="AH5" i="8"/>
  <c r="L7" i="8"/>
  <c r="R3" i="8"/>
  <c r="T2" i="8"/>
  <c r="W7" i="8"/>
  <c r="O2" i="8"/>
  <c r="AJ7" i="8"/>
  <c r="X6" i="8"/>
  <c r="Y1" i="8"/>
  <c r="AB1" i="8"/>
  <c r="AS5" i="8"/>
  <c r="AA6" i="8"/>
  <c r="M4" i="8"/>
  <c r="AA3" i="8"/>
  <c r="AE7" i="8"/>
  <c r="AP7" i="8"/>
  <c r="V3" i="8"/>
  <c r="U5" i="8"/>
  <c r="AM2" i="8"/>
  <c r="AB4" i="8"/>
  <c r="M1" i="8"/>
  <c r="AR7" i="8"/>
  <c r="X1" i="8"/>
  <c r="S4" i="8"/>
  <c r="U6" i="8"/>
  <c r="AF5" i="8"/>
  <c r="O7" i="8"/>
  <c r="AC5" i="8"/>
  <c r="P5" i="8"/>
  <c r="V6" i="8"/>
  <c r="AA4" i="8"/>
  <c r="T1" i="8"/>
  <c r="AP6" i="8"/>
  <c r="O6" i="8"/>
  <c r="AC6" i="8"/>
  <c r="Q7" i="8"/>
  <c r="AK6" i="8"/>
  <c r="AN3" i="8"/>
  <c r="J2" i="8"/>
  <c r="AN5" i="8"/>
  <c r="AG7" i="8"/>
  <c r="AN4" i="8"/>
  <c r="Q3" i="8"/>
  <c r="AH6" i="8"/>
  <c r="AQ7" i="8"/>
  <c r="AL1" i="8"/>
  <c r="P1" i="8"/>
  <c r="AB7" i="8"/>
  <c r="AI2" i="8"/>
  <c r="AM5" i="8"/>
  <c r="R6" i="8"/>
  <c r="AI5" i="8"/>
  <c r="AB6" i="8"/>
  <c r="X4" i="8"/>
  <c r="W4" i="8"/>
  <c r="AH2" i="8"/>
  <c r="AO2" i="8"/>
  <c r="S2" i="8"/>
  <c r="M2" i="8"/>
  <c r="L3" i="8"/>
  <c r="O1" i="8"/>
  <c r="Y3" i="8"/>
  <c r="AM3" i="8"/>
  <c r="AN2" i="8"/>
  <c r="AA1" i="8"/>
  <c r="AQ3" i="8"/>
  <c r="AC3" i="8"/>
  <c r="U1" i="8"/>
  <c r="I3" i="8"/>
  <c r="W6" i="8"/>
  <c r="V7" i="8"/>
  <c r="S6" i="8"/>
  <c r="AI1" i="8"/>
  <c r="Q5" i="8"/>
  <c r="J4" i="8"/>
  <c r="K5" i="8"/>
  <c r="AE6" i="8"/>
  <c r="AO7" i="8"/>
  <c r="AK2" i="8"/>
  <c r="AP4" i="8"/>
  <c r="AB3" i="8"/>
  <c r="AI7" i="8"/>
  <c r="S3" i="8"/>
  <c r="AM4" i="8"/>
  <c r="AF1" i="8"/>
  <c r="AE2" i="8"/>
  <c r="AQ2" i="8"/>
  <c r="K2" i="8"/>
  <c r="U3" i="8"/>
  <c r="Z1" i="8"/>
  <c r="AK3" i="8"/>
  <c r="AA5" i="8"/>
  <c r="I2" i="8"/>
  <c r="AE3" i="8"/>
  <c r="L6" i="8"/>
  <c r="AS2" i="8"/>
  <c r="AE4" i="8"/>
  <c r="J1" i="8"/>
  <c r="AS4" i="8"/>
  <c r="Z4" i="8"/>
  <c r="AD4" i="8"/>
  <c r="AS3" i="8"/>
  <c r="AL5" i="8"/>
  <c r="X7" i="8"/>
  <c r="Z5" i="8"/>
  <c r="AL2" i="8"/>
  <c r="AJ5" i="8"/>
  <c r="AD2" i="8"/>
  <c r="K6" i="8"/>
  <c r="L4" i="8"/>
  <c r="AM6" i="8"/>
  <c r="AB5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<sst xmlns="http://schemas.openxmlformats.org/spreadsheetml/2006/main" count="63" uniqueCount="14">
  <si>
    <t>Year</t>
    <phoneticPr fontId="1" type="noConversion"/>
  </si>
  <si>
    <t>Percentage</t>
    <phoneticPr fontId="1" type="noConversion"/>
  </si>
  <si>
    <t>Clinical trial</t>
    <phoneticPr fontId="1" type="noConversion"/>
  </si>
  <si>
    <t>Meta-analysis</t>
    <phoneticPr fontId="1" type="noConversion"/>
  </si>
  <si>
    <t>Review</t>
    <phoneticPr fontId="1" type="noConversion"/>
  </si>
  <si>
    <t>Core clinical journal</t>
    <phoneticPr fontId="1" type="noConversion"/>
  </si>
  <si>
    <t>All MEDLINE</t>
    <phoneticPr fontId="1" type="noConversion"/>
  </si>
  <si>
    <t>MAX</t>
    <phoneticPr fontId="1" type="noConversion"/>
  </si>
  <si>
    <t>MIN</t>
    <phoneticPr fontId="1" type="noConversion"/>
  </si>
  <si>
    <t>SUM</t>
    <phoneticPr fontId="1" type="noConversion"/>
  </si>
  <si>
    <t>Randomized controlled trial</t>
    <phoneticPr fontId="1" type="noConversion"/>
  </si>
  <si>
    <t>Observational study</t>
    <phoneticPr fontId="1" type="noConversion"/>
  </si>
  <si>
    <t>Systematic review</t>
    <phoneticPr fontId="1" type="noConversion"/>
  </si>
  <si>
    <t>HasPvalue same or lower than n=10 excluded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</si>
</sst>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Randomized controlled trial</c:v>
                </c:pt>
              </c:strCache>
            </c:strRef>
          </c:tx>
          <c:spPr>
            <a:ln w="15875" cap="rnd">
              <a:solidFill>
                <a:srgbClr val="FFC000"/>
              </a:solidFill>
              <a:round/>
            </a:ln>
            <a:effectLst>
              <a:softEdge rad="0"/>
            </a:effectLst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>
                <a:softEdge rad="0"/>
              </a:effectLst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Sheet1!$J$2:$AS$2</c:f>
              <c:numCache>
                <c:formatCode>General</c:formatCode>
                <c:ptCount val="36"/>
                <c:pt idx="11">
                  <c:v>80</c:v>
                </c:pt>
                <c:pt idx="12">
                  <c:v>92</c:v>
                </c:pt>
                <c:pt idx="13">
                  <c:v>98</c:v>
                </c:pt>
                <c:pt idx="14">
                  <c:v>91.472868217054256</c:v>
                </c:pt>
                <c:pt idx="15">
                  <c:v>94.078947368421055</c:v>
                </c:pt>
                <c:pt idx="16">
                  <c:v>93.969849246231149</c:v>
                </c:pt>
                <c:pt idx="17">
                  <c:v>95.879120879120876</c:v>
                </c:pt>
                <c:pt idx="18">
                  <c:v>97.50830564784053</c:v>
                </c:pt>
                <c:pt idx="19">
                  <c:v>96.024844720496887</c:v>
                </c:pt>
                <c:pt idx="20">
                  <c:v>96.326905417814515</c:v>
                </c:pt>
                <c:pt idx="21">
                  <c:v>96.714848883048617</c:v>
                </c:pt>
                <c:pt idx="22">
                  <c:v>96.408120770432078</c:v>
                </c:pt>
                <c:pt idx="23">
                  <c:v>96.679389312977108</c:v>
                </c:pt>
                <c:pt idx="24">
                  <c:v>96.391912908242617</c:v>
                </c:pt>
                <c:pt idx="25">
                  <c:v>96.798233508142431</c:v>
                </c:pt>
                <c:pt idx="26">
                  <c:v>96.844783715012724</c:v>
                </c:pt>
                <c:pt idx="27">
                  <c:v>96.248263084761462</c:v>
                </c:pt>
                <c:pt idx="28">
                  <c:v>96.02481617647058</c:v>
                </c:pt>
                <c:pt idx="29">
                  <c:v>96.225649350649363</c:v>
                </c:pt>
                <c:pt idx="30">
                  <c:v>96.565724919641355</c:v>
                </c:pt>
                <c:pt idx="31">
                  <c:v>96.504100129477777</c:v>
                </c:pt>
                <c:pt idx="32">
                  <c:v>96.793419954702586</c:v>
                </c:pt>
                <c:pt idx="33">
                  <c:v>96.906919867644945</c:v>
                </c:pt>
                <c:pt idx="34">
                  <c:v>96.771643167742781</c:v>
                </c:pt>
                <c:pt idx="35">
                  <c:v>97.123331214240309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23-7049-B02C-E52CFC1D189F}"/>
            </c:ext>
          </c:extLst>
        </c:ser>
        <c:ser>
          <c:idx val="1"/>
          <c:order val="1"/>
          <c:tx>
            <c:strRef>
              <c:f>Sheet1!$I$3</c:f>
              <c:strCache>
                <c:ptCount val="1"/>
                <c:pt idx="0">
                  <c:v>Clinical trial</c:v>
                </c:pt>
              </c:strCache>
            </c:strRef>
          </c:tx>
          <c:spPr>
            <a:ln w="158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Sheet1!$J$3:$AS$3</c:f>
              <c:numCache>
                <c:formatCode>General</c:formatCode>
                <c:ptCount val="36"/>
                <c:pt idx="10">
                  <c:v>100</c:v>
                </c:pt>
                <c:pt idx="11">
                  <c:v>91.891891891891902</c:v>
                </c:pt>
                <c:pt idx="12">
                  <c:v>92</c:v>
                </c:pt>
                <c:pt idx="13">
                  <c:v>96.261682242990659</c:v>
                </c:pt>
                <c:pt idx="14">
                  <c:v>92.946058091286304</c:v>
                </c:pt>
                <c:pt idx="15">
                  <c:v>95.705521472392647</c:v>
                </c:pt>
                <c:pt idx="16">
                  <c:v>96.907216494845358</c:v>
                </c:pt>
                <c:pt idx="17">
                  <c:v>97.41379310344827</c:v>
                </c:pt>
                <c:pt idx="18">
                  <c:v>96</c:v>
                </c:pt>
                <c:pt idx="19">
                  <c:v>100</c:v>
                </c:pt>
                <c:pt idx="20">
                  <c:v>97.288135593220332</c:v>
                </c:pt>
                <c:pt idx="21">
                  <c:v>97.601918465227826</c:v>
                </c:pt>
                <c:pt idx="22">
                  <c:v>98.365122615803813</c:v>
                </c:pt>
                <c:pt idx="23">
                  <c:v>97.560975609756099</c:v>
                </c:pt>
                <c:pt idx="24">
                  <c:v>97.372742200328418</c:v>
                </c:pt>
                <c:pt idx="25">
                  <c:v>97.672552166934196</c:v>
                </c:pt>
                <c:pt idx="26">
                  <c:v>98.516783762685407</c:v>
                </c:pt>
                <c:pt idx="27">
                  <c:v>97.433704020530371</c:v>
                </c:pt>
                <c:pt idx="28">
                  <c:v>97.869593285990959</c:v>
                </c:pt>
                <c:pt idx="29">
                  <c:v>98.363431151241528</c:v>
                </c:pt>
                <c:pt idx="30">
                  <c:v>98.37601499063085</c:v>
                </c:pt>
                <c:pt idx="31">
                  <c:v>97.557172557172549</c:v>
                </c:pt>
                <c:pt idx="32">
                  <c:v>98.357821953327573</c:v>
                </c:pt>
                <c:pt idx="33">
                  <c:v>98.212157330154952</c:v>
                </c:pt>
                <c:pt idx="34">
                  <c:v>98.470097357440892</c:v>
                </c:pt>
                <c:pt idx="35">
                  <c:v>97.837837837837839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23-7049-B02C-E52CFC1D189F}"/>
            </c:ext>
          </c:extLst>
        </c:ser>
        <c:ser>
          <c:idx val="2"/>
          <c:order val="2"/>
          <c:tx>
            <c:strRef>
              <c:f>Sheet1!$I$4</c:f>
              <c:strCache>
                <c:ptCount val="1"/>
                <c:pt idx="0">
                  <c:v>Meta-analysis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Sheet1!$J$4:$AS$4</c:f>
              <c:numCache>
                <c:formatCode>General</c:formatCode>
                <c:ptCount val="36"/>
                <c:pt idx="13">
                  <c:v>100</c:v>
                </c:pt>
                <c:pt idx="14">
                  <c:v>91.666666666666657</c:v>
                </c:pt>
                <c:pt idx="15">
                  <c:v>89.189189189189193</c:v>
                </c:pt>
                <c:pt idx="16">
                  <c:v>88.63636363636364</c:v>
                </c:pt>
                <c:pt idx="17">
                  <c:v>98.181818181818187</c:v>
                </c:pt>
                <c:pt idx="18">
                  <c:v>95.689655172413794</c:v>
                </c:pt>
                <c:pt idx="19">
                  <c:v>91.477272727272734</c:v>
                </c:pt>
                <c:pt idx="20">
                  <c:v>89.961389961389955</c:v>
                </c:pt>
                <c:pt idx="21">
                  <c:v>93.287037037037038</c:v>
                </c:pt>
                <c:pt idx="22">
                  <c:v>95.20451339915374</c:v>
                </c:pt>
                <c:pt idx="23">
                  <c:v>94.494658997534913</c:v>
                </c:pt>
                <c:pt idx="24">
                  <c:v>95.110024449877756</c:v>
                </c:pt>
                <c:pt idx="25">
                  <c:v>95.541706615532121</c:v>
                </c:pt>
                <c:pt idx="26">
                  <c:v>94.547609640458319</c:v>
                </c:pt>
                <c:pt idx="27">
                  <c:v>95.086271567891984</c:v>
                </c:pt>
                <c:pt idx="28">
                  <c:v>94.877675840978597</c:v>
                </c:pt>
                <c:pt idx="29">
                  <c:v>94.807574832009777</c:v>
                </c:pt>
                <c:pt idx="30">
                  <c:v>94.986743793685221</c:v>
                </c:pt>
                <c:pt idx="31">
                  <c:v>95.157680569684644</c:v>
                </c:pt>
                <c:pt idx="32">
                  <c:v>95.005905179686181</c:v>
                </c:pt>
                <c:pt idx="33">
                  <c:v>95.856164383561648</c:v>
                </c:pt>
                <c:pt idx="34">
                  <c:v>95.910354981187623</c:v>
                </c:pt>
                <c:pt idx="35">
                  <c:v>95.515308322552826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23-7049-B02C-E52CFC1D189F}"/>
            </c:ext>
          </c:extLst>
        </c:ser>
        <c:ser>
          <c:idx val="3"/>
          <c:order val="3"/>
          <c:tx>
            <c:strRef>
              <c:f>Sheet1!$I$5</c:f>
              <c:strCache>
                <c:ptCount val="1"/>
                <c:pt idx="0">
                  <c:v>Review</c:v>
                </c:pt>
              </c:strCache>
            </c:strRef>
          </c:tx>
          <c:spPr>
            <a:ln w="1587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tx2">
                    <a:lumMod val="25000"/>
                    <a:lumOff val="75000"/>
                  </a:schemeClr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Sheet1!$J$5:$AS$5</c:f>
              <c:numCache>
                <c:formatCode>General</c:formatCode>
                <c:ptCount val="36"/>
                <c:pt idx="10">
                  <c:v>100</c:v>
                </c:pt>
                <c:pt idx="11">
                  <c:v>95.833333333333343</c:v>
                </c:pt>
                <c:pt idx="12">
                  <c:v>98.245614035087712</c:v>
                </c:pt>
                <c:pt idx="13">
                  <c:v>96.875</c:v>
                </c:pt>
                <c:pt idx="14">
                  <c:v>96.946564885496173</c:v>
                </c:pt>
                <c:pt idx="15">
                  <c:v>94.776119402985074</c:v>
                </c:pt>
                <c:pt idx="16">
                  <c:v>96.120689655172413</c:v>
                </c:pt>
                <c:pt idx="17">
                  <c:v>95.39007092198581</c:v>
                </c:pt>
                <c:pt idx="18">
                  <c:v>95</c:v>
                </c:pt>
                <c:pt idx="19">
                  <c:v>94.797687861271669</c:v>
                </c:pt>
                <c:pt idx="20">
                  <c:v>94.696969696969703</c:v>
                </c:pt>
                <c:pt idx="21">
                  <c:v>95.220125786163521</c:v>
                </c:pt>
                <c:pt idx="22">
                  <c:v>95.724907063197023</c:v>
                </c:pt>
                <c:pt idx="23">
                  <c:v>95.930232558139537</c:v>
                </c:pt>
                <c:pt idx="24">
                  <c:v>95.924170616113742</c:v>
                </c:pt>
                <c:pt idx="25">
                  <c:v>94.668470906630589</c:v>
                </c:pt>
                <c:pt idx="26">
                  <c:v>95.761166818596166</c:v>
                </c:pt>
                <c:pt idx="27">
                  <c:v>95.514675485737911</c:v>
                </c:pt>
                <c:pt idx="28">
                  <c:v>95.070162481536187</c:v>
                </c:pt>
                <c:pt idx="29">
                  <c:v>93.862520458265138</c:v>
                </c:pt>
                <c:pt idx="30">
                  <c:v>94.645737017524993</c:v>
                </c:pt>
                <c:pt idx="31">
                  <c:v>95.26567250615318</c:v>
                </c:pt>
                <c:pt idx="32">
                  <c:v>95.435868259687723</c:v>
                </c:pt>
                <c:pt idx="33">
                  <c:v>95.327772709500849</c:v>
                </c:pt>
                <c:pt idx="34">
                  <c:v>95.630857966834895</c:v>
                </c:pt>
                <c:pt idx="35">
                  <c:v>95.604751619870413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23-7049-B02C-E52CFC1D189F}"/>
            </c:ext>
          </c:extLst>
        </c:ser>
        <c:ser>
          <c:idx val="4"/>
          <c:order val="4"/>
          <c:tx>
            <c:strRef>
              <c:f>Sheet1!$I$6</c:f>
              <c:strCache>
                <c:ptCount val="1"/>
                <c:pt idx="0">
                  <c:v>Core clinical journal</c:v>
                </c:pt>
              </c:strCache>
            </c:strRef>
          </c:tx>
          <c:spPr>
            <a:ln w="15875" cap="rnd">
              <a:solidFill>
                <a:srgbClr val="00B0F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Sheet1!$J$6:$AS$6</c:f>
              <c:numCache>
                <c:formatCode>General</c:formatCode>
                <c:ptCount val="36"/>
                <c:pt idx="13">
                  <c:v>100</c:v>
                </c:pt>
                <c:pt idx="14">
                  <c:v>96</c:v>
                </c:pt>
                <c:pt idx="15">
                  <c:v>100</c:v>
                </c:pt>
                <c:pt idx="16">
                  <c:v>100</c:v>
                </c:pt>
                <c:pt idx="17">
                  <c:v>96.969696969696969</c:v>
                </c:pt>
                <c:pt idx="18">
                  <c:v>97.51381215469614</c:v>
                </c:pt>
                <c:pt idx="19">
                  <c:v>96.860282574568288</c:v>
                </c:pt>
                <c:pt idx="20">
                  <c:v>96.561210453920225</c:v>
                </c:pt>
                <c:pt idx="21">
                  <c:v>97.622192866578601</c:v>
                </c:pt>
                <c:pt idx="22">
                  <c:v>95.913154533844192</c:v>
                </c:pt>
                <c:pt idx="23">
                  <c:v>97.215777262180964</c:v>
                </c:pt>
                <c:pt idx="24">
                  <c:v>96.392229417206295</c:v>
                </c:pt>
                <c:pt idx="25">
                  <c:v>97.984683595324469</c:v>
                </c:pt>
                <c:pt idx="26">
                  <c:v>98.031945236737016</c:v>
                </c:pt>
                <c:pt idx="27">
                  <c:v>97.355623100303958</c:v>
                </c:pt>
                <c:pt idx="28">
                  <c:v>96.589658965896589</c:v>
                </c:pt>
                <c:pt idx="29">
                  <c:v>95.789735924265074</c:v>
                </c:pt>
                <c:pt idx="30">
                  <c:v>92.806922660897783</c:v>
                </c:pt>
                <c:pt idx="31">
                  <c:v>93.595594020456332</c:v>
                </c:pt>
                <c:pt idx="32">
                  <c:v>95.674044265593565</c:v>
                </c:pt>
                <c:pt idx="33">
                  <c:v>97.450369793694051</c:v>
                </c:pt>
                <c:pt idx="34">
                  <c:v>98.316498316498311</c:v>
                </c:pt>
                <c:pt idx="35">
                  <c:v>97.669434770961701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23-7049-B02C-E52CFC1D189F}"/>
            </c:ext>
          </c:extLst>
        </c:ser>
        <c:ser>
          <c:idx val="5"/>
          <c:order val="5"/>
          <c:tx>
            <c:strRef>
              <c:f>Sheet1!$I$7</c:f>
              <c:strCache>
                <c:ptCount val="1"/>
                <c:pt idx="0">
                  <c:v>All MEDLINE</c:v>
                </c:pt>
              </c:strCache>
            </c:strRef>
          </c:tx>
          <c:spPr>
            <a:ln w="158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Sheet1!$J$7:$AS$7</c:f>
              <c:numCache>
                <c:formatCode>General</c:formatCode>
                <c:ptCount val="36"/>
                <c:pt idx="0">
                  <c:v>93.333333333333329</c:v>
                </c:pt>
                <c:pt idx="1">
                  <c:v>92.857142857142861</c:v>
                </c:pt>
                <c:pt idx="2">
                  <c:v>86.666666666666671</c:v>
                </c:pt>
                <c:pt idx="3">
                  <c:v>90</c:v>
                </c:pt>
                <c:pt idx="4">
                  <c:v>90.697674418604649</c:v>
                </c:pt>
                <c:pt idx="5">
                  <c:v>84.615384615384613</c:v>
                </c:pt>
                <c:pt idx="6">
                  <c:v>93.61702127659575</c:v>
                </c:pt>
                <c:pt idx="7">
                  <c:v>95.39473684210526</c:v>
                </c:pt>
                <c:pt idx="8">
                  <c:v>95.607235142118867</c:v>
                </c:pt>
                <c:pt idx="9">
                  <c:v>94.145199063231857</c:v>
                </c:pt>
                <c:pt idx="10">
                  <c:v>95.543672014260252</c:v>
                </c:pt>
                <c:pt idx="11">
                  <c:v>96.055226824457591</c:v>
                </c:pt>
                <c:pt idx="12">
                  <c:v>96.248534583821808</c:v>
                </c:pt>
                <c:pt idx="13">
                  <c:v>95.615514333895447</c:v>
                </c:pt>
                <c:pt idx="14">
                  <c:v>95.41232761047003</c:v>
                </c:pt>
                <c:pt idx="15">
                  <c:v>96.370463078848559</c:v>
                </c:pt>
                <c:pt idx="16">
                  <c:v>95.768874785138166</c:v>
                </c:pt>
                <c:pt idx="17">
                  <c:v>96.20106761565836</c:v>
                </c:pt>
                <c:pt idx="18">
                  <c:v>96.343162293940097</c:v>
                </c:pt>
                <c:pt idx="19">
                  <c:v>96.531356038708054</c:v>
                </c:pt>
                <c:pt idx="20">
                  <c:v>96.689048390831218</c:v>
                </c:pt>
                <c:pt idx="21">
                  <c:v>96.960884702027442</c:v>
                </c:pt>
                <c:pt idx="22">
                  <c:v>97.269801873042908</c:v>
                </c:pt>
                <c:pt idx="23">
                  <c:v>97.221978984238177</c:v>
                </c:pt>
                <c:pt idx="24">
                  <c:v>97.202060301051034</c:v>
                </c:pt>
                <c:pt idx="25">
                  <c:v>97.275131442244117</c:v>
                </c:pt>
                <c:pt idx="26">
                  <c:v>97.345530367385336</c:v>
                </c:pt>
                <c:pt idx="27">
                  <c:v>97.243732692920332</c:v>
                </c:pt>
                <c:pt idx="28">
                  <c:v>97.228980271513649</c:v>
                </c:pt>
                <c:pt idx="29">
                  <c:v>97.221197172156621</c:v>
                </c:pt>
                <c:pt idx="30">
                  <c:v>97.166995254282426</c:v>
                </c:pt>
                <c:pt idx="31">
                  <c:v>97.294866453068209</c:v>
                </c:pt>
                <c:pt idx="32">
                  <c:v>97.358752010324878</c:v>
                </c:pt>
                <c:pt idx="33">
                  <c:v>97.389272539139824</c:v>
                </c:pt>
                <c:pt idx="34">
                  <c:v>97.50263397313762</c:v>
                </c:pt>
                <c:pt idx="35">
                  <c:v>97.599683897679057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23-7049-B02C-E52CFC1D189F}"/>
            </c:ext>
          </c:extLst>
        </c:ser>
        <c:ser>
          <c:idx val="6"/>
          <c:order val="6"/>
          <c:tx>
            <c:strRef>
              <c:f>Sheet1!$I$8</c:f>
              <c:strCache>
                <c:ptCount val="1"/>
                <c:pt idx="0">
                  <c:v>Observational study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Sheet1!$J$8:$AS$8</c:f>
              <c:numCache>
                <c:formatCode>General</c:formatCode>
                <c:ptCount val="36"/>
                <c:pt idx="22">
                  <c:v>97.872340425531917</c:v>
                </c:pt>
                <c:pt idx="23">
                  <c:v>97.4609375</c:v>
                </c:pt>
                <c:pt idx="24">
                  <c:v>96.277915632754343</c:v>
                </c:pt>
                <c:pt idx="25">
                  <c:v>98.235294117647058</c:v>
                </c:pt>
                <c:pt idx="26">
                  <c:v>97.684291779235821</c:v>
                </c:pt>
                <c:pt idx="27">
                  <c:v>97.462437395659435</c:v>
                </c:pt>
                <c:pt idx="28">
                  <c:v>98.181276088252829</c:v>
                </c:pt>
                <c:pt idx="29">
                  <c:v>98.024750118990951</c:v>
                </c:pt>
                <c:pt idx="30">
                  <c:v>97.909790979097906</c:v>
                </c:pt>
                <c:pt idx="31">
                  <c:v>98</c:v>
                </c:pt>
                <c:pt idx="32">
                  <c:v>97.564126222550286</c:v>
                </c:pt>
                <c:pt idx="33">
                  <c:v>98.106305143103071</c:v>
                </c:pt>
                <c:pt idx="34">
                  <c:v>98.068557508265187</c:v>
                </c:pt>
                <c:pt idx="35">
                  <c:v>98.049969530773922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28-4A64-981A-39E8AFE456FF}"/>
            </c:ext>
          </c:extLst>
        </c:ser>
        <c:ser>
          <c:idx val="7"/>
          <c:order val="7"/>
          <c:tx>
            <c:strRef>
              <c:f>Sheet1!$I$9</c:f>
              <c:strCache>
                <c:ptCount val="1"/>
                <c:pt idx="0">
                  <c:v>Systematic review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Sheet1!$J$9:$AS$9</c:f>
              <c:numCache>
                <c:formatCode>General</c:formatCode>
                <c:ptCount val="36"/>
                <c:pt idx="14">
                  <c:v>93.75</c:v>
                </c:pt>
                <c:pt idx="15">
                  <c:v>93.333333333333329</c:v>
                </c:pt>
                <c:pt idx="16">
                  <c:v>90.476190476190482</c:v>
                </c:pt>
                <c:pt idx="17">
                  <c:v>96.226415094339629</c:v>
                </c:pt>
                <c:pt idx="18">
                  <c:v>95.652173913043484</c:v>
                </c:pt>
                <c:pt idx="19">
                  <c:v>90.647482014388487</c:v>
                </c:pt>
                <c:pt idx="20">
                  <c:v>92.307692307692307</c:v>
                </c:pt>
                <c:pt idx="21">
                  <c:v>94.0625</c:v>
                </c:pt>
                <c:pt idx="22">
                  <c:v>92.553191489361694</c:v>
                </c:pt>
                <c:pt idx="23">
                  <c:v>92.887029288702934</c:v>
                </c:pt>
                <c:pt idx="24">
                  <c:v>93.529971455756424</c:v>
                </c:pt>
                <c:pt idx="25">
                  <c:v>95.136330140014735</c:v>
                </c:pt>
                <c:pt idx="26">
                  <c:v>92.687277051129612</c:v>
                </c:pt>
                <c:pt idx="27">
                  <c:v>93.633692458374142</c:v>
                </c:pt>
                <c:pt idx="28">
                  <c:v>94.09881061299177</c:v>
                </c:pt>
                <c:pt idx="29">
                  <c:v>94.530113471050342</c:v>
                </c:pt>
                <c:pt idx="30">
                  <c:v>94.510481953749732</c:v>
                </c:pt>
                <c:pt idx="31">
                  <c:v>95.017629924881192</c:v>
                </c:pt>
                <c:pt idx="32">
                  <c:v>95.05789662170227</c:v>
                </c:pt>
                <c:pt idx="33">
                  <c:v>95.38978494623656</c:v>
                </c:pt>
                <c:pt idx="34">
                  <c:v>95.873320537428015</c:v>
                </c:pt>
                <c:pt idx="35">
                  <c:v>95.515695067264573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28-4A64-981A-39E8AFE45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3349519"/>
        <c:axId val="1063432095"/>
      </c:lineChart>
      <c:catAx>
        <c:axId val="1063349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ko-JP"/>
          </a:p>
        </c:txPr>
        <c:crossAx val="1063432095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063432095"/>
        <c:scaling>
          <c:orientation val="minMax"/>
          <c:max val="100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>
                    <a:latin typeface="Helvetica" panose="020B0604020202020204" pitchFamily="34" charset="0"/>
                    <a:cs typeface="Helvetica" panose="020B0604020202020204" pitchFamily="34" charset="0"/>
                  </a:rPr>
                  <a:t>Proportion of PMC</a:t>
                </a:r>
                <a:r>
                  <a:rPr lang="en-US" baseline="0">
                    <a:latin typeface="Helvetica" panose="020B0604020202020204" pitchFamily="34" charset="0"/>
                    <a:cs typeface="Helvetica" panose="020B0604020202020204" pitchFamily="34" charset="0"/>
                  </a:rPr>
                  <a:t> Full </a:t>
                </a:r>
                <a:r>
                  <a:rPr lang="en-US" sz="1000" baseline="0">
                    <a:latin typeface="Helvetica" panose="020B0604020202020204" pitchFamily="34" charset="0"/>
                    <a:cs typeface="Helvetica" panose="020B0604020202020204" pitchFamily="34" charset="0"/>
                  </a:rPr>
                  <a:t>texts </a:t>
                </a: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With </a:t>
                </a:r>
                <a:r>
                  <a:rPr lang="ko-KR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≥</a:t>
                </a: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1 P Value </a:t>
                </a:r>
                <a:r>
                  <a:rPr lang="ko-KR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≤</a:t>
                </a: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.05, %</a:t>
                </a:r>
                <a:endParaRPr lang="en-US" sz="1000">
                  <a:latin typeface="Helvetica" panose="020B0604020202020204" pitchFamily="34" charset="0"/>
                  <a:cs typeface="Helvetica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ko-JP"/>
          </a:p>
        </c:txPr>
        <c:crossAx val="1063349519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69309431559150358"/>
          <c:y val="0.57322015915119362"/>
          <c:w val="0.1401316105328104"/>
          <c:h val="0.2707612105515988"/>
        </c:manualLayout>
      </c:layout>
      <c:overlay val="0"/>
      <c:spPr>
        <a:solidFill>
          <a:schemeClr val="bg1"/>
        </a:solidFill>
        <a:ln>
          <a:solidFill>
            <a:schemeClr val="tx1">
              <a:lumMod val="95000"/>
              <a:lumOff val="5000"/>
              <a:alpha val="93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ko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Helvetica" panose="020B0604020202020204" pitchFamily="34" charset="0"/>
          <a:cs typeface="Helvetica" panose="020B0604020202020204" pitchFamily="34" charset="0"/>
        </a:defRPr>
      </a:pPr>
      <a:endParaRPr lang="ko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339725</xdr:colOff>
      <xdr:row>9</xdr:row>
      <xdr:rowOff>101600</xdr:rowOff>
    </xdr:from>
    <xdr:to>
      <xdr:col>21</xdr:col>
      <xdr:colOff>187325</xdr:colOff>
      <xdr:row>36</xdr:row>
      <xdr:rowOff>171450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19D5EE80-DA4A-454F-CD13-156B84A37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ke4\Documents\&#52852;&#52852;&#50724;&#53665;%20&#48155;&#51008;%20&#54028;&#51068;\20250923\20251128Fig1PMCbody\20250920Totalsheet.xlsx" TargetMode="External"/><Relationship Id="rId1" Type="http://schemas.openxmlformats.org/officeDocument/2006/relationships/externalLinkPath" Target="20250920Total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CT"/>
      <sheetName val="CT"/>
      <sheetName val="META"/>
      <sheetName val="REVIEW"/>
      <sheetName val="CCJ"/>
      <sheetName val="ALL"/>
      <sheetName val="OBS"/>
      <sheetName val="SYSREV"/>
    </sheetNames>
    <sheetDataSet>
      <sheetData sheetId="0">
        <row r="1">
          <cell r="C1" t="str">
            <v>HasPvalue</v>
          </cell>
          <cell r="D1" t="str">
            <v>Pvalue0.05</v>
          </cell>
        </row>
        <row r="2">
          <cell r="C2">
            <v>0</v>
          </cell>
          <cell r="D2">
            <v>0</v>
          </cell>
        </row>
        <row r="3">
          <cell r="C3">
            <v>0</v>
          </cell>
          <cell r="D3">
            <v>0</v>
          </cell>
        </row>
        <row r="4">
          <cell r="C4">
            <v>0</v>
          </cell>
          <cell r="D4">
            <v>0</v>
          </cell>
        </row>
        <row r="5">
          <cell r="C5">
            <v>2</v>
          </cell>
          <cell r="D5">
            <v>2</v>
          </cell>
        </row>
        <row r="6">
          <cell r="C6">
            <v>2</v>
          </cell>
          <cell r="D6">
            <v>2</v>
          </cell>
        </row>
        <row r="7">
          <cell r="C7">
            <v>1</v>
          </cell>
          <cell r="D7">
            <v>1</v>
          </cell>
        </row>
        <row r="8">
          <cell r="C8">
            <v>1</v>
          </cell>
          <cell r="D8">
            <v>1</v>
          </cell>
        </row>
        <row r="9">
          <cell r="C9">
            <v>5</v>
          </cell>
          <cell r="D9">
            <v>5</v>
          </cell>
        </row>
        <row r="10">
          <cell r="C10">
            <v>4</v>
          </cell>
          <cell r="D10">
            <v>4</v>
          </cell>
        </row>
        <row r="11">
          <cell r="C11">
            <v>5</v>
          </cell>
          <cell r="D11">
            <v>4</v>
          </cell>
        </row>
        <row r="12">
          <cell r="C12">
            <v>9</v>
          </cell>
          <cell r="D12">
            <v>9</v>
          </cell>
        </row>
        <row r="13">
          <cell r="C13">
            <v>15</v>
          </cell>
          <cell r="D13">
            <v>12</v>
          </cell>
        </row>
        <row r="14">
          <cell r="C14">
            <v>50</v>
          </cell>
          <cell r="D14">
            <v>46</v>
          </cell>
        </row>
        <row r="15">
          <cell r="C15">
            <v>50</v>
          </cell>
          <cell r="D15">
            <v>49</v>
          </cell>
        </row>
        <row r="16">
          <cell r="C16">
            <v>129</v>
          </cell>
          <cell r="D16">
            <v>118</v>
          </cell>
        </row>
        <row r="17">
          <cell r="C17">
            <v>152</v>
          </cell>
          <cell r="D17">
            <v>143</v>
          </cell>
        </row>
        <row r="18">
          <cell r="C18">
            <v>199</v>
          </cell>
          <cell r="D18">
            <v>187</v>
          </cell>
        </row>
        <row r="19">
          <cell r="C19">
            <v>364</v>
          </cell>
          <cell r="D19">
            <v>349</v>
          </cell>
        </row>
        <row r="20">
          <cell r="C20">
            <v>602</v>
          </cell>
          <cell r="D20">
            <v>587</v>
          </cell>
        </row>
        <row r="21">
          <cell r="C21">
            <v>805</v>
          </cell>
          <cell r="D21">
            <v>773</v>
          </cell>
        </row>
        <row r="22">
          <cell r="C22">
            <v>1089</v>
          </cell>
          <cell r="D22">
            <v>1049</v>
          </cell>
        </row>
        <row r="23">
          <cell r="C23">
            <v>1522</v>
          </cell>
          <cell r="D23">
            <v>1472</v>
          </cell>
        </row>
        <row r="24">
          <cell r="C24">
            <v>1921</v>
          </cell>
          <cell r="D24">
            <v>1852</v>
          </cell>
        </row>
        <row r="25">
          <cell r="C25">
            <v>2620</v>
          </cell>
          <cell r="D25">
            <v>2533</v>
          </cell>
        </row>
        <row r="26">
          <cell r="C26">
            <v>3215</v>
          </cell>
          <cell r="D26">
            <v>3099</v>
          </cell>
        </row>
        <row r="27">
          <cell r="C27">
            <v>3623</v>
          </cell>
          <cell r="D27">
            <v>3507</v>
          </cell>
        </row>
        <row r="28">
          <cell r="C28">
            <v>3930</v>
          </cell>
          <cell r="D28">
            <v>3806</v>
          </cell>
        </row>
        <row r="29">
          <cell r="C29">
            <v>4318</v>
          </cell>
          <cell r="D29">
            <v>4156</v>
          </cell>
        </row>
        <row r="30">
          <cell r="C30">
            <v>4352</v>
          </cell>
          <cell r="D30">
            <v>4179</v>
          </cell>
        </row>
        <row r="31">
          <cell r="C31">
            <v>4928</v>
          </cell>
          <cell r="D31">
            <v>4742</v>
          </cell>
        </row>
        <row r="32">
          <cell r="C32">
            <v>5911</v>
          </cell>
          <cell r="D32">
            <v>5708</v>
          </cell>
        </row>
        <row r="33">
          <cell r="C33">
            <v>6951</v>
          </cell>
          <cell r="D33">
            <v>6708</v>
          </cell>
        </row>
        <row r="34">
          <cell r="C34">
            <v>8389</v>
          </cell>
          <cell r="D34">
            <v>8120</v>
          </cell>
        </row>
        <row r="35">
          <cell r="C35">
            <v>6951</v>
          </cell>
          <cell r="D35">
            <v>6736</v>
          </cell>
        </row>
        <row r="36">
          <cell r="C36">
            <v>7589</v>
          </cell>
          <cell r="D36">
            <v>7344</v>
          </cell>
        </row>
        <row r="37">
          <cell r="C37">
            <v>6292</v>
          </cell>
          <cell r="D37">
            <v>6111</v>
          </cell>
        </row>
        <row r="38">
          <cell r="C38">
            <v>75996</v>
          </cell>
          <cell r="D38">
            <v>73414</v>
          </cell>
        </row>
        <row r="39">
          <cell r="C39">
            <v>8389</v>
          </cell>
          <cell r="D39">
            <v>8120</v>
          </cell>
        </row>
        <row r="40">
          <cell r="C40">
            <v>0</v>
          </cell>
          <cell r="D40">
            <v>0</v>
          </cell>
        </row>
      </sheetData>
      <sheetData sheetId="1">
        <row r="1">
          <cell r="C1" t="str">
            <v>HasPvalue</v>
          </cell>
          <cell r="D1" t="str">
            <v>Pvalue0.05</v>
          </cell>
        </row>
        <row r="2">
          <cell r="C2">
            <v>1</v>
          </cell>
          <cell r="D2">
            <v>1</v>
          </cell>
        </row>
        <row r="3">
          <cell r="C3">
            <v>0</v>
          </cell>
          <cell r="D3">
            <v>0</v>
          </cell>
        </row>
        <row r="4">
          <cell r="C4">
            <v>0</v>
          </cell>
          <cell r="D4">
            <v>0</v>
          </cell>
        </row>
        <row r="5">
          <cell r="C5">
            <v>2</v>
          </cell>
          <cell r="D5">
            <v>2</v>
          </cell>
        </row>
        <row r="6">
          <cell r="C6">
            <v>2</v>
          </cell>
          <cell r="D6">
            <v>2</v>
          </cell>
        </row>
        <row r="7">
          <cell r="C7">
            <v>3</v>
          </cell>
          <cell r="D7">
            <v>2</v>
          </cell>
        </row>
        <row r="8">
          <cell r="C8">
            <v>3</v>
          </cell>
          <cell r="D8">
            <v>3</v>
          </cell>
        </row>
        <row r="9">
          <cell r="C9">
            <v>10</v>
          </cell>
          <cell r="D9">
            <v>10</v>
          </cell>
        </row>
        <row r="10">
          <cell r="C10">
            <v>11</v>
          </cell>
          <cell r="D10">
            <v>11</v>
          </cell>
        </row>
        <row r="11">
          <cell r="C11">
            <v>10</v>
          </cell>
          <cell r="D11">
            <v>9</v>
          </cell>
        </row>
        <row r="12">
          <cell r="C12">
            <v>26</v>
          </cell>
          <cell r="D12">
            <v>26</v>
          </cell>
        </row>
        <row r="13">
          <cell r="C13">
            <v>37</v>
          </cell>
          <cell r="D13">
            <v>34</v>
          </cell>
        </row>
        <row r="14">
          <cell r="C14">
            <v>100</v>
          </cell>
          <cell r="D14">
            <v>92</v>
          </cell>
        </row>
        <row r="15">
          <cell r="C15">
            <v>107</v>
          </cell>
          <cell r="D15">
            <v>103</v>
          </cell>
        </row>
        <row r="16">
          <cell r="C16">
            <v>241</v>
          </cell>
          <cell r="D16">
            <v>224</v>
          </cell>
        </row>
        <row r="17">
          <cell r="C17">
            <v>163</v>
          </cell>
          <cell r="D17">
            <v>156</v>
          </cell>
        </row>
        <row r="18">
          <cell r="C18">
            <v>97</v>
          </cell>
          <cell r="D18">
            <v>94</v>
          </cell>
        </row>
        <row r="19">
          <cell r="C19">
            <v>116</v>
          </cell>
          <cell r="D19">
            <v>113</v>
          </cell>
        </row>
        <row r="20">
          <cell r="C20">
            <v>150</v>
          </cell>
          <cell r="D20">
            <v>144</v>
          </cell>
        </row>
        <row r="21">
          <cell r="C21">
            <v>182</v>
          </cell>
          <cell r="D21">
            <v>182</v>
          </cell>
        </row>
        <row r="22">
          <cell r="C22">
            <v>295</v>
          </cell>
          <cell r="D22">
            <v>287</v>
          </cell>
        </row>
        <row r="23">
          <cell r="C23">
            <v>417</v>
          </cell>
          <cell r="D23">
            <v>407</v>
          </cell>
        </row>
        <row r="24">
          <cell r="C24">
            <v>734</v>
          </cell>
          <cell r="D24">
            <v>722</v>
          </cell>
        </row>
        <row r="25">
          <cell r="C25">
            <v>1107</v>
          </cell>
          <cell r="D25">
            <v>1080</v>
          </cell>
        </row>
        <row r="26">
          <cell r="C26">
            <v>1218</v>
          </cell>
          <cell r="D26">
            <v>1186</v>
          </cell>
        </row>
        <row r="27">
          <cell r="C27">
            <v>1246</v>
          </cell>
          <cell r="D27">
            <v>1217</v>
          </cell>
        </row>
        <row r="28">
          <cell r="C28">
            <v>1281</v>
          </cell>
          <cell r="D28">
            <v>1262</v>
          </cell>
        </row>
        <row r="29">
          <cell r="C29">
            <v>1169</v>
          </cell>
          <cell r="D29">
            <v>1139</v>
          </cell>
        </row>
        <row r="30">
          <cell r="C30">
            <v>1549</v>
          </cell>
          <cell r="D30">
            <v>1516</v>
          </cell>
        </row>
        <row r="31">
          <cell r="C31">
            <v>1772</v>
          </cell>
          <cell r="D31">
            <v>1743</v>
          </cell>
        </row>
        <row r="32">
          <cell r="C32">
            <v>1601</v>
          </cell>
          <cell r="D32">
            <v>1575</v>
          </cell>
        </row>
        <row r="33">
          <cell r="C33">
            <v>1924</v>
          </cell>
          <cell r="D33">
            <v>1877</v>
          </cell>
        </row>
        <row r="34">
          <cell r="C34">
            <v>1157</v>
          </cell>
          <cell r="D34">
            <v>1138</v>
          </cell>
        </row>
        <row r="35">
          <cell r="C35">
            <v>839</v>
          </cell>
          <cell r="D35">
            <v>824</v>
          </cell>
        </row>
        <row r="36">
          <cell r="C36">
            <v>719</v>
          </cell>
          <cell r="D36">
            <v>708</v>
          </cell>
        </row>
        <row r="37">
          <cell r="C37">
            <v>555</v>
          </cell>
          <cell r="D37">
            <v>543</v>
          </cell>
        </row>
        <row r="38">
          <cell r="C38">
            <v>18844</v>
          </cell>
          <cell r="D38">
            <v>18432</v>
          </cell>
        </row>
        <row r="39">
          <cell r="C39">
            <v>1924</v>
          </cell>
          <cell r="D39">
            <v>1877</v>
          </cell>
        </row>
        <row r="40">
          <cell r="C40">
            <v>0</v>
          </cell>
          <cell r="D40">
            <v>0</v>
          </cell>
        </row>
      </sheetData>
      <sheetData sheetId="2">
        <row r="1">
          <cell r="C1" t="str">
            <v>HasPvalue</v>
          </cell>
          <cell r="D1" t="str">
            <v>Pvalue0.05</v>
          </cell>
        </row>
        <row r="2">
          <cell r="C2">
            <v>0</v>
          </cell>
          <cell r="D2">
            <v>0</v>
          </cell>
        </row>
        <row r="3">
          <cell r="C3">
            <v>0</v>
          </cell>
          <cell r="D3">
            <v>0</v>
          </cell>
        </row>
        <row r="4">
          <cell r="C4">
            <v>0</v>
          </cell>
          <cell r="D4">
            <v>0</v>
          </cell>
        </row>
        <row r="5">
          <cell r="C5">
            <v>0</v>
          </cell>
          <cell r="D5">
            <v>0</v>
          </cell>
        </row>
        <row r="6">
          <cell r="C6">
            <v>0</v>
          </cell>
          <cell r="D6">
            <v>0</v>
          </cell>
        </row>
        <row r="7">
          <cell r="C7">
            <v>0</v>
          </cell>
          <cell r="D7">
            <v>0</v>
          </cell>
        </row>
        <row r="8">
          <cell r="C8">
            <v>0</v>
          </cell>
          <cell r="D8">
            <v>0</v>
          </cell>
        </row>
        <row r="9">
          <cell r="C9">
            <v>0</v>
          </cell>
          <cell r="D9">
            <v>0</v>
          </cell>
        </row>
        <row r="10">
          <cell r="C10">
            <v>0</v>
          </cell>
          <cell r="D10">
            <v>0</v>
          </cell>
        </row>
        <row r="11">
          <cell r="C11">
            <v>1</v>
          </cell>
          <cell r="D11">
            <v>1</v>
          </cell>
        </row>
        <row r="12">
          <cell r="C12">
            <v>0</v>
          </cell>
          <cell r="D12">
            <v>0</v>
          </cell>
        </row>
        <row r="13">
          <cell r="C13">
            <v>3</v>
          </cell>
          <cell r="D13">
            <v>3</v>
          </cell>
        </row>
        <row r="14">
          <cell r="C14">
            <v>7</v>
          </cell>
          <cell r="D14">
            <v>7</v>
          </cell>
        </row>
        <row r="15">
          <cell r="C15">
            <v>11</v>
          </cell>
          <cell r="D15">
            <v>11</v>
          </cell>
        </row>
        <row r="16">
          <cell r="C16">
            <v>24</v>
          </cell>
          <cell r="D16">
            <v>22</v>
          </cell>
        </row>
        <row r="17">
          <cell r="C17">
            <v>37</v>
          </cell>
          <cell r="D17">
            <v>33</v>
          </cell>
        </row>
        <row r="18">
          <cell r="C18">
            <v>44</v>
          </cell>
          <cell r="D18">
            <v>39</v>
          </cell>
        </row>
        <row r="19">
          <cell r="C19">
            <v>55</v>
          </cell>
          <cell r="D19">
            <v>54</v>
          </cell>
        </row>
        <row r="20">
          <cell r="C20">
            <v>116</v>
          </cell>
          <cell r="D20">
            <v>111</v>
          </cell>
        </row>
        <row r="21">
          <cell r="C21">
            <v>176</v>
          </cell>
          <cell r="D21">
            <v>161</v>
          </cell>
        </row>
        <row r="22">
          <cell r="C22">
            <v>259</v>
          </cell>
          <cell r="D22">
            <v>233</v>
          </cell>
        </row>
        <row r="23">
          <cell r="C23">
            <v>432</v>
          </cell>
          <cell r="D23">
            <v>403</v>
          </cell>
        </row>
        <row r="24">
          <cell r="C24">
            <v>709</v>
          </cell>
          <cell r="D24">
            <v>675</v>
          </cell>
        </row>
        <row r="25">
          <cell r="C25">
            <v>1217</v>
          </cell>
          <cell r="D25">
            <v>1150</v>
          </cell>
        </row>
        <row r="26">
          <cell r="C26">
            <v>1636</v>
          </cell>
          <cell r="D26">
            <v>1556</v>
          </cell>
        </row>
        <row r="27">
          <cell r="C27">
            <v>2086</v>
          </cell>
          <cell r="D27">
            <v>1993</v>
          </cell>
        </row>
        <row r="28">
          <cell r="C28">
            <v>2531</v>
          </cell>
          <cell r="D28">
            <v>2393</v>
          </cell>
        </row>
        <row r="29">
          <cell r="C29">
            <v>2666</v>
          </cell>
          <cell r="D29">
            <v>2535</v>
          </cell>
        </row>
        <row r="30">
          <cell r="C30">
            <v>2616</v>
          </cell>
          <cell r="D30">
            <v>2482</v>
          </cell>
        </row>
        <row r="31">
          <cell r="C31">
            <v>3274</v>
          </cell>
          <cell r="D31">
            <v>3104</v>
          </cell>
        </row>
        <row r="32">
          <cell r="C32">
            <v>4149</v>
          </cell>
          <cell r="D32">
            <v>3941</v>
          </cell>
        </row>
        <row r="33">
          <cell r="C33">
            <v>4915</v>
          </cell>
          <cell r="D33">
            <v>4677</v>
          </cell>
        </row>
        <row r="34">
          <cell r="C34">
            <v>5927</v>
          </cell>
          <cell r="D34">
            <v>5631</v>
          </cell>
        </row>
        <row r="35">
          <cell r="C35">
            <v>5840</v>
          </cell>
          <cell r="D35">
            <v>5598</v>
          </cell>
        </row>
        <row r="36">
          <cell r="C36">
            <v>6113</v>
          </cell>
          <cell r="D36">
            <v>5863</v>
          </cell>
        </row>
        <row r="37">
          <cell r="C37">
            <v>4638</v>
          </cell>
          <cell r="D37">
            <v>4430</v>
          </cell>
        </row>
        <row r="38">
          <cell r="C38">
            <v>49482</v>
          </cell>
          <cell r="D38">
            <v>47106</v>
          </cell>
        </row>
        <row r="39">
          <cell r="C39">
            <v>6113</v>
          </cell>
          <cell r="D39">
            <v>5863</v>
          </cell>
        </row>
        <row r="40">
          <cell r="C40">
            <v>0</v>
          </cell>
          <cell r="D40">
            <v>0</v>
          </cell>
        </row>
      </sheetData>
      <sheetData sheetId="3">
        <row r="1">
          <cell r="C1" t="str">
            <v>HasPvalue</v>
          </cell>
          <cell r="D1" t="str">
            <v>Pvalue0.05</v>
          </cell>
        </row>
        <row r="2">
          <cell r="C2">
            <v>0</v>
          </cell>
          <cell r="D2">
            <v>0</v>
          </cell>
        </row>
        <row r="3">
          <cell r="C3">
            <v>0</v>
          </cell>
          <cell r="D3">
            <v>0</v>
          </cell>
        </row>
        <row r="4">
          <cell r="C4">
            <v>0</v>
          </cell>
          <cell r="D4">
            <v>0</v>
          </cell>
        </row>
        <row r="5">
          <cell r="C5">
            <v>0</v>
          </cell>
          <cell r="D5">
            <v>0</v>
          </cell>
        </row>
        <row r="6">
          <cell r="C6">
            <v>4</v>
          </cell>
          <cell r="D6">
            <v>3</v>
          </cell>
        </row>
        <row r="7">
          <cell r="C7">
            <v>2</v>
          </cell>
          <cell r="D7">
            <v>2</v>
          </cell>
        </row>
        <row r="8">
          <cell r="C8">
            <v>1</v>
          </cell>
          <cell r="D8">
            <v>1</v>
          </cell>
        </row>
        <row r="9">
          <cell r="C9">
            <v>1</v>
          </cell>
          <cell r="D9">
            <v>1</v>
          </cell>
        </row>
        <row r="10">
          <cell r="C10">
            <v>9</v>
          </cell>
          <cell r="D10">
            <v>8</v>
          </cell>
        </row>
        <row r="11">
          <cell r="C11">
            <v>6</v>
          </cell>
          <cell r="D11">
            <v>6</v>
          </cell>
        </row>
        <row r="12">
          <cell r="C12">
            <v>26</v>
          </cell>
          <cell r="D12">
            <v>26</v>
          </cell>
        </row>
        <row r="13">
          <cell r="C13">
            <v>24</v>
          </cell>
          <cell r="D13">
            <v>23</v>
          </cell>
        </row>
        <row r="14">
          <cell r="C14">
            <v>57</v>
          </cell>
          <cell r="D14">
            <v>56</v>
          </cell>
        </row>
        <row r="15">
          <cell r="C15">
            <v>64</v>
          </cell>
          <cell r="D15">
            <v>62</v>
          </cell>
        </row>
        <row r="16">
          <cell r="C16">
            <v>131</v>
          </cell>
          <cell r="D16">
            <v>127</v>
          </cell>
        </row>
        <row r="17">
          <cell r="C17">
            <v>134</v>
          </cell>
          <cell r="D17">
            <v>127</v>
          </cell>
        </row>
        <row r="18">
          <cell r="C18">
            <v>232</v>
          </cell>
          <cell r="D18">
            <v>223</v>
          </cell>
        </row>
        <row r="19">
          <cell r="C19">
            <v>282</v>
          </cell>
          <cell r="D19">
            <v>269</v>
          </cell>
        </row>
        <row r="20">
          <cell r="C20">
            <v>400</v>
          </cell>
          <cell r="D20">
            <v>380</v>
          </cell>
        </row>
        <row r="21">
          <cell r="C21">
            <v>519</v>
          </cell>
          <cell r="D21">
            <v>492</v>
          </cell>
        </row>
        <row r="22">
          <cell r="C22">
            <v>792</v>
          </cell>
          <cell r="D22">
            <v>750</v>
          </cell>
        </row>
        <row r="23">
          <cell r="C23">
            <v>795</v>
          </cell>
          <cell r="D23">
            <v>757</v>
          </cell>
        </row>
        <row r="24">
          <cell r="C24">
            <v>1076</v>
          </cell>
          <cell r="D24">
            <v>1030</v>
          </cell>
        </row>
        <row r="25">
          <cell r="C25">
            <v>1892</v>
          </cell>
          <cell r="D25">
            <v>1815</v>
          </cell>
        </row>
        <row r="26">
          <cell r="C26">
            <v>3165</v>
          </cell>
          <cell r="D26">
            <v>3036</v>
          </cell>
        </row>
        <row r="27">
          <cell r="C27">
            <v>3695</v>
          </cell>
          <cell r="D27">
            <v>3498</v>
          </cell>
        </row>
        <row r="28">
          <cell r="C28">
            <v>4388</v>
          </cell>
          <cell r="D28">
            <v>4202</v>
          </cell>
        </row>
        <row r="29">
          <cell r="C29">
            <v>4838</v>
          </cell>
          <cell r="D29">
            <v>4621</v>
          </cell>
        </row>
        <row r="30">
          <cell r="C30">
            <v>5416</v>
          </cell>
          <cell r="D30">
            <v>5149</v>
          </cell>
        </row>
        <row r="31">
          <cell r="C31">
            <v>6110</v>
          </cell>
          <cell r="D31">
            <v>5735</v>
          </cell>
        </row>
        <row r="32">
          <cell r="C32">
            <v>9301</v>
          </cell>
          <cell r="D32">
            <v>8803</v>
          </cell>
        </row>
        <row r="33">
          <cell r="C33">
            <v>13814</v>
          </cell>
          <cell r="D33">
            <v>13160</v>
          </cell>
        </row>
        <row r="34">
          <cell r="C34">
            <v>15819</v>
          </cell>
          <cell r="D34">
            <v>15097</v>
          </cell>
        </row>
        <row r="35">
          <cell r="C35">
            <v>15346</v>
          </cell>
          <cell r="D35">
            <v>14629</v>
          </cell>
        </row>
        <row r="36">
          <cell r="C36">
            <v>13870</v>
          </cell>
          <cell r="D36">
            <v>13264</v>
          </cell>
        </row>
        <row r="37">
          <cell r="C37">
            <v>9260</v>
          </cell>
          <cell r="D37">
            <v>8853</v>
          </cell>
        </row>
        <row r="38">
          <cell r="C38">
            <v>111469</v>
          </cell>
          <cell r="D38">
            <v>106205</v>
          </cell>
        </row>
        <row r="39">
          <cell r="C39">
            <v>15819</v>
          </cell>
          <cell r="D39">
            <v>15097</v>
          </cell>
        </row>
        <row r="40">
          <cell r="C40">
            <v>0</v>
          </cell>
          <cell r="D40">
            <v>0</v>
          </cell>
        </row>
      </sheetData>
      <sheetData sheetId="4">
        <row r="1">
          <cell r="C1" t="str">
            <v>HasPvalue</v>
          </cell>
          <cell r="D1" t="str">
            <v>Pvalue0.05</v>
          </cell>
        </row>
        <row r="2">
          <cell r="C2">
            <v>0</v>
          </cell>
          <cell r="D2">
            <v>0</v>
          </cell>
        </row>
        <row r="3">
          <cell r="C3">
            <v>0</v>
          </cell>
          <cell r="D3">
            <v>0</v>
          </cell>
        </row>
        <row r="4">
          <cell r="C4">
            <v>0</v>
          </cell>
          <cell r="D4">
            <v>0</v>
          </cell>
        </row>
        <row r="5">
          <cell r="C5">
            <v>0</v>
          </cell>
          <cell r="D5">
            <v>0</v>
          </cell>
        </row>
        <row r="6">
          <cell r="C6">
            <v>0</v>
          </cell>
          <cell r="D6">
            <v>0</v>
          </cell>
        </row>
        <row r="7">
          <cell r="C7">
            <v>2</v>
          </cell>
          <cell r="D7">
            <v>2</v>
          </cell>
        </row>
        <row r="8">
          <cell r="C8">
            <v>1</v>
          </cell>
          <cell r="D8">
            <v>1</v>
          </cell>
        </row>
        <row r="9">
          <cell r="C9">
            <v>1</v>
          </cell>
          <cell r="D9">
            <v>1</v>
          </cell>
        </row>
        <row r="10">
          <cell r="C10">
            <v>5</v>
          </cell>
          <cell r="D10">
            <v>4</v>
          </cell>
        </row>
        <row r="11">
          <cell r="C11">
            <v>1</v>
          </cell>
          <cell r="D11">
            <v>1</v>
          </cell>
        </row>
        <row r="12">
          <cell r="C12">
            <v>2</v>
          </cell>
          <cell r="D12">
            <v>2</v>
          </cell>
        </row>
        <row r="13">
          <cell r="C13">
            <v>1</v>
          </cell>
          <cell r="D13">
            <v>1</v>
          </cell>
        </row>
        <row r="14">
          <cell r="C14">
            <v>5</v>
          </cell>
          <cell r="D14">
            <v>5</v>
          </cell>
        </row>
        <row r="15">
          <cell r="C15">
            <v>12</v>
          </cell>
          <cell r="D15">
            <v>12</v>
          </cell>
        </row>
        <row r="16">
          <cell r="C16">
            <v>25</v>
          </cell>
          <cell r="D16">
            <v>24</v>
          </cell>
        </row>
        <row r="17">
          <cell r="C17">
            <v>17</v>
          </cell>
          <cell r="D17">
            <v>17</v>
          </cell>
        </row>
        <row r="18">
          <cell r="C18">
            <v>17</v>
          </cell>
          <cell r="D18">
            <v>17</v>
          </cell>
        </row>
        <row r="19">
          <cell r="C19">
            <v>33</v>
          </cell>
          <cell r="D19">
            <v>32</v>
          </cell>
        </row>
        <row r="20">
          <cell r="C20">
            <v>362</v>
          </cell>
          <cell r="D20">
            <v>353</v>
          </cell>
        </row>
        <row r="21">
          <cell r="C21">
            <v>637</v>
          </cell>
          <cell r="D21">
            <v>617</v>
          </cell>
        </row>
        <row r="22">
          <cell r="C22">
            <v>727</v>
          </cell>
          <cell r="D22">
            <v>702</v>
          </cell>
        </row>
        <row r="23">
          <cell r="C23">
            <v>757</v>
          </cell>
          <cell r="D23">
            <v>739</v>
          </cell>
        </row>
        <row r="24">
          <cell r="C24">
            <v>783</v>
          </cell>
          <cell r="D24">
            <v>751</v>
          </cell>
        </row>
        <row r="25">
          <cell r="C25">
            <v>862</v>
          </cell>
          <cell r="D25">
            <v>838</v>
          </cell>
        </row>
        <row r="26">
          <cell r="C26">
            <v>1081</v>
          </cell>
          <cell r="D26">
            <v>1042</v>
          </cell>
        </row>
        <row r="27">
          <cell r="C27">
            <v>2481</v>
          </cell>
          <cell r="D27">
            <v>2431</v>
          </cell>
        </row>
        <row r="28">
          <cell r="C28">
            <v>3506</v>
          </cell>
          <cell r="D28">
            <v>3437</v>
          </cell>
        </row>
        <row r="29">
          <cell r="C29">
            <v>3290</v>
          </cell>
          <cell r="D29">
            <v>3203</v>
          </cell>
        </row>
        <row r="30">
          <cell r="C30">
            <v>3636</v>
          </cell>
          <cell r="D30">
            <v>3512</v>
          </cell>
        </row>
        <row r="31">
          <cell r="C31">
            <v>4014</v>
          </cell>
          <cell r="D31">
            <v>3845</v>
          </cell>
        </row>
        <row r="32">
          <cell r="C32">
            <v>5547</v>
          </cell>
          <cell r="D32">
            <v>5148</v>
          </cell>
        </row>
        <row r="33">
          <cell r="C33">
            <v>6355</v>
          </cell>
          <cell r="D33">
            <v>5948</v>
          </cell>
        </row>
        <row r="34">
          <cell r="C34">
            <v>5964</v>
          </cell>
          <cell r="D34">
            <v>5706</v>
          </cell>
        </row>
        <row r="35">
          <cell r="C35">
            <v>5138</v>
          </cell>
          <cell r="D35">
            <v>5007</v>
          </cell>
        </row>
        <row r="36">
          <cell r="C36">
            <v>5049</v>
          </cell>
          <cell r="D36">
            <v>4964</v>
          </cell>
        </row>
        <row r="37">
          <cell r="C37">
            <v>3733</v>
          </cell>
          <cell r="D37">
            <v>3646</v>
          </cell>
        </row>
        <row r="38">
          <cell r="C38">
            <v>54044</v>
          </cell>
          <cell r="D38">
            <v>52008</v>
          </cell>
        </row>
        <row r="39">
          <cell r="C39">
            <v>6355</v>
          </cell>
          <cell r="D39">
            <v>5948</v>
          </cell>
        </row>
        <row r="40">
          <cell r="C40">
            <v>0</v>
          </cell>
          <cell r="D40">
            <v>0</v>
          </cell>
        </row>
      </sheetData>
      <sheetData sheetId="5">
        <row r="1">
          <cell r="C1" t="str">
            <v>HasPvalue</v>
          </cell>
          <cell r="D1" t="str">
            <v>Pvalue0.05</v>
          </cell>
        </row>
        <row r="2">
          <cell r="C2">
            <v>15</v>
          </cell>
          <cell r="D2">
            <v>14</v>
          </cell>
        </row>
        <row r="3">
          <cell r="C3">
            <v>14</v>
          </cell>
          <cell r="D3">
            <v>13</v>
          </cell>
        </row>
        <row r="4">
          <cell r="C4">
            <v>15</v>
          </cell>
          <cell r="D4">
            <v>13</v>
          </cell>
        </row>
        <row r="5">
          <cell r="C5">
            <v>20</v>
          </cell>
          <cell r="D5">
            <v>18</v>
          </cell>
        </row>
        <row r="6">
          <cell r="C6">
            <v>43</v>
          </cell>
          <cell r="D6">
            <v>39</v>
          </cell>
        </row>
        <row r="7">
          <cell r="C7">
            <v>39</v>
          </cell>
          <cell r="D7">
            <v>33</v>
          </cell>
        </row>
        <row r="8">
          <cell r="C8">
            <v>47</v>
          </cell>
          <cell r="D8">
            <v>44</v>
          </cell>
        </row>
        <row r="9">
          <cell r="C9">
            <v>304</v>
          </cell>
          <cell r="D9">
            <v>290</v>
          </cell>
        </row>
        <row r="10">
          <cell r="C10">
            <v>387</v>
          </cell>
          <cell r="D10">
            <v>370</v>
          </cell>
        </row>
        <row r="11">
          <cell r="C11">
            <v>427</v>
          </cell>
          <cell r="D11">
            <v>402</v>
          </cell>
        </row>
        <row r="12">
          <cell r="C12">
            <v>561</v>
          </cell>
          <cell r="D12">
            <v>536</v>
          </cell>
        </row>
        <row r="13">
          <cell r="C13">
            <v>1014</v>
          </cell>
          <cell r="D13">
            <v>974</v>
          </cell>
        </row>
        <row r="14">
          <cell r="C14">
            <v>1706</v>
          </cell>
          <cell r="D14">
            <v>1642</v>
          </cell>
        </row>
        <row r="15">
          <cell r="C15">
            <v>2372</v>
          </cell>
          <cell r="D15">
            <v>2268</v>
          </cell>
        </row>
        <row r="16">
          <cell r="C16">
            <v>3553</v>
          </cell>
          <cell r="D16">
            <v>3390</v>
          </cell>
        </row>
        <row r="17">
          <cell r="C17">
            <v>5593</v>
          </cell>
          <cell r="D17">
            <v>5390</v>
          </cell>
        </row>
        <row r="18">
          <cell r="C18">
            <v>7563</v>
          </cell>
          <cell r="D18">
            <v>7243</v>
          </cell>
        </row>
        <row r="19">
          <cell r="C19">
            <v>11240</v>
          </cell>
          <cell r="D19">
            <v>10813</v>
          </cell>
        </row>
        <row r="20">
          <cell r="C20">
            <v>17228</v>
          </cell>
          <cell r="D20">
            <v>16598</v>
          </cell>
        </row>
        <row r="21">
          <cell r="C21">
            <v>23871</v>
          </cell>
          <cell r="D21">
            <v>23043</v>
          </cell>
        </row>
        <row r="22">
          <cell r="C22">
            <v>34552</v>
          </cell>
          <cell r="D22">
            <v>33408</v>
          </cell>
        </row>
        <row r="23">
          <cell r="C23">
            <v>48830</v>
          </cell>
          <cell r="D23">
            <v>47346</v>
          </cell>
        </row>
        <row r="24">
          <cell r="C24">
            <v>69299</v>
          </cell>
          <cell r="D24">
            <v>67407</v>
          </cell>
        </row>
        <row r="25">
          <cell r="C25">
            <v>91360</v>
          </cell>
          <cell r="D25">
            <v>88822</v>
          </cell>
        </row>
        <row r="26">
          <cell r="C26">
            <v>110081</v>
          </cell>
          <cell r="D26">
            <v>107001</v>
          </cell>
        </row>
        <row r="27">
          <cell r="C27">
            <v>127052</v>
          </cell>
          <cell r="D27">
            <v>123590</v>
          </cell>
        </row>
        <row r="28">
          <cell r="C28">
            <v>142439</v>
          </cell>
          <cell r="D28">
            <v>138658</v>
          </cell>
        </row>
        <row r="29">
          <cell r="C29">
            <v>163228</v>
          </cell>
          <cell r="D29">
            <v>158729</v>
          </cell>
        </row>
        <row r="30">
          <cell r="C30">
            <v>177155</v>
          </cell>
          <cell r="D30">
            <v>172246</v>
          </cell>
        </row>
        <row r="31">
          <cell r="C31">
            <v>205952</v>
          </cell>
          <cell r="D31">
            <v>200229</v>
          </cell>
        </row>
        <row r="32">
          <cell r="C32">
            <v>270349</v>
          </cell>
          <cell r="D32">
            <v>262690</v>
          </cell>
        </row>
        <row r="33">
          <cell r="C33">
            <v>348005</v>
          </cell>
          <cell r="D33">
            <v>338591</v>
          </cell>
        </row>
        <row r="34">
          <cell r="C34">
            <v>399811</v>
          </cell>
          <cell r="D34">
            <v>389251</v>
          </cell>
        </row>
        <row r="35">
          <cell r="C35">
            <v>355648</v>
          </cell>
          <cell r="D35">
            <v>346363</v>
          </cell>
        </row>
        <row r="36">
          <cell r="C36">
            <v>361621</v>
          </cell>
          <cell r="D36">
            <v>352590</v>
          </cell>
        </row>
        <row r="37">
          <cell r="C37">
            <v>291045</v>
          </cell>
          <cell r="D37">
            <v>284059</v>
          </cell>
        </row>
        <row r="38">
          <cell r="C38">
            <v>3272439</v>
          </cell>
          <cell r="D38">
            <v>3184113</v>
          </cell>
        </row>
        <row r="39">
          <cell r="C39">
            <v>399811</v>
          </cell>
          <cell r="D39">
            <v>389251</v>
          </cell>
        </row>
        <row r="40">
          <cell r="C40">
            <v>14</v>
          </cell>
          <cell r="D40">
            <v>13</v>
          </cell>
        </row>
      </sheetData>
      <sheetData sheetId="6">
        <row r="1">
          <cell r="C1" t="str">
            <v>HasPvalue</v>
          </cell>
          <cell r="D1" t="str">
            <v>Pvalue0.05</v>
          </cell>
        </row>
        <row r="2">
          <cell r="C2">
            <v>0</v>
          </cell>
          <cell r="D2">
            <v>0</v>
          </cell>
        </row>
        <row r="3">
          <cell r="C3">
            <v>0</v>
          </cell>
          <cell r="D3">
            <v>0</v>
          </cell>
        </row>
        <row r="4">
          <cell r="C4">
            <v>0</v>
          </cell>
          <cell r="D4">
            <v>0</v>
          </cell>
        </row>
        <row r="5">
          <cell r="C5">
            <v>0</v>
          </cell>
          <cell r="D5">
            <v>0</v>
          </cell>
        </row>
        <row r="6">
          <cell r="C6">
            <v>0</v>
          </cell>
          <cell r="D6">
            <v>0</v>
          </cell>
        </row>
        <row r="7">
          <cell r="C7">
            <v>0</v>
          </cell>
          <cell r="D7">
            <v>0</v>
          </cell>
        </row>
        <row r="8">
          <cell r="C8">
            <v>0</v>
          </cell>
          <cell r="D8">
            <v>0</v>
          </cell>
        </row>
        <row r="9">
          <cell r="C9">
            <v>0</v>
          </cell>
          <cell r="D9">
            <v>0</v>
          </cell>
        </row>
        <row r="10">
          <cell r="C10">
            <v>0</v>
          </cell>
          <cell r="D10">
            <v>0</v>
          </cell>
        </row>
        <row r="11">
          <cell r="C11">
            <v>0</v>
          </cell>
          <cell r="D11">
            <v>0</v>
          </cell>
        </row>
        <row r="12">
          <cell r="C12">
            <v>0</v>
          </cell>
          <cell r="D12">
            <v>0</v>
          </cell>
        </row>
        <row r="13">
          <cell r="C13">
            <v>0</v>
          </cell>
          <cell r="D13">
            <v>0</v>
          </cell>
        </row>
        <row r="14">
          <cell r="C14">
            <v>0</v>
          </cell>
          <cell r="D14">
            <v>0</v>
          </cell>
        </row>
        <row r="15">
          <cell r="C15">
            <v>0</v>
          </cell>
          <cell r="D15">
            <v>0</v>
          </cell>
        </row>
        <row r="16">
          <cell r="C16">
            <v>0</v>
          </cell>
          <cell r="D16">
            <v>0</v>
          </cell>
        </row>
        <row r="17">
          <cell r="C17">
            <v>0</v>
          </cell>
          <cell r="D17">
            <v>0</v>
          </cell>
        </row>
        <row r="18">
          <cell r="C18">
            <v>1</v>
          </cell>
          <cell r="D18">
            <v>1</v>
          </cell>
        </row>
        <row r="19">
          <cell r="C19">
            <v>0</v>
          </cell>
          <cell r="D19">
            <v>0</v>
          </cell>
        </row>
        <row r="20">
          <cell r="C20">
            <v>0</v>
          </cell>
          <cell r="D20">
            <v>0</v>
          </cell>
        </row>
        <row r="21">
          <cell r="C21">
            <v>0</v>
          </cell>
          <cell r="D21">
            <v>0</v>
          </cell>
        </row>
        <row r="22">
          <cell r="C22">
            <v>0</v>
          </cell>
          <cell r="D22">
            <v>0</v>
          </cell>
        </row>
        <row r="23">
          <cell r="C23">
            <v>1</v>
          </cell>
          <cell r="D23">
            <v>1</v>
          </cell>
        </row>
        <row r="24">
          <cell r="C24">
            <v>47</v>
          </cell>
          <cell r="D24">
            <v>46</v>
          </cell>
        </row>
        <row r="25">
          <cell r="C25">
            <v>512</v>
          </cell>
          <cell r="D25">
            <v>499</v>
          </cell>
        </row>
        <row r="26">
          <cell r="C26">
            <v>1209</v>
          </cell>
          <cell r="D26">
            <v>1164</v>
          </cell>
        </row>
        <row r="27">
          <cell r="C27">
            <v>2040</v>
          </cell>
          <cell r="D27">
            <v>2004</v>
          </cell>
        </row>
        <row r="28">
          <cell r="C28">
            <v>2591</v>
          </cell>
          <cell r="D28">
            <v>2531</v>
          </cell>
        </row>
        <row r="29">
          <cell r="C29">
            <v>2995</v>
          </cell>
          <cell r="D29">
            <v>2919</v>
          </cell>
        </row>
        <row r="30">
          <cell r="C30">
            <v>3354</v>
          </cell>
          <cell r="D30">
            <v>3293</v>
          </cell>
        </row>
        <row r="31">
          <cell r="C31">
            <v>4202</v>
          </cell>
          <cell r="D31">
            <v>4119</v>
          </cell>
        </row>
        <row r="32">
          <cell r="C32">
            <v>5454</v>
          </cell>
          <cell r="D32">
            <v>5340</v>
          </cell>
        </row>
        <row r="33">
          <cell r="C33">
            <v>6700</v>
          </cell>
          <cell r="D33">
            <v>6566</v>
          </cell>
        </row>
        <row r="34">
          <cell r="C34">
            <v>5419</v>
          </cell>
          <cell r="D34">
            <v>5287</v>
          </cell>
        </row>
        <row r="35">
          <cell r="C35">
            <v>4647</v>
          </cell>
          <cell r="D35">
            <v>4559</v>
          </cell>
        </row>
        <row r="36">
          <cell r="C36">
            <v>5747</v>
          </cell>
          <cell r="D36">
            <v>5636</v>
          </cell>
        </row>
        <row r="37">
          <cell r="C37">
            <v>4923</v>
          </cell>
          <cell r="D37">
            <v>4827</v>
          </cell>
        </row>
        <row r="38">
          <cell r="C38">
            <v>49842</v>
          </cell>
          <cell r="D38">
            <v>48792</v>
          </cell>
        </row>
        <row r="39">
          <cell r="C39">
            <v>6700</v>
          </cell>
          <cell r="D39">
            <v>6566</v>
          </cell>
        </row>
        <row r="40">
          <cell r="C40">
            <v>0</v>
          </cell>
          <cell r="D40">
            <v>0</v>
          </cell>
        </row>
      </sheetData>
      <sheetData sheetId="7">
        <row r="1">
          <cell r="C1" t="str">
            <v>HasPvalue</v>
          </cell>
          <cell r="D1" t="str">
            <v>Pvalue0.05</v>
          </cell>
        </row>
        <row r="2">
          <cell r="C2">
            <v>0</v>
          </cell>
          <cell r="D2">
            <v>0</v>
          </cell>
        </row>
        <row r="3">
          <cell r="C3">
            <v>0</v>
          </cell>
          <cell r="D3">
            <v>0</v>
          </cell>
        </row>
        <row r="4">
          <cell r="C4">
            <v>0</v>
          </cell>
          <cell r="D4">
            <v>0</v>
          </cell>
        </row>
        <row r="5">
          <cell r="C5">
            <v>0</v>
          </cell>
          <cell r="D5">
            <v>0</v>
          </cell>
        </row>
        <row r="6">
          <cell r="C6">
            <v>0</v>
          </cell>
          <cell r="D6">
            <v>0</v>
          </cell>
        </row>
        <row r="7">
          <cell r="C7">
            <v>0</v>
          </cell>
          <cell r="D7">
            <v>0</v>
          </cell>
        </row>
        <row r="8">
          <cell r="C8">
            <v>0</v>
          </cell>
          <cell r="D8">
            <v>0</v>
          </cell>
        </row>
        <row r="9">
          <cell r="C9">
            <v>0</v>
          </cell>
          <cell r="D9">
            <v>0</v>
          </cell>
        </row>
        <row r="10">
          <cell r="C10">
            <v>0</v>
          </cell>
          <cell r="D10">
            <v>0</v>
          </cell>
        </row>
        <row r="11">
          <cell r="C11">
            <v>0</v>
          </cell>
          <cell r="D11">
            <v>0</v>
          </cell>
        </row>
        <row r="12">
          <cell r="C12">
            <v>1</v>
          </cell>
          <cell r="D12">
            <v>1</v>
          </cell>
        </row>
        <row r="13">
          <cell r="C13">
            <v>5</v>
          </cell>
          <cell r="D13">
            <v>5</v>
          </cell>
        </row>
        <row r="14">
          <cell r="C14">
            <v>11</v>
          </cell>
          <cell r="D14">
            <v>10</v>
          </cell>
        </row>
        <row r="15">
          <cell r="C15">
            <v>8</v>
          </cell>
          <cell r="D15">
            <v>7</v>
          </cell>
        </row>
        <row r="16">
          <cell r="C16">
            <v>16</v>
          </cell>
          <cell r="D16">
            <v>15</v>
          </cell>
        </row>
        <row r="17">
          <cell r="C17">
            <v>30</v>
          </cell>
          <cell r="D17">
            <v>28</v>
          </cell>
        </row>
        <row r="18">
          <cell r="C18">
            <v>42</v>
          </cell>
          <cell r="D18">
            <v>38</v>
          </cell>
        </row>
        <row r="19">
          <cell r="C19">
            <v>53</v>
          </cell>
          <cell r="D19">
            <v>51</v>
          </cell>
        </row>
        <row r="20">
          <cell r="C20">
            <v>92</v>
          </cell>
          <cell r="D20">
            <v>88</v>
          </cell>
        </row>
        <row r="21">
          <cell r="C21">
            <v>139</v>
          </cell>
          <cell r="D21">
            <v>126</v>
          </cell>
        </row>
        <row r="22">
          <cell r="C22">
            <v>208</v>
          </cell>
          <cell r="D22">
            <v>192</v>
          </cell>
        </row>
        <row r="23">
          <cell r="C23">
            <v>320</v>
          </cell>
          <cell r="D23">
            <v>301</v>
          </cell>
        </row>
        <row r="24">
          <cell r="C24">
            <v>470</v>
          </cell>
          <cell r="D24">
            <v>435</v>
          </cell>
        </row>
        <row r="25">
          <cell r="C25">
            <v>717</v>
          </cell>
          <cell r="D25">
            <v>666</v>
          </cell>
        </row>
        <row r="26">
          <cell r="C26">
            <v>1051</v>
          </cell>
          <cell r="D26">
            <v>983</v>
          </cell>
        </row>
        <row r="27">
          <cell r="C27">
            <v>1357</v>
          </cell>
          <cell r="D27">
            <v>1291</v>
          </cell>
        </row>
        <row r="28">
          <cell r="C28">
            <v>1682</v>
          </cell>
          <cell r="D28">
            <v>1559</v>
          </cell>
        </row>
        <row r="29">
          <cell r="C29">
            <v>2042</v>
          </cell>
          <cell r="D29">
            <v>1912</v>
          </cell>
        </row>
        <row r="30">
          <cell r="C30">
            <v>2186</v>
          </cell>
          <cell r="D30">
            <v>2057</v>
          </cell>
        </row>
        <row r="31">
          <cell r="C31">
            <v>3437</v>
          </cell>
          <cell r="D31">
            <v>3249</v>
          </cell>
        </row>
        <row r="32">
          <cell r="C32">
            <v>4627</v>
          </cell>
          <cell r="D32">
            <v>4373</v>
          </cell>
        </row>
        <row r="33">
          <cell r="C33">
            <v>6523</v>
          </cell>
          <cell r="D33">
            <v>6198</v>
          </cell>
        </row>
        <row r="34">
          <cell r="C34">
            <v>8377</v>
          </cell>
          <cell r="D34">
            <v>7963</v>
          </cell>
        </row>
        <row r="35">
          <cell r="C35">
            <v>7440</v>
          </cell>
          <cell r="D35">
            <v>7097</v>
          </cell>
        </row>
        <row r="36">
          <cell r="C36">
            <v>8336</v>
          </cell>
          <cell r="D36">
            <v>7992</v>
          </cell>
        </row>
        <row r="37">
          <cell r="C37">
            <v>6690</v>
          </cell>
          <cell r="D37">
            <v>6390</v>
          </cell>
        </row>
        <row r="38">
          <cell r="C38">
            <v>55860</v>
          </cell>
          <cell r="D38">
            <v>53027</v>
          </cell>
        </row>
        <row r="39">
          <cell r="C39">
            <v>8377</v>
          </cell>
          <cell r="D39">
            <v>7992</v>
          </cell>
        </row>
        <row r="40">
          <cell r="C40">
            <v>0</v>
          </cell>
          <cell r="D4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D562-EEDD-9D48-A28A-C288ED7AA4E9}">
  <dimension ref="A1:D40"/>
  <sheetViews>
    <sheetView workbookViewId="0">
      <selection activeCell="B13" sqref="B13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[1]RCT!C1</f>
        <v>HasPvalue</v>
      </c>
      <c r="C1" t="str">
        <f>[1]RCT!D1</f>
        <v>Pvalue0.05</v>
      </c>
      <c r="D1" t="s">
        <v>1</v>
      </c>
    </row>
    <row r="2" spans="1:4" x14ac:dyDescent="0.3">
      <c r="A2">
        <v>1990</v>
      </c>
      <c r="B2">
        <f>[1]RCT!C2</f>
        <v>0</v>
      </c>
      <c r="C2">
        <f>[1]RCT!D2</f>
        <v>0</v>
      </c>
      <c r="D2" t="e">
        <f>C2/B2*100</f>
        <v>#DIV/0!</v>
      </c>
    </row>
    <row r="3" spans="1:4" x14ac:dyDescent="0.3">
      <c r="A3">
        <v>1991</v>
      </c>
      <c r="B3">
        <f>[1]RCT!C3</f>
        <v>0</v>
      </c>
      <c r="C3">
        <f>[1]RCT!D3</f>
        <v>0</v>
      </c>
      <c r="D3" t="e">
        <f t="shared" ref="D3:D37" si="0">C3/B3*100</f>
        <v>#DIV/0!</v>
      </c>
    </row>
    <row r="4" spans="1:4" x14ac:dyDescent="0.3">
      <c r="A4">
        <f>A2+2</f>
        <v>1992</v>
      </c>
      <c r="B4">
        <f>[1]RCT!C4</f>
        <v>0</v>
      </c>
      <c r="C4">
        <f>[1]RCT!D4</f>
        <v>0</v>
      </c>
      <c r="D4" t="e">
        <f t="shared" si="0"/>
        <v>#DIV/0!</v>
      </c>
    </row>
    <row r="5" spans="1:4" x14ac:dyDescent="0.3">
      <c r="A5">
        <f t="shared" ref="A5:A36" si="1">A3+2</f>
        <v>1993</v>
      </c>
      <c r="B5">
        <f>[1]RCT!C5</f>
        <v>2</v>
      </c>
      <c r="C5">
        <f>[1]RCT!D5</f>
        <v>2</v>
      </c>
      <c r="D5">
        <f t="shared" si="0"/>
        <v>100</v>
      </c>
    </row>
    <row r="6" spans="1:4" x14ac:dyDescent="0.3">
      <c r="A6">
        <f t="shared" si="1"/>
        <v>1994</v>
      </c>
      <c r="B6">
        <f>[1]RCT!C6</f>
        <v>2</v>
      </c>
      <c r="C6">
        <f>[1]RCT!D6</f>
        <v>2</v>
      </c>
      <c r="D6">
        <f t="shared" si="0"/>
        <v>100</v>
      </c>
    </row>
    <row r="7" spans="1:4" x14ac:dyDescent="0.3">
      <c r="A7">
        <f t="shared" si="1"/>
        <v>1995</v>
      </c>
      <c r="B7">
        <f>[1]RCT!C7</f>
        <v>1</v>
      </c>
      <c r="C7">
        <f>[1]RCT!D7</f>
        <v>1</v>
      </c>
      <c r="D7">
        <f t="shared" si="0"/>
        <v>100</v>
      </c>
    </row>
    <row r="8" spans="1:4" x14ac:dyDescent="0.3">
      <c r="A8">
        <f t="shared" si="1"/>
        <v>1996</v>
      </c>
      <c r="B8">
        <f>[1]RCT!C8</f>
        <v>1</v>
      </c>
      <c r="C8">
        <f>[1]RCT!D8</f>
        <v>1</v>
      </c>
      <c r="D8">
        <f t="shared" si="0"/>
        <v>100</v>
      </c>
    </row>
    <row r="9" spans="1:4" x14ac:dyDescent="0.3">
      <c r="A9">
        <f t="shared" si="1"/>
        <v>1997</v>
      </c>
      <c r="B9">
        <f>[1]RCT!C9</f>
        <v>5</v>
      </c>
      <c r="C9">
        <f>[1]RCT!D9</f>
        <v>5</v>
      </c>
      <c r="D9">
        <f t="shared" si="0"/>
        <v>100</v>
      </c>
    </row>
    <row r="10" spans="1:4" x14ac:dyDescent="0.3">
      <c r="A10">
        <f t="shared" si="1"/>
        <v>1998</v>
      </c>
      <c r="B10">
        <f>[1]RCT!C10</f>
        <v>4</v>
      </c>
      <c r="C10">
        <f>[1]RCT!D10</f>
        <v>4</v>
      </c>
      <c r="D10">
        <f t="shared" si="0"/>
        <v>100</v>
      </c>
    </row>
    <row r="11" spans="1:4" x14ac:dyDescent="0.3">
      <c r="A11">
        <f t="shared" si="1"/>
        <v>1999</v>
      </c>
      <c r="B11">
        <f>[1]RCT!C11</f>
        <v>5</v>
      </c>
      <c r="C11">
        <f>[1]RCT!D11</f>
        <v>4</v>
      </c>
      <c r="D11">
        <f t="shared" si="0"/>
        <v>80</v>
      </c>
    </row>
    <row r="12" spans="1:4" x14ac:dyDescent="0.3">
      <c r="A12">
        <f t="shared" si="1"/>
        <v>2000</v>
      </c>
      <c r="B12">
        <f>[1]RCT!C12</f>
        <v>9</v>
      </c>
      <c r="C12">
        <f>[1]RCT!D12</f>
        <v>9</v>
      </c>
      <c r="D12">
        <f t="shared" si="0"/>
        <v>100</v>
      </c>
    </row>
    <row r="13" spans="1:4" x14ac:dyDescent="0.3">
      <c r="A13">
        <f t="shared" si="1"/>
        <v>2001</v>
      </c>
      <c r="B13">
        <f>[1]RCT!C13</f>
        <v>15</v>
      </c>
      <c r="C13">
        <f>[1]RCT!D13</f>
        <v>12</v>
      </c>
      <c r="D13">
        <f t="shared" si="0"/>
        <v>80</v>
      </c>
    </row>
    <row r="14" spans="1:4" x14ac:dyDescent="0.3">
      <c r="A14">
        <f t="shared" si="1"/>
        <v>2002</v>
      </c>
      <c r="B14">
        <f>[1]RCT!C14</f>
        <v>50</v>
      </c>
      <c r="C14">
        <f>[1]RCT!D14</f>
        <v>46</v>
      </c>
      <c r="D14">
        <f t="shared" si="0"/>
        <v>92</v>
      </c>
    </row>
    <row r="15" spans="1:4" x14ac:dyDescent="0.3">
      <c r="A15">
        <f t="shared" si="1"/>
        <v>2003</v>
      </c>
      <c r="B15">
        <f>[1]RCT!C15</f>
        <v>50</v>
      </c>
      <c r="C15">
        <f>[1]RCT!D15</f>
        <v>49</v>
      </c>
      <c r="D15">
        <f t="shared" si="0"/>
        <v>98</v>
      </c>
    </row>
    <row r="16" spans="1:4" x14ac:dyDescent="0.3">
      <c r="A16">
        <f t="shared" si="1"/>
        <v>2004</v>
      </c>
      <c r="B16">
        <f>[1]RCT!C16</f>
        <v>129</v>
      </c>
      <c r="C16">
        <f>[1]RCT!D16</f>
        <v>118</v>
      </c>
      <c r="D16">
        <f t="shared" si="0"/>
        <v>91.472868217054256</v>
      </c>
    </row>
    <row r="17" spans="1:4" x14ac:dyDescent="0.3">
      <c r="A17">
        <f t="shared" si="1"/>
        <v>2005</v>
      </c>
      <c r="B17">
        <f>[1]RCT!C17</f>
        <v>152</v>
      </c>
      <c r="C17">
        <f>[1]RCT!D17</f>
        <v>143</v>
      </c>
      <c r="D17">
        <f t="shared" si="0"/>
        <v>94.078947368421055</v>
      </c>
    </row>
    <row r="18" spans="1:4" x14ac:dyDescent="0.3">
      <c r="A18">
        <f t="shared" si="1"/>
        <v>2006</v>
      </c>
      <c r="B18">
        <f>[1]RCT!C18</f>
        <v>199</v>
      </c>
      <c r="C18">
        <f>[1]RCT!D18</f>
        <v>187</v>
      </c>
      <c r="D18">
        <f t="shared" si="0"/>
        <v>93.969849246231149</v>
      </c>
    </row>
    <row r="19" spans="1:4" x14ac:dyDescent="0.3">
      <c r="A19">
        <f t="shared" si="1"/>
        <v>2007</v>
      </c>
      <c r="B19">
        <f>[1]RCT!C19</f>
        <v>364</v>
      </c>
      <c r="C19">
        <f>[1]RCT!D19</f>
        <v>349</v>
      </c>
      <c r="D19">
        <f t="shared" si="0"/>
        <v>95.879120879120876</v>
      </c>
    </row>
    <row r="20" spans="1:4" x14ac:dyDescent="0.3">
      <c r="A20">
        <f t="shared" si="1"/>
        <v>2008</v>
      </c>
      <c r="B20">
        <f>[1]RCT!C20</f>
        <v>602</v>
      </c>
      <c r="C20">
        <f>[1]RCT!D20</f>
        <v>587</v>
      </c>
      <c r="D20">
        <f t="shared" si="0"/>
        <v>97.50830564784053</v>
      </c>
    </row>
    <row r="21" spans="1:4" x14ac:dyDescent="0.3">
      <c r="A21">
        <f t="shared" si="1"/>
        <v>2009</v>
      </c>
      <c r="B21">
        <f>[1]RCT!C21</f>
        <v>805</v>
      </c>
      <c r="C21">
        <f>[1]RCT!D21</f>
        <v>773</v>
      </c>
      <c r="D21">
        <f t="shared" si="0"/>
        <v>96.024844720496887</v>
      </c>
    </row>
    <row r="22" spans="1:4" x14ac:dyDescent="0.3">
      <c r="A22">
        <f t="shared" si="1"/>
        <v>2010</v>
      </c>
      <c r="B22">
        <f>[1]RCT!C22</f>
        <v>1089</v>
      </c>
      <c r="C22">
        <f>[1]RCT!D22</f>
        <v>1049</v>
      </c>
      <c r="D22">
        <f t="shared" si="0"/>
        <v>96.326905417814515</v>
      </c>
    </row>
    <row r="23" spans="1:4" x14ac:dyDescent="0.3">
      <c r="A23">
        <f t="shared" si="1"/>
        <v>2011</v>
      </c>
      <c r="B23">
        <f>[1]RCT!C23</f>
        <v>1522</v>
      </c>
      <c r="C23">
        <f>[1]RCT!D23</f>
        <v>1472</v>
      </c>
      <c r="D23">
        <f t="shared" si="0"/>
        <v>96.714848883048617</v>
      </c>
    </row>
    <row r="24" spans="1:4" x14ac:dyDescent="0.3">
      <c r="A24">
        <f>A22+2</f>
        <v>2012</v>
      </c>
      <c r="B24">
        <f>[1]RCT!C24</f>
        <v>1921</v>
      </c>
      <c r="C24">
        <f>[1]RCT!D24</f>
        <v>1852</v>
      </c>
      <c r="D24">
        <f t="shared" si="0"/>
        <v>96.408120770432078</v>
      </c>
    </row>
    <row r="25" spans="1:4" x14ac:dyDescent="0.3">
      <c r="A25">
        <f t="shared" si="1"/>
        <v>2013</v>
      </c>
      <c r="B25">
        <f>[1]RCT!C25</f>
        <v>2620</v>
      </c>
      <c r="C25">
        <f>[1]RCT!D25</f>
        <v>2533</v>
      </c>
      <c r="D25">
        <f t="shared" si="0"/>
        <v>96.679389312977108</v>
      </c>
    </row>
    <row r="26" spans="1:4" x14ac:dyDescent="0.3">
      <c r="A26">
        <f t="shared" si="1"/>
        <v>2014</v>
      </c>
      <c r="B26">
        <f>[1]RCT!C26</f>
        <v>3215</v>
      </c>
      <c r="C26">
        <f>[1]RCT!D26</f>
        <v>3099</v>
      </c>
      <c r="D26">
        <f t="shared" si="0"/>
        <v>96.391912908242617</v>
      </c>
    </row>
    <row r="27" spans="1:4" x14ac:dyDescent="0.3">
      <c r="A27">
        <f t="shared" si="1"/>
        <v>2015</v>
      </c>
      <c r="B27">
        <f>[1]RCT!C27</f>
        <v>3623</v>
      </c>
      <c r="C27">
        <f>[1]RCT!D27</f>
        <v>3507</v>
      </c>
      <c r="D27">
        <f t="shared" si="0"/>
        <v>96.798233508142431</v>
      </c>
    </row>
    <row r="28" spans="1:4" x14ac:dyDescent="0.3">
      <c r="A28">
        <f t="shared" si="1"/>
        <v>2016</v>
      </c>
      <c r="B28">
        <f>[1]RCT!C28</f>
        <v>3930</v>
      </c>
      <c r="C28">
        <f>[1]RCT!D28</f>
        <v>3806</v>
      </c>
      <c r="D28">
        <f t="shared" si="0"/>
        <v>96.844783715012724</v>
      </c>
    </row>
    <row r="29" spans="1:4" x14ac:dyDescent="0.3">
      <c r="A29">
        <f t="shared" si="1"/>
        <v>2017</v>
      </c>
      <c r="B29">
        <f>[1]RCT!C29</f>
        <v>4318</v>
      </c>
      <c r="C29">
        <f>[1]RCT!D29</f>
        <v>4156</v>
      </c>
      <c r="D29">
        <f t="shared" si="0"/>
        <v>96.248263084761462</v>
      </c>
    </row>
    <row r="30" spans="1:4" x14ac:dyDescent="0.3">
      <c r="A30">
        <f t="shared" si="1"/>
        <v>2018</v>
      </c>
      <c r="B30">
        <f>[1]RCT!C30</f>
        <v>4352</v>
      </c>
      <c r="C30">
        <f>[1]RCT!D30</f>
        <v>4179</v>
      </c>
      <c r="D30">
        <f t="shared" si="0"/>
        <v>96.02481617647058</v>
      </c>
    </row>
    <row r="31" spans="1:4" x14ac:dyDescent="0.3">
      <c r="A31">
        <f t="shared" si="1"/>
        <v>2019</v>
      </c>
      <c r="B31">
        <f>[1]RCT!C31</f>
        <v>4928</v>
      </c>
      <c r="C31">
        <f>[1]RCT!D31</f>
        <v>4742</v>
      </c>
      <c r="D31">
        <f t="shared" si="0"/>
        <v>96.225649350649363</v>
      </c>
    </row>
    <row r="32" spans="1:4" x14ac:dyDescent="0.3">
      <c r="A32">
        <f t="shared" si="1"/>
        <v>2020</v>
      </c>
      <c r="B32">
        <f>[1]RCT!C32</f>
        <v>5911</v>
      </c>
      <c r="C32">
        <f>[1]RCT!D32</f>
        <v>5708</v>
      </c>
      <c r="D32">
        <f t="shared" si="0"/>
        <v>96.565724919641355</v>
      </c>
    </row>
    <row r="33" spans="1:4" x14ac:dyDescent="0.3">
      <c r="A33">
        <f t="shared" si="1"/>
        <v>2021</v>
      </c>
      <c r="B33">
        <f>[1]RCT!C33</f>
        <v>6951</v>
      </c>
      <c r="C33">
        <f>[1]RCT!D33</f>
        <v>6708</v>
      </c>
      <c r="D33">
        <f t="shared" si="0"/>
        <v>96.504100129477777</v>
      </c>
    </row>
    <row r="34" spans="1:4" x14ac:dyDescent="0.3">
      <c r="A34">
        <f t="shared" si="1"/>
        <v>2022</v>
      </c>
      <c r="B34">
        <f>[1]RCT!C34</f>
        <v>8389</v>
      </c>
      <c r="C34">
        <f>[1]RCT!D34</f>
        <v>8120</v>
      </c>
      <c r="D34">
        <f t="shared" si="0"/>
        <v>96.793419954702586</v>
      </c>
    </row>
    <row r="35" spans="1:4" x14ac:dyDescent="0.3">
      <c r="A35">
        <f t="shared" si="1"/>
        <v>2023</v>
      </c>
      <c r="B35">
        <f>[1]RCT!C35</f>
        <v>6951</v>
      </c>
      <c r="C35">
        <f>[1]RCT!D35</f>
        <v>6736</v>
      </c>
      <c r="D35">
        <f t="shared" si="0"/>
        <v>96.906919867644945</v>
      </c>
    </row>
    <row r="36" spans="1:4" x14ac:dyDescent="0.3">
      <c r="A36">
        <f t="shared" si="1"/>
        <v>2024</v>
      </c>
      <c r="B36">
        <f>[1]RCT!C36</f>
        <v>7589</v>
      </c>
      <c r="C36">
        <f>[1]RCT!D36</f>
        <v>7344</v>
      </c>
      <c r="D36">
        <f t="shared" si="0"/>
        <v>96.771643167742781</v>
      </c>
    </row>
    <row r="37" spans="1:4" x14ac:dyDescent="0.3">
      <c r="A37">
        <v>2025</v>
      </c>
      <c r="B37">
        <f>[1]RCT!C37</f>
        <v>6292</v>
      </c>
      <c r="C37">
        <f>[1]RCT!D37</f>
        <v>6111</v>
      </c>
      <c r="D37">
        <f t="shared" si="0"/>
        <v>97.123331214240309</v>
      </c>
    </row>
    <row r="38" spans="1:4" x14ac:dyDescent="0.3">
      <c r="A38" t="s">
        <v>9</v>
      </c>
      <c r="B38">
        <f>[1]RCT!C38</f>
        <v>75996</v>
      </c>
      <c r="C38">
        <f>[1]RCT!D38</f>
        <v>73414</v>
      </c>
    </row>
    <row r="39" spans="1:4" x14ac:dyDescent="0.3">
      <c r="A39" t="s">
        <v>7</v>
      </c>
      <c r="B39">
        <f>[1]RCT!C39</f>
        <v>8389</v>
      </c>
      <c r="C39">
        <f>[1]RCT!D39</f>
        <v>8120</v>
      </c>
      <c r="D39" t="e">
        <f>MAX(D2:D37)</f>
        <v>#DIV/0!</v>
      </c>
    </row>
    <row r="40" spans="1:4" x14ac:dyDescent="0.3">
      <c r="A40" t="s">
        <v>8</v>
      </c>
      <c r="B40">
        <f>[1]RCT!C40</f>
        <v>0</v>
      </c>
      <c r="C40">
        <f>[1]RCT!D40</f>
        <v>0</v>
      </c>
      <c r="D40" t="e">
        <f>MIN(D2:D37)</f>
        <v>#DIV/0!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8FDB-F9C6-D64A-BF7D-42F8BBB6E5C4}">
  <dimension ref="A1:D40"/>
  <sheetViews>
    <sheetView workbookViewId="0">
      <selection activeCell="C2" sqref="C1:C2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[1]CT!C1</f>
        <v>HasPvalue</v>
      </c>
      <c r="C1" t="str">
        <f>[1]CT!D1</f>
        <v>Pvalue0.05</v>
      </c>
      <c r="D1" t="s">
        <v>1</v>
      </c>
    </row>
    <row r="2" spans="1:4" x14ac:dyDescent="0.3">
      <c r="A2">
        <v>1990</v>
      </c>
      <c r="B2">
        <f>[1]CT!C2</f>
        <v>1</v>
      </c>
      <c r="C2">
        <f>[1]CT!D2</f>
        <v>1</v>
      </c>
      <c r="D2">
        <f>C2/B2*100</f>
        <v>100</v>
      </c>
    </row>
    <row r="3" spans="1:4" x14ac:dyDescent="0.3">
      <c r="A3">
        <v>1991</v>
      </c>
      <c r="B3">
        <f>[1]CT!C3</f>
        <v>0</v>
      </c>
      <c r="C3">
        <f>[1]CT!D3</f>
        <v>0</v>
      </c>
      <c r="D3" t="e">
        <f t="shared" ref="D3:D37" si="0">C3/B3*100</f>
        <v>#DIV/0!</v>
      </c>
    </row>
    <row r="4" spans="1:4" x14ac:dyDescent="0.3">
      <c r="A4">
        <f>A2+2</f>
        <v>1992</v>
      </c>
      <c r="B4">
        <f>[1]CT!C4</f>
        <v>0</v>
      </c>
      <c r="C4">
        <f>[1]CT!D4</f>
        <v>0</v>
      </c>
      <c r="D4" t="e">
        <f t="shared" si="0"/>
        <v>#DIV/0!</v>
      </c>
    </row>
    <row r="5" spans="1:4" x14ac:dyDescent="0.3">
      <c r="A5">
        <f t="shared" ref="A5:A36" si="1">A3+2</f>
        <v>1993</v>
      </c>
      <c r="B5">
        <f>[1]CT!C5</f>
        <v>2</v>
      </c>
      <c r="C5">
        <f>[1]CT!D5</f>
        <v>2</v>
      </c>
      <c r="D5">
        <f t="shared" si="0"/>
        <v>100</v>
      </c>
    </row>
    <row r="6" spans="1:4" x14ac:dyDescent="0.3">
      <c r="A6">
        <f t="shared" si="1"/>
        <v>1994</v>
      </c>
      <c r="B6">
        <f>[1]CT!C6</f>
        <v>2</v>
      </c>
      <c r="C6">
        <f>[1]CT!D6</f>
        <v>2</v>
      </c>
      <c r="D6">
        <f t="shared" si="0"/>
        <v>100</v>
      </c>
    </row>
    <row r="7" spans="1:4" x14ac:dyDescent="0.3">
      <c r="A7">
        <f t="shared" si="1"/>
        <v>1995</v>
      </c>
      <c r="B7">
        <f>[1]CT!C7</f>
        <v>3</v>
      </c>
      <c r="C7">
        <f>[1]CT!D7</f>
        <v>2</v>
      </c>
      <c r="D7">
        <f t="shared" si="0"/>
        <v>66.666666666666657</v>
      </c>
    </row>
    <row r="8" spans="1:4" x14ac:dyDescent="0.3">
      <c r="A8">
        <f t="shared" si="1"/>
        <v>1996</v>
      </c>
      <c r="B8">
        <f>[1]CT!C8</f>
        <v>3</v>
      </c>
      <c r="C8">
        <f>[1]CT!D8</f>
        <v>3</v>
      </c>
      <c r="D8">
        <f t="shared" si="0"/>
        <v>100</v>
      </c>
    </row>
    <row r="9" spans="1:4" x14ac:dyDescent="0.3">
      <c r="A9">
        <f t="shared" si="1"/>
        <v>1997</v>
      </c>
      <c r="B9">
        <f>[1]CT!C9</f>
        <v>10</v>
      </c>
      <c r="C9">
        <f>[1]CT!D9</f>
        <v>10</v>
      </c>
      <c r="D9">
        <f t="shared" si="0"/>
        <v>100</v>
      </c>
    </row>
    <row r="10" spans="1:4" x14ac:dyDescent="0.3">
      <c r="A10">
        <f t="shared" si="1"/>
        <v>1998</v>
      </c>
      <c r="B10">
        <f>[1]CT!C10</f>
        <v>11</v>
      </c>
      <c r="C10">
        <f>[1]CT!D10</f>
        <v>11</v>
      </c>
      <c r="D10">
        <f t="shared" si="0"/>
        <v>100</v>
      </c>
    </row>
    <row r="11" spans="1:4" x14ac:dyDescent="0.3">
      <c r="A11">
        <f t="shared" si="1"/>
        <v>1999</v>
      </c>
      <c r="B11">
        <f>[1]CT!C11</f>
        <v>10</v>
      </c>
      <c r="C11">
        <f>[1]CT!D11</f>
        <v>9</v>
      </c>
      <c r="D11">
        <f t="shared" si="0"/>
        <v>90</v>
      </c>
    </row>
    <row r="12" spans="1:4" x14ac:dyDescent="0.3">
      <c r="A12">
        <f t="shared" si="1"/>
        <v>2000</v>
      </c>
      <c r="B12">
        <f>[1]CT!C12</f>
        <v>26</v>
      </c>
      <c r="C12">
        <f>[1]CT!D12</f>
        <v>26</v>
      </c>
      <c r="D12">
        <f t="shared" si="0"/>
        <v>100</v>
      </c>
    </row>
    <row r="13" spans="1:4" x14ac:dyDescent="0.3">
      <c r="A13">
        <f t="shared" si="1"/>
        <v>2001</v>
      </c>
      <c r="B13">
        <f>[1]CT!C13</f>
        <v>37</v>
      </c>
      <c r="C13">
        <f>[1]CT!D13</f>
        <v>34</v>
      </c>
      <c r="D13">
        <f t="shared" si="0"/>
        <v>91.891891891891902</v>
      </c>
    </row>
    <row r="14" spans="1:4" x14ac:dyDescent="0.3">
      <c r="A14">
        <f t="shared" si="1"/>
        <v>2002</v>
      </c>
      <c r="B14">
        <f>[1]CT!C14</f>
        <v>100</v>
      </c>
      <c r="C14">
        <f>[1]CT!D14</f>
        <v>92</v>
      </c>
      <c r="D14">
        <f t="shared" si="0"/>
        <v>92</v>
      </c>
    </row>
    <row r="15" spans="1:4" x14ac:dyDescent="0.3">
      <c r="A15">
        <f t="shared" si="1"/>
        <v>2003</v>
      </c>
      <c r="B15">
        <f>[1]CT!C15</f>
        <v>107</v>
      </c>
      <c r="C15">
        <f>[1]CT!D15</f>
        <v>103</v>
      </c>
      <c r="D15">
        <f t="shared" si="0"/>
        <v>96.261682242990659</v>
      </c>
    </row>
    <row r="16" spans="1:4" x14ac:dyDescent="0.3">
      <c r="A16">
        <f t="shared" si="1"/>
        <v>2004</v>
      </c>
      <c r="B16">
        <f>[1]CT!C16</f>
        <v>241</v>
      </c>
      <c r="C16">
        <f>[1]CT!D16</f>
        <v>224</v>
      </c>
      <c r="D16">
        <f t="shared" si="0"/>
        <v>92.946058091286304</v>
      </c>
    </row>
    <row r="17" spans="1:4" x14ac:dyDescent="0.3">
      <c r="A17">
        <f t="shared" si="1"/>
        <v>2005</v>
      </c>
      <c r="B17">
        <f>[1]CT!C17</f>
        <v>163</v>
      </c>
      <c r="C17">
        <f>[1]CT!D17</f>
        <v>156</v>
      </c>
      <c r="D17">
        <f t="shared" si="0"/>
        <v>95.705521472392647</v>
      </c>
    </row>
    <row r="18" spans="1:4" x14ac:dyDescent="0.3">
      <c r="A18">
        <f t="shared" si="1"/>
        <v>2006</v>
      </c>
      <c r="B18">
        <f>[1]CT!C18</f>
        <v>97</v>
      </c>
      <c r="C18">
        <f>[1]CT!D18</f>
        <v>94</v>
      </c>
      <c r="D18">
        <f t="shared" si="0"/>
        <v>96.907216494845358</v>
      </c>
    </row>
    <row r="19" spans="1:4" x14ac:dyDescent="0.3">
      <c r="A19">
        <f t="shared" si="1"/>
        <v>2007</v>
      </c>
      <c r="B19">
        <f>[1]CT!C19</f>
        <v>116</v>
      </c>
      <c r="C19">
        <f>[1]CT!D19</f>
        <v>113</v>
      </c>
      <c r="D19">
        <f t="shared" si="0"/>
        <v>97.41379310344827</v>
      </c>
    </row>
    <row r="20" spans="1:4" x14ac:dyDescent="0.3">
      <c r="A20">
        <f t="shared" si="1"/>
        <v>2008</v>
      </c>
      <c r="B20">
        <f>[1]CT!C20</f>
        <v>150</v>
      </c>
      <c r="C20">
        <f>[1]CT!D20</f>
        <v>144</v>
      </c>
      <c r="D20">
        <f t="shared" si="0"/>
        <v>96</v>
      </c>
    </row>
    <row r="21" spans="1:4" x14ac:dyDescent="0.3">
      <c r="A21">
        <f t="shared" si="1"/>
        <v>2009</v>
      </c>
      <c r="B21">
        <f>[1]CT!C21</f>
        <v>182</v>
      </c>
      <c r="C21">
        <f>[1]CT!D21</f>
        <v>182</v>
      </c>
      <c r="D21">
        <f t="shared" si="0"/>
        <v>100</v>
      </c>
    </row>
    <row r="22" spans="1:4" x14ac:dyDescent="0.3">
      <c r="A22">
        <f t="shared" si="1"/>
        <v>2010</v>
      </c>
      <c r="B22">
        <f>[1]CT!C22</f>
        <v>295</v>
      </c>
      <c r="C22">
        <f>[1]CT!D22</f>
        <v>287</v>
      </c>
      <c r="D22">
        <f t="shared" si="0"/>
        <v>97.288135593220332</v>
      </c>
    </row>
    <row r="23" spans="1:4" x14ac:dyDescent="0.3">
      <c r="A23">
        <f t="shared" si="1"/>
        <v>2011</v>
      </c>
      <c r="B23">
        <f>[1]CT!C23</f>
        <v>417</v>
      </c>
      <c r="C23">
        <f>[1]CT!D23</f>
        <v>407</v>
      </c>
      <c r="D23">
        <f t="shared" si="0"/>
        <v>97.601918465227826</v>
      </c>
    </row>
    <row r="24" spans="1:4" x14ac:dyDescent="0.3">
      <c r="A24">
        <f>A22+2</f>
        <v>2012</v>
      </c>
      <c r="B24">
        <f>[1]CT!C24</f>
        <v>734</v>
      </c>
      <c r="C24">
        <f>[1]CT!D24</f>
        <v>722</v>
      </c>
      <c r="D24">
        <f t="shared" si="0"/>
        <v>98.365122615803813</v>
      </c>
    </row>
    <row r="25" spans="1:4" x14ac:dyDescent="0.3">
      <c r="A25">
        <f t="shared" si="1"/>
        <v>2013</v>
      </c>
      <c r="B25">
        <f>[1]CT!C25</f>
        <v>1107</v>
      </c>
      <c r="C25">
        <f>[1]CT!D25</f>
        <v>1080</v>
      </c>
      <c r="D25">
        <f t="shared" si="0"/>
        <v>97.560975609756099</v>
      </c>
    </row>
    <row r="26" spans="1:4" x14ac:dyDescent="0.3">
      <c r="A26">
        <f t="shared" si="1"/>
        <v>2014</v>
      </c>
      <c r="B26">
        <f>[1]CT!C26</f>
        <v>1218</v>
      </c>
      <c r="C26">
        <f>[1]CT!D26</f>
        <v>1186</v>
      </c>
      <c r="D26">
        <f t="shared" si="0"/>
        <v>97.372742200328418</v>
      </c>
    </row>
    <row r="27" spans="1:4" x14ac:dyDescent="0.3">
      <c r="A27">
        <f t="shared" si="1"/>
        <v>2015</v>
      </c>
      <c r="B27">
        <f>[1]CT!C27</f>
        <v>1246</v>
      </c>
      <c r="C27">
        <f>[1]CT!D27</f>
        <v>1217</v>
      </c>
      <c r="D27">
        <f t="shared" si="0"/>
        <v>97.672552166934196</v>
      </c>
    </row>
    <row r="28" spans="1:4" x14ac:dyDescent="0.3">
      <c r="A28">
        <f t="shared" si="1"/>
        <v>2016</v>
      </c>
      <c r="B28">
        <f>[1]CT!C28</f>
        <v>1281</v>
      </c>
      <c r="C28">
        <f>[1]CT!D28</f>
        <v>1262</v>
      </c>
      <c r="D28">
        <f t="shared" si="0"/>
        <v>98.516783762685407</v>
      </c>
    </row>
    <row r="29" spans="1:4" x14ac:dyDescent="0.3">
      <c r="A29">
        <f t="shared" si="1"/>
        <v>2017</v>
      </c>
      <c r="B29">
        <f>[1]CT!C29</f>
        <v>1169</v>
      </c>
      <c r="C29">
        <f>[1]CT!D29</f>
        <v>1139</v>
      </c>
      <c r="D29">
        <f t="shared" si="0"/>
        <v>97.433704020530371</v>
      </c>
    </row>
    <row r="30" spans="1:4" x14ac:dyDescent="0.3">
      <c r="A30">
        <f t="shared" si="1"/>
        <v>2018</v>
      </c>
      <c r="B30">
        <f>[1]CT!C30</f>
        <v>1549</v>
      </c>
      <c r="C30">
        <f>[1]CT!D30</f>
        <v>1516</v>
      </c>
      <c r="D30">
        <f t="shared" si="0"/>
        <v>97.869593285990959</v>
      </c>
    </row>
    <row r="31" spans="1:4" x14ac:dyDescent="0.3">
      <c r="A31">
        <f t="shared" si="1"/>
        <v>2019</v>
      </c>
      <c r="B31">
        <f>[1]CT!C31</f>
        <v>1772</v>
      </c>
      <c r="C31">
        <f>[1]CT!D31</f>
        <v>1743</v>
      </c>
      <c r="D31">
        <f t="shared" si="0"/>
        <v>98.363431151241528</v>
      </c>
    </row>
    <row r="32" spans="1:4" x14ac:dyDescent="0.3">
      <c r="A32">
        <f t="shared" si="1"/>
        <v>2020</v>
      </c>
      <c r="B32">
        <f>[1]CT!C32</f>
        <v>1601</v>
      </c>
      <c r="C32">
        <f>[1]CT!D32</f>
        <v>1575</v>
      </c>
      <c r="D32">
        <f t="shared" si="0"/>
        <v>98.37601499063085</v>
      </c>
    </row>
    <row r="33" spans="1:4" x14ac:dyDescent="0.3">
      <c r="A33">
        <f t="shared" si="1"/>
        <v>2021</v>
      </c>
      <c r="B33">
        <f>[1]CT!C33</f>
        <v>1924</v>
      </c>
      <c r="C33">
        <f>[1]CT!D33</f>
        <v>1877</v>
      </c>
      <c r="D33">
        <f t="shared" si="0"/>
        <v>97.557172557172549</v>
      </c>
    </row>
    <row r="34" spans="1:4" x14ac:dyDescent="0.3">
      <c r="A34">
        <f t="shared" si="1"/>
        <v>2022</v>
      </c>
      <c r="B34">
        <f>[1]CT!C34</f>
        <v>1157</v>
      </c>
      <c r="C34">
        <f>[1]CT!D34</f>
        <v>1138</v>
      </c>
      <c r="D34">
        <f t="shared" si="0"/>
        <v>98.357821953327573</v>
      </c>
    </row>
    <row r="35" spans="1:4" x14ac:dyDescent="0.3">
      <c r="A35">
        <f t="shared" si="1"/>
        <v>2023</v>
      </c>
      <c r="B35">
        <f>[1]CT!C35</f>
        <v>839</v>
      </c>
      <c r="C35">
        <f>[1]CT!D35</f>
        <v>824</v>
      </c>
      <c r="D35">
        <f t="shared" si="0"/>
        <v>98.212157330154952</v>
      </c>
    </row>
    <row r="36" spans="1:4" x14ac:dyDescent="0.3">
      <c r="A36">
        <f t="shared" si="1"/>
        <v>2024</v>
      </c>
      <c r="B36">
        <f>[1]CT!C36</f>
        <v>719</v>
      </c>
      <c r="C36">
        <f>[1]CT!D36</f>
        <v>708</v>
      </c>
      <c r="D36">
        <f t="shared" si="0"/>
        <v>98.470097357440892</v>
      </c>
    </row>
    <row r="37" spans="1:4" x14ac:dyDescent="0.3">
      <c r="A37">
        <v>2025</v>
      </c>
      <c r="B37">
        <f>[1]CT!C37</f>
        <v>555</v>
      </c>
      <c r="C37">
        <f>[1]CT!D37</f>
        <v>543</v>
      </c>
      <c r="D37">
        <f t="shared" si="0"/>
        <v>97.837837837837839</v>
      </c>
    </row>
    <row r="38" spans="1:4" x14ac:dyDescent="0.3">
      <c r="A38" t="s">
        <v>9</v>
      </c>
      <c r="B38">
        <f>[1]CT!C38</f>
        <v>18844</v>
      </c>
      <c r="C38">
        <f>[1]CT!D38</f>
        <v>18432</v>
      </c>
    </row>
    <row r="39" spans="1:4" x14ac:dyDescent="0.3">
      <c r="A39" t="s">
        <v>7</v>
      </c>
      <c r="B39">
        <f>[1]CT!C39</f>
        <v>1924</v>
      </c>
      <c r="C39">
        <f>[1]CT!D39</f>
        <v>1877</v>
      </c>
      <c r="D39" t="e">
        <f>MAX(D2:D37)</f>
        <v>#DIV/0!</v>
      </c>
    </row>
    <row r="40" spans="1:4" x14ac:dyDescent="0.3">
      <c r="A40" t="s">
        <v>8</v>
      </c>
      <c r="B40">
        <f>[1]CT!C40</f>
        <v>0</v>
      </c>
      <c r="C40">
        <f>[1]CT!D40</f>
        <v>0</v>
      </c>
      <c r="D40" t="e">
        <f>MIN(D2:D37)</f>
        <v>#DIV/0!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C2CD-24FE-6D4C-A3BD-D43803597F49}">
  <dimension ref="A1:D40"/>
  <sheetViews>
    <sheetView topLeftCell="A13" workbookViewId="0">
      <selection activeCell="C1" sqref="C1:C40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[1]META!C1</f>
        <v>HasPvalue</v>
      </c>
      <c r="C1" t="str">
        <f>[1]META!D1</f>
        <v>Pvalue0.05</v>
      </c>
      <c r="D1" t="s">
        <v>1</v>
      </c>
    </row>
    <row r="2" spans="1:4" x14ac:dyDescent="0.3">
      <c r="A2">
        <v>1990</v>
      </c>
      <c r="B2">
        <f>[1]META!C2</f>
        <v>0</v>
      </c>
      <c r="C2">
        <f>[1]META!D2</f>
        <v>0</v>
      </c>
      <c r="D2" t="e">
        <f>C2/B2*100</f>
        <v>#DIV/0!</v>
      </c>
    </row>
    <row r="3" spans="1:4" x14ac:dyDescent="0.3">
      <c r="A3">
        <v>1991</v>
      </c>
      <c r="B3">
        <f>[1]META!C3</f>
        <v>0</v>
      </c>
      <c r="C3">
        <f>[1]META!D3</f>
        <v>0</v>
      </c>
      <c r="D3" t="e">
        <f t="shared" ref="D3:D37" si="0">C3/B3*100</f>
        <v>#DIV/0!</v>
      </c>
    </row>
    <row r="4" spans="1:4" x14ac:dyDescent="0.3">
      <c r="A4">
        <f>A2+2</f>
        <v>1992</v>
      </c>
      <c r="B4">
        <f>[1]META!C4</f>
        <v>0</v>
      </c>
      <c r="C4">
        <f>[1]META!D4</f>
        <v>0</v>
      </c>
      <c r="D4" t="e">
        <f t="shared" si="0"/>
        <v>#DIV/0!</v>
      </c>
    </row>
    <row r="5" spans="1:4" x14ac:dyDescent="0.3">
      <c r="A5">
        <f t="shared" ref="A5:A20" si="1">A3+2</f>
        <v>1993</v>
      </c>
      <c r="B5">
        <f>[1]META!C5</f>
        <v>0</v>
      </c>
      <c r="C5">
        <f>[1]META!D5</f>
        <v>0</v>
      </c>
      <c r="D5" t="e">
        <f t="shared" si="0"/>
        <v>#DIV/0!</v>
      </c>
    </row>
    <row r="6" spans="1:4" x14ac:dyDescent="0.3">
      <c r="A6">
        <f t="shared" si="1"/>
        <v>1994</v>
      </c>
      <c r="B6">
        <f>[1]META!C6</f>
        <v>0</v>
      </c>
      <c r="C6">
        <f>[1]META!D6</f>
        <v>0</v>
      </c>
      <c r="D6" t="e">
        <f t="shared" si="0"/>
        <v>#DIV/0!</v>
      </c>
    </row>
    <row r="7" spans="1:4" x14ac:dyDescent="0.3">
      <c r="A7">
        <f t="shared" si="1"/>
        <v>1995</v>
      </c>
      <c r="B7">
        <f>[1]META!C7</f>
        <v>0</v>
      </c>
      <c r="C7">
        <f>[1]META!D7</f>
        <v>0</v>
      </c>
      <c r="D7" t="e">
        <f t="shared" si="0"/>
        <v>#DIV/0!</v>
      </c>
    </row>
    <row r="8" spans="1:4" x14ac:dyDescent="0.3">
      <c r="A8">
        <f t="shared" si="1"/>
        <v>1996</v>
      </c>
      <c r="B8">
        <f>[1]META!C8</f>
        <v>0</v>
      </c>
      <c r="C8">
        <f>[1]META!D8</f>
        <v>0</v>
      </c>
      <c r="D8" t="e">
        <f t="shared" si="0"/>
        <v>#DIV/0!</v>
      </c>
    </row>
    <row r="9" spans="1:4" x14ac:dyDescent="0.3">
      <c r="A9">
        <f t="shared" si="1"/>
        <v>1997</v>
      </c>
      <c r="B9">
        <f>[1]META!C9</f>
        <v>0</v>
      </c>
      <c r="C9">
        <f>[1]META!D9</f>
        <v>0</v>
      </c>
      <c r="D9" t="e">
        <f t="shared" si="0"/>
        <v>#DIV/0!</v>
      </c>
    </row>
    <row r="10" spans="1:4" x14ac:dyDescent="0.3">
      <c r="A10">
        <f t="shared" si="1"/>
        <v>1998</v>
      </c>
      <c r="B10">
        <f>[1]META!C10</f>
        <v>0</v>
      </c>
      <c r="C10">
        <f>[1]META!D10</f>
        <v>0</v>
      </c>
      <c r="D10" t="e">
        <f t="shared" si="0"/>
        <v>#DIV/0!</v>
      </c>
    </row>
    <row r="11" spans="1:4" x14ac:dyDescent="0.3">
      <c r="A11">
        <f t="shared" si="1"/>
        <v>1999</v>
      </c>
      <c r="B11">
        <f>[1]META!C11</f>
        <v>1</v>
      </c>
      <c r="C11">
        <f>[1]META!D11</f>
        <v>1</v>
      </c>
      <c r="D11">
        <f t="shared" si="0"/>
        <v>100</v>
      </c>
    </row>
    <row r="12" spans="1:4" x14ac:dyDescent="0.3">
      <c r="A12">
        <f t="shared" si="1"/>
        <v>2000</v>
      </c>
      <c r="B12">
        <f>[1]META!C12</f>
        <v>0</v>
      </c>
      <c r="C12">
        <f>[1]META!D12</f>
        <v>0</v>
      </c>
      <c r="D12" t="e">
        <f t="shared" si="0"/>
        <v>#DIV/0!</v>
      </c>
    </row>
    <row r="13" spans="1:4" x14ac:dyDescent="0.3">
      <c r="A13">
        <f t="shared" si="1"/>
        <v>2001</v>
      </c>
      <c r="B13">
        <f>[1]META!C13</f>
        <v>3</v>
      </c>
      <c r="C13">
        <f>[1]META!D13</f>
        <v>3</v>
      </c>
      <c r="D13">
        <f t="shared" si="0"/>
        <v>100</v>
      </c>
    </row>
    <row r="14" spans="1:4" x14ac:dyDescent="0.3">
      <c r="A14">
        <f t="shared" si="1"/>
        <v>2002</v>
      </c>
      <c r="B14">
        <f>[1]META!C14</f>
        <v>7</v>
      </c>
      <c r="C14">
        <f>[1]META!D14</f>
        <v>7</v>
      </c>
      <c r="D14">
        <f t="shared" si="0"/>
        <v>100</v>
      </c>
    </row>
    <row r="15" spans="1:4" x14ac:dyDescent="0.3">
      <c r="A15">
        <f t="shared" si="1"/>
        <v>2003</v>
      </c>
      <c r="B15">
        <f>[1]META!C15</f>
        <v>11</v>
      </c>
      <c r="C15">
        <f>[1]META!D15</f>
        <v>11</v>
      </c>
      <c r="D15">
        <f t="shared" si="0"/>
        <v>100</v>
      </c>
    </row>
    <row r="16" spans="1:4" x14ac:dyDescent="0.3">
      <c r="A16">
        <f t="shared" si="1"/>
        <v>2004</v>
      </c>
      <c r="B16">
        <f>[1]META!C16</f>
        <v>24</v>
      </c>
      <c r="C16">
        <f>[1]META!D16</f>
        <v>22</v>
      </c>
      <c r="D16">
        <f t="shared" si="0"/>
        <v>91.666666666666657</v>
      </c>
    </row>
    <row r="17" spans="1:4" x14ac:dyDescent="0.3">
      <c r="A17">
        <f t="shared" si="1"/>
        <v>2005</v>
      </c>
      <c r="B17">
        <f>[1]META!C17</f>
        <v>37</v>
      </c>
      <c r="C17">
        <f>[1]META!D17</f>
        <v>33</v>
      </c>
      <c r="D17">
        <f t="shared" si="0"/>
        <v>89.189189189189193</v>
      </c>
    </row>
    <row r="18" spans="1:4" x14ac:dyDescent="0.3">
      <c r="A18">
        <f t="shared" si="1"/>
        <v>2006</v>
      </c>
      <c r="B18">
        <f>[1]META!C18</f>
        <v>44</v>
      </c>
      <c r="C18">
        <f>[1]META!D18</f>
        <v>39</v>
      </c>
      <c r="D18">
        <f t="shared" si="0"/>
        <v>88.63636363636364</v>
      </c>
    </row>
    <row r="19" spans="1:4" x14ac:dyDescent="0.3">
      <c r="A19">
        <f t="shared" si="1"/>
        <v>2007</v>
      </c>
      <c r="B19">
        <f>[1]META!C19</f>
        <v>55</v>
      </c>
      <c r="C19">
        <f>[1]META!D19</f>
        <v>54</v>
      </c>
      <c r="D19">
        <f t="shared" si="0"/>
        <v>98.181818181818187</v>
      </c>
    </row>
    <row r="20" spans="1:4" x14ac:dyDescent="0.3">
      <c r="A20">
        <f t="shared" si="1"/>
        <v>2008</v>
      </c>
      <c r="B20">
        <f>[1]META!C20</f>
        <v>116</v>
      </c>
      <c r="C20">
        <f>[1]META!D20</f>
        <v>111</v>
      </c>
      <c r="D20">
        <f t="shared" si="0"/>
        <v>95.689655172413794</v>
      </c>
    </row>
    <row r="21" spans="1:4" x14ac:dyDescent="0.3">
      <c r="A21">
        <f t="shared" ref="A21:A36" si="2">A19+2</f>
        <v>2009</v>
      </c>
      <c r="B21">
        <f>[1]META!C21</f>
        <v>176</v>
      </c>
      <c r="C21">
        <f>[1]META!D21</f>
        <v>161</v>
      </c>
      <c r="D21">
        <f t="shared" si="0"/>
        <v>91.477272727272734</v>
      </c>
    </row>
    <row r="22" spans="1:4" x14ac:dyDescent="0.3">
      <c r="A22">
        <f t="shared" si="2"/>
        <v>2010</v>
      </c>
      <c r="B22">
        <f>[1]META!C22</f>
        <v>259</v>
      </c>
      <c r="C22">
        <f>[1]META!D22</f>
        <v>233</v>
      </c>
      <c r="D22">
        <f t="shared" si="0"/>
        <v>89.961389961389955</v>
      </c>
    </row>
    <row r="23" spans="1:4" x14ac:dyDescent="0.3">
      <c r="A23">
        <f t="shared" si="2"/>
        <v>2011</v>
      </c>
      <c r="B23">
        <f>[1]META!C23</f>
        <v>432</v>
      </c>
      <c r="C23">
        <f>[1]META!D23</f>
        <v>403</v>
      </c>
      <c r="D23">
        <f t="shared" si="0"/>
        <v>93.287037037037038</v>
      </c>
    </row>
    <row r="24" spans="1:4" x14ac:dyDescent="0.3">
      <c r="A24">
        <f>A22+2</f>
        <v>2012</v>
      </c>
      <c r="B24">
        <f>[1]META!C24</f>
        <v>709</v>
      </c>
      <c r="C24">
        <f>[1]META!D24</f>
        <v>675</v>
      </c>
      <c r="D24">
        <f t="shared" si="0"/>
        <v>95.20451339915374</v>
      </c>
    </row>
    <row r="25" spans="1:4" x14ac:dyDescent="0.3">
      <c r="A25">
        <f t="shared" si="2"/>
        <v>2013</v>
      </c>
      <c r="B25">
        <f>[1]META!C25</f>
        <v>1217</v>
      </c>
      <c r="C25">
        <f>[1]META!D25</f>
        <v>1150</v>
      </c>
      <c r="D25">
        <f t="shared" si="0"/>
        <v>94.494658997534913</v>
      </c>
    </row>
    <row r="26" spans="1:4" x14ac:dyDescent="0.3">
      <c r="A26">
        <f t="shared" si="2"/>
        <v>2014</v>
      </c>
      <c r="B26">
        <f>[1]META!C26</f>
        <v>1636</v>
      </c>
      <c r="C26">
        <f>[1]META!D26</f>
        <v>1556</v>
      </c>
      <c r="D26">
        <f t="shared" si="0"/>
        <v>95.110024449877756</v>
      </c>
    </row>
    <row r="27" spans="1:4" x14ac:dyDescent="0.3">
      <c r="A27">
        <f t="shared" si="2"/>
        <v>2015</v>
      </c>
      <c r="B27">
        <f>[1]META!C27</f>
        <v>2086</v>
      </c>
      <c r="C27">
        <f>[1]META!D27</f>
        <v>1993</v>
      </c>
      <c r="D27">
        <f t="shared" si="0"/>
        <v>95.541706615532121</v>
      </c>
    </row>
    <row r="28" spans="1:4" x14ac:dyDescent="0.3">
      <c r="A28">
        <f t="shared" si="2"/>
        <v>2016</v>
      </c>
      <c r="B28">
        <f>[1]META!C28</f>
        <v>2531</v>
      </c>
      <c r="C28">
        <f>[1]META!D28</f>
        <v>2393</v>
      </c>
      <c r="D28">
        <f t="shared" si="0"/>
        <v>94.547609640458319</v>
      </c>
    </row>
    <row r="29" spans="1:4" x14ac:dyDescent="0.3">
      <c r="A29">
        <f t="shared" si="2"/>
        <v>2017</v>
      </c>
      <c r="B29">
        <f>[1]META!C29</f>
        <v>2666</v>
      </c>
      <c r="C29">
        <f>[1]META!D29</f>
        <v>2535</v>
      </c>
      <c r="D29">
        <f t="shared" si="0"/>
        <v>95.086271567891984</v>
      </c>
    </row>
    <row r="30" spans="1:4" x14ac:dyDescent="0.3">
      <c r="A30">
        <f t="shared" si="2"/>
        <v>2018</v>
      </c>
      <c r="B30">
        <f>[1]META!C30</f>
        <v>2616</v>
      </c>
      <c r="C30">
        <f>[1]META!D30</f>
        <v>2482</v>
      </c>
      <c r="D30">
        <f t="shared" si="0"/>
        <v>94.877675840978597</v>
      </c>
    </row>
    <row r="31" spans="1:4" x14ac:dyDescent="0.3">
      <c r="A31">
        <f t="shared" si="2"/>
        <v>2019</v>
      </c>
      <c r="B31">
        <f>[1]META!C31</f>
        <v>3274</v>
      </c>
      <c r="C31">
        <f>[1]META!D31</f>
        <v>3104</v>
      </c>
      <c r="D31">
        <f t="shared" si="0"/>
        <v>94.807574832009777</v>
      </c>
    </row>
    <row r="32" spans="1:4" x14ac:dyDescent="0.3">
      <c r="A32">
        <f t="shared" si="2"/>
        <v>2020</v>
      </c>
      <c r="B32">
        <f>[1]META!C32</f>
        <v>4149</v>
      </c>
      <c r="C32">
        <f>[1]META!D32</f>
        <v>3941</v>
      </c>
      <c r="D32">
        <f t="shared" si="0"/>
        <v>94.986743793685221</v>
      </c>
    </row>
    <row r="33" spans="1:4" x14ac:dyDescent="0.3">
      <c r="A33">
        <f t="shared" si="2"/>
        <v>2021</v>
      </c>
      <c r="B33">
        <f>[1]META!C33</f>
        <v>4915</v>
      </c>
      <c r="C33">
        <f>[1]META!D33</f>
        <v>4677</v>
      </c>
      <c r="D33">
        <f t="shared" si="0"/>
        <v>95.157680569684644</v>
      </c>
    </row>
    <row r="34" spans="1:4" x14ac:dyDescent="0.3">
      <c r="A34">
        <f t="shared" si="2"/>
        <v>2022</v>
      </c>
      <c r="B34">
        <f>[1]META!C34</f>
        <v>5927</v>
      </c>
      <c r="C34">
        <f>[1]META!D34</f>
        <v>5631</v>
      </c>
      <c r="D34">
        <f t="shared" si="0"/>
        <v>95.005905179686181</v>
      </c>
    </row>
    <row r="35" spans="1:4" x14ac:dyDescent="0.3">
      <c r="A35">
        <f t="shared" si="2"/>
        <v>2023</v>
      </c>
      <c r="B35">
        <f>[1]META!C35</f>
        <v>5840</v>
      </c>
      <c r="C35">
        <f>[1]META!D35</f>
        <v>5598</v>
      </c>
      <c r="D35">
        <f t="shared" si="0"/>
        <v>95.856164383561648</v>
      </c>
    </row>
    <row r="36" spans="1:4" x14ac:dyDescent="0.3">
      <c r="A36">
        <f t="shared" si="2"/>
        <v>2024</v>
      </c>
      <c r="B36">
        <f>[1]META!C36</f>
        <v>6113</v>
      </c>
      <c r="C36">
        <f>[1]META!D36</f>
        <v>5863</v>
      </c>
      <c r="D36">
        <f t="shared" si="0"/>
        <v>95.910354981187623</v>
      </c>
    </row>
    <row r="37" spans="1:4" x14ac:dyDescent="0.3">
      <c r="A37">
        <v>2025</v>
      </c>
      <c r="B37">
        <f>[1]META!C37</f>
        <v>4638</v>
      </c>
      <c r="C37">
        <f>[1]META!D37</f>
        <v>4430</v>
      </c>
      <c r="D37">
        <f t="shared" si="0"/>
        <v>95.515308322552826</v>
      </c>
    </row>
    <row r="38" spans="1:4" x14ac:dyDescent="0.3">
      <c r="A38" t="s">
        <v>9</v>
      </c>
      <c r="B38">
        <f>[1]META!C38</f>
        <v>49482</v>
      </c>
      <c r="C38">
        <f>[1]META!D38</f>
        <v>47106</v>
      </c>
    </row>
    <row r="39" spans="1:4" x14ac:dyDescent="0.3">
      <c r="A39" t="s">
        <v>7</v>
      </c>
      <c r="B39">
        <f>[1]META!C39</f>
        <v>6113</v>
      </c>
      <c r="C39">
        <f>[1]META!D39</f>
        <v>5863</v>
      </c>
      <c r="D39" t="e">
        <f>MAX(D2:D37)</f>
        <v>#DIV/0!</v>
      </c>
    </row>
    <row r="40" spans="1:4" x14ac:dyDescent="0.3">
      <c r="A40" t="s">
        <v>8</v>
      </c>
      <c r="B40">
        <f>[1]META!C40</f>
        <v>0</v>
      </c>
      <c r="C40">
        <f>[1]META!D40</f>
        <v>0</v>
      </c>
      <c r="D40" t="e">
        <f>MIN(D2:D37)</f>
        <v>#DIV/0!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FCB9-9D3A-054F-B8B7-A2E00083DE64}">
  <dimension ref="A1:D40"/>
  <sheetViews>
    <sheetView workbookViewId="0">
      <selection activeCell="C1" sqref="C1:C40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[1]REVIEW!C1</f>
        <v>HasPvalue</v>
      </c>
      <c r="C1" t="str">
        <f>[1]REVIEW!D1</f>
        <v>Pvalue0.05</v>
      </c>
      <c r="D1" t="s">
        <v>1</v>
      </c>
    </row>
    <row r="2" spans="1:4" x14ac:dyDescent="0.3">
      <c r="A2">
        <v>1990</v>
      </c>
      <c r="B2">
        <f>[1]REVIEW!C2</f>
        <v>0</v>
      </c>
      <c r="C2">
        <f>[1]REVIEW!D2</f>
        <v>0</v>
      </c>
      <c r="D2" t="e">
        <f>C2/B2*100</f>
        <v>#DIV/0!</v>
      </c>
    </row>
    <row r="3" spans="1:4" x14ac:dyDescent="0.3">
      <c r="A3">
        <v>1991</v>
      </c>
      <c r="B3">
        <f>[1]REVIEW!C3</f>
        <v>0</v>
      </c>
      <c r="C3">
        <f>[1]REVIEW!D3</f>
        <v>0</v>
      </c>
      <c r="D3" t="e">
        <f t="shared" ref="D3:D37" si="0">C3/B3*100</f>
        <v>#DIV/0!</v>
      </c>
    </row>
    <row r="4" spans="1:4" x14ac:dyDescent="0.3">
      <c r="A4">
        <f>A2+2</f>
        <v>1992</v>
      </c>
      <c r="B4">
        <f>[1]REVIEW!C4</f>
        <v>0</v>
      </c>
      <c r="C4">
        <f>[1]REVIEW!D4</f>
        <v>0</v>
      </c>
      <c r="D4" t="e">
        <f t="shared" si="0"/>
        <v>#DIV/0!</v>
      </c>
    </row>
    <row r="5" spans="1:4" x14ac:dyDescent="0.3">
      <c r="A5">
        <f t="shared" ref="A5:A20" si="1">A3+2</f>
        <v>1993</v>
      </c>
      <c r="B5">
        <f>[1]REVIEW!C5</f>
        <v>0</v>
      </c>
      <c r="C5">
        <f>[1]REVIEW!D5</f>
        <v>0</v>
      </c>
      <c r="D5" t="e">
        <f t="shared" si="0"/>
        <v>#DIV/0!</v>
      </c>
    </row>
    <row r="6" spans="1:4" x14ac:dyDescent="0.3">
      <c r="A6">
        <f t="shared" si="1"/>
        <v>1994</v>
      </c>
      <c r="B6">
        <f>[1]REVIEW!C6</f>
        <v>4</v>
      </c>
      <c r="C6">
        <f>[1]REVIEW!D6</f>
        <v>3</v>
      </c>
      <c r="D6">
        <f t="shared" si="0"/>
        <v>75</v>
      </c>
    </row>
    <row r="7" spans="1:4" x14ac:dyDescent="0.3">
      <c r="A7">
        <f t="shared" si="1"/>
        <v>1995</v>
      </c>
      <c r="B7">
        <f>[1]REVIEW!C7</f>
        <v>2</v>
      </c>
      <c r="C7">
        <f>[1]REVIEW!D7</f>
        <v>2</v>
      </c>
      <c r="D7">
        <f t="shared" si="0"/>
        <v>100</v>
      </c>
    </row>
    <row r="8" spans="1:4" x14ac:dyDescent="0.3">
      <c r="A8">
        <f t="shared" si="1"/>
        <v>1996</v>
      </c>
      <c r="B8">
        <f>[1]REVIEW!C8</f>
        <v>1</v>
      </c>
      <c r="C8">
        <f>[1]REVIEW!D8</f>
        <v>1</v>
      </c>
      <c r="D8">
        <f t="shared" si="0"/>
        <v>100</v>
      </c>
    </row>
    <row r="9" spans="1:4" x14ac:dyDescent="0.3">
      <c r="A9">
        <f t="shared" si="1"/>
        <v>1997</v>
      </c>
      <c r="B9">
        <f>[1]REVIEW!C9</f>
        <v>1</v>
      </c>
      <c r="C9">
        <f>[1]REVIEW!D9</f>
        <v>1</v>
      </c>
      <c r="D9">
        <f t="shared" si="0"/>
        <v>100</v>
      </c>
    </row>
    <row r="10" spans="1:4" x14ac:dyDescent="0.3">
      <c r="A10">
        <f t="shared" si="1"/>
        <v>1998</v>
      </c>
      <c r="B10">
        <f>[1]REVIEW!C10</f>
        <v>9</v>
      </c>
      <c r="C10">
        <f>[1]REVIEW!D10</f>
        <v>8</v>
      </c>
      <c r="D10">
        <f t="shared" si="0"/>
        <v>88.888888888888886</v>
      </c>
    </row>
    <row r="11" spans="1:4" x14ac:dyDescent="0.3">
      <c r="A11">
        <f t="shared" si="1"/>
        <v>1999</v>
      </c>
      <c r="B11">
        <f>[1]REVIEW!C11</f>
        <v>6</v>
      </c>
      <c r="C11">
        <f>[1]REVIEW!D11</f>
        <v>6</v>
      </c>
      <c r="D11">
        <f t="shared" si="0"/>
        <v>100</v>
      </c>
    </row>
    <row r="12" spans="1:4" x14ac:dyDescent="0.3">
      <c r="A12">
        <f t="shared" si="1"/>
        <v>2000</v>
      </c>
      <c r="B12">
        <f>[1]REVIEW!C12</f>
        <v>26</v>
      </c>
      <c r="C12">
        <f>[1]REVIEW!D12</f>
        <v>26</v>
      </c>
      <c r="D12">
        <f t="shared" si="0"/>
        <v>100</v>
      </c>
    </row>
    <row r="13" spans="1:4" x14ac:dyDescent="0.3">
      <c r="A13">
        <f t="shared" si="1"/>
        <v>2001</v>
      </c>
      <c r="B13">
        <f>[1]REVIEW!C13</f>
        <v>24</v>
      </c>
      <c r="C13">
        <f>[1]REVIEW!D13</f>
        <v>23</v>
      </c>
      <c r="D13">
        <f t="shared" si="0"/>
        <v>95.833333333333343</v>
      </c>
    </row>
    <row r="14" spans="1:4" x14ac:dyDescent="0.3">
      <c r="A14">
        <f t="shared" si="1"/>
        <v>2002</v>
      </c>
      <c r="B14">
        <f>[1]REVIEW!C14</f>
        <v>57</v>
      </c>
      <c r="C14">
        <f>[1]REVIEW!D14</f>
        <v>56</v>
      </c>
      <c r="D14">
        <f t="shared" si="0"/>
        <v>98.245614035087712</v>
      </c>
    </row>
    <row r="15" spans="1:4" x14ac:dyDescent="0.3">
      <c r="A15">
        <f t="shared" si="1"/>
        <v>2003</v>
      </c>
      <c r="B15">
        <f>[1]REVIEW!C15</f>
        <v>64</v>
      </c>
      <c r="C15">
        <f>[1]REVIEW!D15</f>
        <v>62</v>
      </c>
      <c r="D15">
        <f t="shared" si="0"/>
        <v>96.875</v>
      </c>
    </row>
    <row r="16" spans="1:4" x14ac:dyDescent="0.3">
      <c r="A16">
        <f t="shared" si="1"/>
        <v>2004</v>
      </c>
      <c r="B16">
        <f>[1]REVIEW!C16</f>
        <v>131</v>
      </c>
      <c r="C16">
        <f>[1]REVIEW!D16</f>
        <v>127</v>
      </c>
      <c r="D16">
        <f t="shared" si="0"/>
        <v>96.946564885496173</v>
      </c>
    </row>
    <row r="17" spans="1:4" x14ac:dyDescent="0.3">
      <c r="A17">
        <f t="shared" si="1"/>
        <v>2005</v>
      </c>
      <c r="B17">
        <f>[1]REVIEW!C17</f>
        <v>134</v>
      </c>
      <c r="C17">
        <f>[1]REVIEW!D17</f>
        <v>127</v>
      </c>
      <c r="D17">
        <f t="shared" si="0"/>
        <v>94.776119402985074</v>
      </c>
    </row>
    <row r="18" spans="1:4" x14ac:dyDescent="0.3">
      <c r="A18">
        <f t="shared" si="1"/>
        <v>2006</v>
      </c>
      <c r="B18">
        <f>[1]REVIEW!C18</f>
        <v>232</v>
      </c>
      <c r="C18">
        <f>[1]REVIEW!D18</f>
        <v>223</v>
      </c>
      <c r="D18">
        <f t="shared" si="0"/>
        <v>96.120689655172413</v>
      </c>
    </row>
    <row r="19" spans="1:4" x14ac:dyDescent="0.3">
      <c r="A19">
        <f t="shared" si="1"/>
        <v>2007</v>
      </c>
      <c r="B19">
        <f>[1]REVIEW!C19</f>
        <v>282</v>
      </c>
      <c r="C19">
        <f>[1]REVIEW!D19</f>
        <v>269</v>
      </c>
      <c r="D19">
        <f t="shared" si="0"/>
        <v>95.39007092198581</v>
      </c>
    </row>
    <row r="20" spans="1:4" x14ac:dyDescent="0.3">
      <c r="A20">
        <f t="shared" si="1"/>
        <v>2008</v>
      </c>
      <c r="B20">
        <f>[1]REVIEW!C20</f>
        <v>400</v>
      </c>
      <c r="C20">
        <f>[1]REVIEW!D20</f>
        <v>380</v>
      </c>
      <c r="D20">
        <f t="shared" si="0"/>
        <v>95</v>
      </c>
    </row>
    <row r="21" spans="1:4" x14ac:dyDescent="0.3">
      <c r="A21">
        <f t="shared" ref="A21:A36" si="2">A19+2</f>
        <v>2009</v>
      </c>
      <c r="B21">
        <f>[1]REVIEW!C21</f>
        <v>519</v>
      </c>
      <c r="C21">
        <f>[1]REVIEW!D21</f>
        <v>492</v>
      </c>
      <c r="D21">
        <f t="shared" si="0"/>
        <v>94.797687861271669</v>
      </c>
    </row>
    <row r="22" spans="1:4" x14ac:dyDescent="0.3">
      <c r="A22">
        <f t="shared" si="2"/>
        <v>2010</v>
      </c>
      <c r="B22">
        <f>[1]REVIEW!C22</f>
        <v>792</v>
      </c>
      <c r="C22">
        <f>[1]REVIEW!D22</f>
        <v>750</v>
      </c>
      <c r="D22">
        <f t="shared" si="0"/>
        <v>94.696969696969703</v>
      </c>
    </row>
    <row r="23" spans="1:4" x14ac:dyDescent="0.3">
      <c r="A23">
        <f t="shared" si="2"/>
        <v>2011</v>
      </c>
      <c r="B23">
        <f>[1]REVIEW!C23</f>
        <v>795</v>
      </c>
      <c r="C23">
        <f>[1]REVIEW!D23</f>
        <v>757</v>
      </c>
      <c r="D23">
        <f t="shared" si="0"/>
        <v>95.220125786163521</v>
      </c>
    </row>
    <row r="24" spans="1:4" x14ac:dyDescent="0.3">
      <c r="A24">
        <f>A22+2</f>
        <v>2012</v>
      </c>
      <c r="B24">
        <f>[1]REVIEW!C24</f>
        <v>1076</v>
      </c>
      <c r="C24">
        <f>[1]REVIEW!D24</f>
        <v>1030</v>
      </c>
      <c r="D24">
        <f t="shared" si="0"/>
        <v>95.724907063197023</v>
      </c>
    </row>
    <row r="25" spans="1:4" x14ac:dyDescent="0.3">
      <c r="A25">
        <f t="shared" si="2"/>
        <v>2013</v>
      </c>
      <c r="B25">
        <f>[1]REVIEW!C25</f>
        <v>1892</v>
      </c>
      <c r="C25">
        <f>[1]REVIEW!D25</f>
        <v>1815</v>
      </c>
      <c r="D25">
        <f t="shared" si="0"/>
        <v>95.930232558139537</v>
      </c>
    </row>
    <row r="26" spans="1:4" x14ac:dyDescent="0.3">
      <c r="A26">
        <f t="shared" si="2"/>
        <v>2014</v>
      </c>
      <c r="B26">
        <f>[1]REVIEW!C26</f>
        <v>3165</v>
      </c>
      <c r="C26">
        <f>[1]REVIEW!D26</f>
        <v>3036</v>
      </c>
      <c r="D26">
        <f t="shared" si="0"/>
        <v>95.924170616113742</v>
      </c>
    </row>
    <row r="27" spans="1:4" x14ac:dyDescent="0.3">
      <c r="A27">
        <f t="shared" si="2"/>
        <v>2015</v>
      </c>
      <c r="B27">
        <f>[1]REVIEW!C27</f>
        <v>3695</v>
      </c>
      <c r="C27">
        <f>[1]REVIEW!D27</f>
        <v>3498</v>
      </c>
      <c r="D27">
        <f t="shared" si="0"/>
        <v>94.668470906630589</v>
      </c>
    </row>
    <row r="28" spans="1:4" x14ac:dyDescent="0.3">
      <c r="A28">
        <f t="shared" si="2"/>
        <v>2016</v>
      </c>
      <c r="B28">
        <f>[1]REVIEW!C28</f>
        <v>4388</v>
      </c>
      <c r="C28">
        <f>[1]REVIEW!D28</f>
        <v>4202</v>
      </c>
      <c r="D28">
        <f t="shared" si="0"/>
        <v>95.761166818596166</v>
      </c>
    </row>
    <row r="29" spans="1:4" x14ac:dyDescent="0.3">
      <c r="A29">
        <f t="shared" si="2"/>
        <v>2017</v>
      </c>
      <c r="B29">
        <f>[1]REVIEW!C29</f>
        <v>4838</v>
      </c>
      <c r="C29">
        <f>[1]REVIEW!D29</f>
        <v>4621</v>
      </c>
      <c r="D29">
        <f t="shared" si="0"/>
        <v>95.514675485737911</v>
      </c>
    </row>
    <row r="30" spans="1:4" x14ac:dyDescent="0.3">
      <c r="A30">
        <f t="shared" si="2"/>
        <v>2018</v>
      </c>
      <c r="B30">
        <f>[1]REVIEW!C30</f>
        <v>5416</v>
      </c>
      <c r="C30">
        <f>[1]REVIEW!D30</f>
        <v>5149</v>
      </c>
      <c r="D30">
        <f t="shared" si="0"/>
        <v>95.070162481536187</v>
      </c>
    </row>
    <row r="31" spans="1:4" x14ac:dyDescent="0.3">
      <c r="A31">
        <f t="shared" si="2"/>
        <v>2019</v>
      </c>
      <c r="B31">
        <f>[1]REVIEW!C31</f>
        <v>6110</v>
      </c>
      <c r="C31">
        <f>[1]REVIEW!D31</f>
        <v>5735</v>
      </c>
      <c r="D31">
        <f t="shared" si="0"/>
        <v>93.862520458265138</v>
      </c>
    </row>
    <row r="32" spans="1:4" x14ac:dyDescent="0.3">
      <c r="A32">
        <f t="shared" si="2"/>
        <v>2020</v>
      </c>
      <c r="B32">
        <f>[1]REVIEW!C32</f>
        <v>9301</v>
      </c>
      <c r="C32">
        <f>[1]REVIEW!D32</f>
        <v>8803</v>
      </c>
      <c r="D32">
        <f t="shared" si="0"/>
        <v>94.645737017524993</v>
      </c>
    </row>
    <row r="33" spans="1:4" x14ac:dyDescent="0.3">
      <c r="A33">
        <f t="shared" si="2"/>
        <v>2021</v>
      </c>
      <c r="B33">
        <f>[1]REVIEW!C33</f>
        <v>13814</v>
      </c>
      <c r="C33">
        <f>[1]REVIEW!D33</f>
        <v>13160</v>
      </c>
      <c r="D33">
        <f t="shared" si="0"/>
        <v>95.26567250615318</v>
      </c>
    </row>
    <row r="34" spans="1:4" x14ac:dyDescent="0.3">
      <c r="A34">
        <f t="shared" si="2"/>
        <v>2022</v>
      </c>
      <c r="B34">
        <f>[1]REVIEW!C34</f>
        <v>15819</v>
      </c>
      <c r="C34">
        <f>[1]REVIEW!D34</f>
        <v>15097</v>
      </c>
      <c r="D34">
        <f t="shared" si="0"/>
        <v>95.435868259687723</v>
      </c>
    </row>
    <row r="35" spans="1:4" x14ac:dyDescent="0.3">
      <c r="A35">
        <f t="shared" si="2"/>
        <v>2023</v>
      </c>
      <c r="B35">
        <f>[1]REVIEW!C35</f>
        <v>15346</v>
      </c>
      <c r="C35">
        <f>[1]REVIEW!D35</f>
        <v>14629</v>
      </c>
      <c r="D35">
        <f t="shared" si="0"/>
        <v>95.327772709500849</v>
      </c>
    </row>
    <row r="36" spans="1:4" x14ac:dyDescent="0.3">
      <c r="A36">
        <f t="shared" si="2"/>
        <v>2024</v>
      </c>
      <c r="B36">
        <f>[1]REVIEW!C36</f>
        <v>13870</v>
      </c>
      <c r="C36">
        <f>[1]REVIEW!D36</f>
        <v>13264</v>
      </c>
      <c r="D36">
        <f t="shared" si="0"/>
        <v>95.630857966834895</v>
      </c>
    </row>
    <row r="37" spans="1:4" x14ac:dyDescent="0.3">
      <c r="A37">
        <v>2025</v>
      </c>
      <c r="B37">
        <f>[1]REVIEW!C37</f>
        <v>9260</v>
      </c>
      <c r="C37">
        <f>[1]REVIEW!D37</f>
        <v>8853</v>
      </c>
      <c r="D37">
        <f t="shared" si="0"/>
        <v>95.604751619870413</v>
      </c>
    </row>
    <row r="38" spans="1:4" x14ac:dyDescent="0.3">
      <c r="A38" t="s">
        <v>9</v>
      </c>
      <c r="B38">
        <f>[1]REVIEW!C38</f>
        <v>111469</v>
      </c>
      <c r="C38">
        <f>[1]REVIEW!D38</f>
        <v>106205</v>
      </c>
    </row>
    <row r="39" spans="1:4" x14ac:dyDescent="0.3">
      <c r="A39" t="s">
        <v>7</v>
      </c>
      <c r="B39">
        <f>[1]REVIEW!C39</f>
        <v>15819</v>
      </c>
      <c r="C39">
        <f>[1]REVIEW!D39</f>
        <v>15097</v>
      </c>
      <c r="D39" t="e">
        <f>MAX(D2:D37)</f>
        <v>#DIV/0!</v>
      </c>
    </row>
    <row r="40" spans="1:4" x14ac:dyDescent="0.3">
      <c r="A40" t="s">
        <v>8</v>
      </c>
      <c r="B40">
        <f>[1]REVIEW!C40</f>
        <v>0</v>
      </c>
      <c r="C40">
        <f>[1]REVIEW!D40</f>
        <v>0</v>
      </c>
      <c r="D40" t="e">
        <f>MIN(D2:D37)</f>
        <v>#DIV/0!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9A8B-9C37-C34D-B28C-D53C7FBFD304}">
  <dimension ref="A1:D40"/>
  <sheetViews>
    <sheetView workbookViewId="0">
      <selection activeCell="E27" sqref="E27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[1]CCJ!C1</f>
        <v>HasPvalue</v>
      </c>
      <c r="C1" t="str">
        <f>[1]CCJ!D1</f>
        <v>Pvalue0.05</v>
      </c>
      <c r="D1" t="s">
        <v>1</v>
      </c>
    </row>
    <row r="2" spans="1:4" x14ac:dyDescent="0.3">
      <c r="A2">
        <v>1990</v>
      </c>
      <c r="B2">
        <f>[1]CCJ!C2</f>
        <v>0</v>
      </c>
      <c r="C2">
        <f>[1]CCJ!D2</f>
        <v>0</v>
      </c>
      <c r="D2" t="e">
        <f>C2/B2*100</f>
        <v>#DIV/0!</v>
      </c>
    </row>
    <row r="3" spans="1:4" x14ac:dyDescent="0.3">
      <c r="A3">
        <v>1991</v>
      </c>
      <c r="B3">
        <f>[1]CCJ!C3</f>
        <v>0</v>
      </c>
      <c r="C3">
        <f>[1]CCJ!D3</f>
        <v>0</v>
      </c>
      <c r="D3" t="e">
        <f t="shared" ref="D3:D37" si="0">C3/B3*100</f>
        <v>#DIV/0!</v>
      </c>
    </row>
    <row r="4" spans="1:4" x14ac:dyDescent="0.3">
      <c r="A4">
        <f>A2+2</f>
        <v>1992</v>
      </c>
      <c r="B4">
        <f>[1]CCJ!C4</f>
        <v>0</v>
      </c>
      <c r="C4">
        <f>[1]CCJ!D4</f>
        <v>0</v>
      </c>
      <c r="D4" t="e">
        <f t="shared" si="0"/>
        <v>#DIV/0!</v>
      </c>
    </row>
    <row r="5" spans="1:4" x14ac:dyDescent="0.3">
      <c r="A5">
        <f t="shared" ref="A5:A20" si="1">A3+2</f>
        <v>1993</v>
      </c>
      <c r="B5">
        <f>[1]CCJ!C5</f>
        <v>0</v>
      </c>
      <c r="C5">
        <f>[1]CCJ!D5</f>
        <v>0</v>
      </c>
      <c r="D5" t="e">
        <f t="shared" si="0"/>
        <v>#DIV/0!</v>
      </c>
    </row>
    <row r="6" spans="1:4" x14ac:dyDescent="0.3">
      <c r="A6">
        <f t="shared" si="1"/>
        <v>1994</v>
      </c>
      <c r="B6">
        <f>[1]CCJ!C6</f>
        <v>0</v>
      </c>
      <c r="C6">
        <f>[1]CCJ!D6</f>
        <v>0</v>
      </c>
      <c r="D6" t="e">
        <f t="shared" si="0"/>
        <v>#DIV/0!</v>
      </c>
    </row>
    <row r="7" spans="1:4" x14ac:dyDescent="0.3">
      <c r="A7">
        <f t="shared" si="1"/>
        <v>1995</v>
      </c>
      <c r="B7">
        <f>[1]CCJ!C7</f>
        <v>2</v>
      </c>
      <c r="C7">
        <f>[1]CCJ!D7</f>
        <v>2</v>
      </c>
      <c r="D7">
        <f t="shared" si="0"/>
        <v>100</v>
      </c>
    </row>
    <row r="8" spans="1:4" x14ac:dyDescent="0.3">
      <c r="A8">
        <f t="shared" si="1"/>
        <v>1996</v>
      </c>
      <c r="B8">
        <f>[1]CCJ!C8</f>
        <v>1</v>
      </c>
      <c r="C8">
        <f>[1]CCJ!D8</f>
        <v>1</v>
      </c>
      <c r="D8">
        <f t="shared" si="0"/>
        <v>100</v>
      </c>
    </row>
    <row r="9" spans="1:4" x14ac:dyDescent="0.3">
      <c r="A9">
        <f t="shared" si="1"/>
        <v>1997</v>
      </c>
      <c r="B9">
        <f>[1]CCJ!C9</f>
        <v>1</v>
      </c>
      <c r="C9">
        <f>[1]CCJ!D9</f>
        <v>1</v>
      </c>
      <c r="D9">
        <f t="shared" si="0"/>
        <v>100</v>
      </c>
    </row>
    <row r="10" spans="1:4" x14ac:dyDescent="0.3">
      <c r="A10">
        <f t="shared" si="1"/>
        <v>1998</v>
      </c>
      <c r="B10">
        <f>[1]CCJ!C10</f>
        <v>5</v>
      </c>
      <c r="C10">
        <f>[1]CCJ!D10</f>
        <v>4</v>
      </c>
      <c r="D10">
        <f t="shared" si="0"/>
        <v>80</v>
      </c>
    </row>
    <row r="11" spans="1:4" x14ac:dyDescent="0.3">
      <c r="A11">
        <f t="shared" si="1"/>
        <v>1999</v>
      </c>
      <c r="B11">
        <f>[1]CCJ!C11</f>
        <v>1</v>
      </c>
      <c r="C11">
        <f>[1]CCJ!D11</f>
        <v>1</v>
      </c>
      <c r="D11">
        <f t="shared" si="0"/>
        <v>100</v>
      </c>
    </row>
    <row r="12" spans="1:4" x14ac:dyDescent="0.3">
      <c r="A12">
        <f t="shared" si="1"/>
        <v>2000</v>
      </c>
      <c r="B12">
        <f>[1]CCJ!C12</f>
        <v>2</v>
      </c>
      <c r="C12">
        <f>[1]CCJ!D12</f>
        <v>2</v>
      </c>
      <c r="D12">
        <f t="shared" si="0"/>
        <v>100</v>
      </c>
    </row>
    <row r="13" spans="1:4" x14ac:dyDescent="0.3">
      <c r="A13">
        <f t="shared" si="1"/>
        <v>2001</v>
      </c>
      <c r="B13">
        <f>[1]CCJ!C13</f>
        <v>1</v>
      </c>
      <c r="C13">
        <f>[1]CCJ!D13</f>
        <v>1</v>
      </c>
      <c r="D13">
        <f t="shared" si="0"/>
        <v>100</v>
      </c>
    </row>
    <row r="14" spans="1:4" x14ac:dyDescent="0.3">
      <c r="A14">
        <f t="shared" si="1"/>
        <v>2002</v>
      </c>
      <c r="B14">
        <f>[1]CCJ!C14</f>
        <v>5</v>
      </c>
      <c r="C14">
        <f>[1]CCJ!D14</f>
        <v>5</v>
      </c>
      <c r="D14">
        <f t="shared" si="0"/>
        <v>100</v>
      </c>
    </row>
    <row r="15" spans="1:4" x14ac:dyDescent="0.3">
      <c r="A15">
        <f t="shared" si="1"/>
        <v>2003</v>
      </c>
      <c r="B15">
        <f>[1]CCJ!C15</f>
        <v>12</v>
      </c>
      <c r="C15">
        <f>[1]CCJ!D15</f>
        <v>12</v>
      </c>
      <c r="D15">
        <f t="shared" si="0"/>
        <v>100</v>
      </c>
    </row>
    <row r="16" spans="1:4" x14ac:dyDescent="0.3">
      <c r="A16">
        <f t="shared" si="1"/>
        <v>2004</v>
      </c>
      <c r="B16">
        <f>[1]CCJ!C16</f>
        <v>25</v>
      </c>
      <c r="C16">
        <f>[1]CCJ!D16</f>
        <v>24</v>
      </c>
      <c r="D16">
        <f t="shared" si="0"/>
        <v>96</v>
      </c>
    </row>
    <row r="17" spans="1:4" x14ac:dyDescent="0.3">
      <c r="A17">
        <f t="shared" si="1"/>
        <v>2005</v>
      </c>
      <c r="B17">
        <f>[1]CCJ!C17</f>
        <v>17</v>
      </c>
      <c r="C17">
        <f>[1]CCJ!D17</f>
        <v>17</v>
      </c>
      <c r="D17">
        <f t="shared" si="0"/>
        <v>100</v>
      </c>
    </row>
    <row r="18" spans="1:4" x14ac:dyDescent="0.3">
      <c r="A18">
        <f t="shared" si="1"/>
        <v>2006</v>
      </c>
      <c r="B18">
        <f>[1]CCJ!C18</f>
        <v>17</v>
      </c>
      <c r="C18">
        <f>[1]CCJ!D18</f>
        <v>17</v>
      </c>
      <c r="D18">
        <f t="shared" si="0"/>
        <v>100</v>
      </c>
    </row>
    <row r="19" spans="1:4" x14ac:dyDescent="0.3">
      <c r="A19">
        <f t="shared" si="1"/>
        <v>2007</v>
      </c>
      <c r="B19">
        <f>[1]CCJ!C19</f>
        <v>33</v>
      </c>
      <c r="C19">
        <f>[1]CCJ!D19</f>
        <v>32</v>
      </c>
      <c r="D19">
        <f t="shared" si="0"/>
        <v>96.969696969696969</v>
      </c>
    </row>
    <row r="20" spans="1:4" x14ac:dyDescent="0.3">
      <c r="A20">
        <f t="shared" si="1"/>
        <v>2008</v>
      </c>
      <c r="B20">
        <f>[1]CCJ!C20</f>
        <v>362</v>
      </c>
      <c r="C20">
        <f>[1]CCJ!D20</f>
        <v>353</v>
      </c>
      <c r="D20">
        <f t="shared" si="0"/>
        <v>97.51381215469614</v>
      </c>
    </row>
    <row r="21" spans="1:4" x14ac:dyDescent="0.3">
      <c r="A21">
        <f t="shared" ref="A21:A36" si="2">A19+2</f>
        <v>2009</v>
      </c>
      <c r="B21">
        <f>[1]CCJ!C21</f>
        <v>637</v>
      </c>
      <c r="C21">
        <f>[1]CCJ!D21</f>
        <v>617</v>
      </c>
      <c r="D21">
        <f t="shared" si="0"/>
        <v>96.860282574568288</v>
      </c>
    </row>
    <row r="22" spans="1:4" x14ac:dyDescent="0.3">
      <c r="A22">
        <f t="shared" si="2"/>
        <v>2010</v>
      </c>
      <c r="B22">
        <f>[1]CCJ!C22</f>
        <v>727</v>
      </c>
      <c r="C22">
        <f>[1]CCJ!D22</f>
        <v>702</v>
      </c>
      <c r="D22">
        <f t="shared" si="0"/>
        <v>96.561210453920225</v>
      </c>
    </row>
    <row r="23" spans="1:4" x14ac:dyDescent="0.3">
      <c r="A23">
        <f t="shared" si="2"/>
        <v>2011</v>
      </c>
      <c r="B23">
        <f>[1]CCJ!C23</f>
        <v>757</v>
      </c>
      <c r="C23">
        <f>[1]CCJ!D23</f>
        <v>739</v>
      </c>
      <c r="D23">
        <f t="shared" si="0"/>
        <v>97.622192866578601</v>
      </c>
    </row>
    <row r="24" spans="1:4" x14ac:dyDescent="0.3">
      <c r="A24">
        <f>A22+2</f>
        <v>2012</v>
      </c>
      <c r="B24">
        <f>[1]CCJ!C24</f>
        <v>783</v>
      </c>
      <c r="C24">
        <f>[1]CCJ!D24</f>
        <v>751</v>
      </c>
      <c r="D24">
        <f t="shared" si="0"/>
        <v>95.913154533844192</v>
      </c>
    </row>
    <row r="25" spans="1:4" x14ac:dyDescent="0.3">
      <c r="A25">
        <f t="shared" si="2"/>
        <v>2013</v>
      </c>
      <c r="B25">
        <f>[1]CCJ!C25</f>
        <v>862</v>
      </c>
      <c r="C25">
        <f>[1]CCJ!D25</f>
        <v>838</v>
      </c>
      <c r="D25">
        <f t="shared" si="0"/>
        <v>97.215777262180964</v>
      </c>
    </row>
    <row r="26" spans="1:4" x14ac:dyDescent="0.3">
      <c r="A26">
        <f t="shared" si="2"/>
        <v>2014</v>
      </c>
      <c r="B26">
        <f>[1]CCJ!C26</f>
        <v>1081</v>
      </c>
      <c r="C26">
        <f>[1]CCJ!D26</f>
        <v>1042</v>
      </c>
      <c r="D26">
        <f t="shared" si="0"/>
        <v>96.392229417206295</v>
      </c>
    </row>
    <row r="27" spans="1:4" x14ac:dyDescent="0.3">
      <c r="A27">
        <f t="shared" si="2"/>
        <v>2015</v>
      </c>
      <c r="B27">
        <f>[1]CCJ!C27</f>
        <v>2481</v>
      </c>
      <c r="C27">
        <f>[1]CCJ!D27</f>
        <v>2431</v>
      </c>
      <c r="D27">
        <f t="shared" si="0"/>
        <v>97.984683595324469</v>
      </c>
    </row>
    <row r="28" spans="1:4" x14ac:dyDescent="0.3">
      <c r="A28">
        <f t="shared" si="2"/>
        <v>2016</v>
      </c>
      <c r="B28">
        <f>[1]CCJ!C28</f>
        <v>3506</v>
      </c>
      <c r="C28">
        <f>[1]CCJ!D28</f>
        <v>3437</v>
      </c>
      <c r="D28">
        <f t="shared" si="0"/>
        <v>98.031945236737016</v>
      </c>
    </row>
    <row r="29" spans="1:4" x14ac:dyDescent="0.3">
      <c r="A29">
        <f t="shared" si="2"/>
        <v>2017</v>
      </c>
      <c r="B29">
        <f>[1]CCJ!C29</f>
        <v>3290</v>
      </c>
      <c r="C29">
        <f>[1]CCJ!D29</f>
        <v>3203</v>
      </c>
      <c r="D29">
        <f t="shared" si="0"/>
        <v>97.355623100303958</v>
      </c>
    </row>
    <row r="30" spans="1:4" x14ac:dyDescent="0.3">
      <c r="A30">
        <f t="shared" si="2"/>
        <v>2018</v>
      </c>
      <c r="B30">
        <f>[1]CCJ!C30</f>
        <v>3636</v>
      </c>
      <c r="C30">
        <f>[1]CCJ!D30</f>
        <v>3512</v>
      </c>
      <c r="D30">
        <f t="shared" si="0"/>
        <v>96.589658965896589</v>
      </c>
    </row>
    <row r="31" spans="1:4" x14ac:dyDescent="0.3">
      <c r="A31">
        <f t="shared" si="2"/>
        <v>2019</v>
      </c>
      <c r="B31">
        <f>[1]CCJ!C31</f>
        <v>4014</v>
      </c>
      <c r="C31">
        <f>[1]CCJ!D31</f>
        <v>3845</v>
      </c>
      <c r="D31">
        <f t="shared" si="0"/>
        <v>95.789735924265074</v>
      </c>
    </row>
    <row r="32" spans="1:4" x14ac:dyDescent="0.3">
      <c r="A32">
        <f t="shared" si="2"/>
        <v>2020</v>
      </c>
      <c r="B32">
        <f>[1]CCJ!C32</f>
        <v>5547</v>
      </c>
      <c r="C32">
        <f>[1]CCJ!D32</f>
        <v>5148</v>
      </c>
      <c r="D32">
        <f t="shared" si="0"/>
        <v>92.806922660897783</v>
      </c>
    </row>
    <row r="33" spans="1:4" x14ac:dyDescent="0.3">
      <c r="A33">
        <f t="shared" si="2"/>
        <v>2021</v>
      </c>
      <c r="B33">
        <f>[1]CCJ!C33</f>
        <v>6355</v>
      </c>
      <c r="C33">
        <f>[1]CCJ!D33</f>
        <v>5948</v>
      </c>
      <c r="D33">
        <f t="shared" si="0"/>
        <v>93.595594020456332</v>
      </c>
    </row>
    <row r="34" spans="1:4" x14ac:dyDescent="0.3">
      <c r="A34">
        <f t="shared" si="2"/>
        <v>2022</v>
      </c>
      <c r="B34">
        <f>[1]CCJ!C34</f>
        <v>5964</v>
      </c>
      <c r="C34">
        <f>[1]CCJ!D34</f>
        <v>5706</v>
      </c>
      <c r="D34">
        <f t="shared" si="0"/>
        <v>95.674044265593565</v>
      </c>
    </row>
    <row r="35" spans="1:4" x14ac:dyDescent="0.3">
      <c r="A35">
        <f t="shared" si="2"/>
        <v>2023</v>
      </c>
      <c r="B35">
        <f>[1]CCJ!C35</f>
        <v>5138</v>
      </c>
      <c r="C35">
        <f>[1]CCJ!D35</f>
        <v>5007</v>
      </c>
      <c r="D35">
        <f t="shared" si="0"/>
        <v>97.450369793694051</v>
      </c>
    </row>
    <row r="36" spans="1:4" x14ac:dyDescent="0.3">
      <c r="A36">
        <f t="shared" si="2"/>
        <v>2024</v>
      </c>
      <c r="B36">
        <f>[1]CCJ!C36</f>
        <v>5049</v>
      </c>
      <c r="C36">
        <f>[1]CCJ!D36</f>
        <v>4964</v>
      </c>
      <c r="D36">
        <f t="shared" si="0"/>
        <v>98.316498316498311</v>
      </c>
    </row>
    <row r="37" spans="1:4" x14ac:dyDescent="0.3">
      <c r="A37">
        <v>2025</v>
      </c>
      <c r="B37">
        <f>[1]CCJ!C37</f>
        <v>3733</v>
      </c>
      <c r="C37">
        <f>[1]CCJ!D37</f>
        <v>3646</v>
      </c>
      <c r="D37">
        <f t="shared" si="0"/>
        <v>97.669434770961701</v>
      </c>
    </row>
    <row r="38" spans="1:4" x14ac:dyDescent="0.3">
      <c r="A38" t="s">
        <v>9</v>
      </c>
      <c r="B38">
        <f>[1]CCJ!C38</f>
        <v>54044</v>
      </c>
      <c r="C38">
        <f>[1]CCJ!D38</f>
        <v>52008</v>
      </c>
    </row>
    <row r="39" spans="1:4" x14ac:dyDescent="0.3">
      <c r="A39" t="s">
        <v>7</v>
      </c>
      <c r="B39">
        <f>[1]CCJ!C39</f>
        <v>6355</v>
      </c>
      <c r="C39">
        <f>[1]CCJ!D39</f>
        <v>5948</v>
      </c>
      <c r="D39" t="e">
        <f>MAX(D2:D37)</f>
        <v>#DIV/0!</v>
      </c>
    </row>
    <row r="40" spans="1:4" x14ac:dyDescent="0.3">
      <c r="A40" t="s">
        <v>8</v>
      </c>
      <c r="B40">
        <f>[1]CCJ!C40</f>
        <v>0</v>
      </c>
      <c r="C40">
        <f>[1]CCJ!D40</f>
        <v>0</v>
      </c>
      <c r="D40" t="e">
        <f>MIN(D2:D37)</f>
        <v>#DIV/0!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D5F0-A2D0-E14C-AA47-A11E45B6A63C}">
  <dimension ref="A1:D40"/>
  <sheetViews>
    <sheetView topLeftCell="A13" workbookViewId="0">
      <selection activeCell="C1" sqref="C1:C40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[1]ALL!C1</f>
        <v>HasPvalue</v>
      </c>
      <c r="C1" t="str">
        <f>[1]ALL!D1</f>
        <v>Pvalue0.05</v>
      </c>
      <c r="D1" t="s">
        <v>1</v>
      </c>
    </row>
    <row r="2" spans="1:4" x14ac:dyDescent="0.3">
      <c r="A2">
        <v>1990</v>
      </c>
      <c r="B2">
        <f>[1]ALL!C2</f>
        <v>15</v>
      </c>
      <c r="C2">
        <f>[1]ALL!D2</f>
        <v>14</v>
      </c>
      <c r="D2">
        <f>C2/B2*100</f>
        <v>93.333333333333329</v>
      </c>
    </row>
    <row r="3" spans="1:4" x14ac:dyDescent="0.3">
      <c r="A3">
        <v>1991</v>
      </c>
      <c r="B3">
        <f>[1]ALL!C3</f>
        <v>14</v>
      </c>
      <c r="C3">
        <f>[1]ALL!D3</f>
        <v>13</v>
      </c>
      <c r="D3">
        <f t="shared" ref="D3:D37" si="0">C3/B3*100</f>
        <v>92.857142857142861</v>
      </c>
    </row>
    <row r="4" spans="1:4" x14ac:dyDescent="0.3">
      <c r="A4">
        <f>A2+2</f>
        <v>1992</v>
      </c>
      <c r="B4">
        <f>[1]ALL!C4</f>
        <v>15</v>
      </c>
      <c r="C4">
        <f>[1]ALL!D4</f>
        <v>13</v>
      </c>
      <c r="D4">
        <f t="shared" si="0"/>
        <v>86.666666666666671</v>
      </c>
    </row>
    <row r="5" spans="1:4" x14ac:dyDescent="0.3">
      <c r="A5">
        <f t="shared" ref="A5:A20" si="1">A3+2</f>
        <v>1993</v>
      </c>
      <c r="B5">
        <f>[1]ALL!C5</f>
        <v>20</v>
      </c>
      <c r="C5">
        <f>[1]ALL!D5</f>
        <v>18</v>
      </c>
      <c r="D5">
        <f t="shared" si="0"/>
        <v>90</v>
      </c>
    </row>
    <row r="6" spans="1:4" x14ac:dyDescent="0.3">
      <c r="A6">
        <f t="shared" si="1"/>
        <v>1994</v>
      </c>
      <c r="B6">
        <f>[1]ALL!C6</f>
        <v>43</v>
      </c>
      <c r="C6">
        <f>[1]ALL!D6</f>
        <v>39</v>
      </c>
      <c r="D6">
        <f t="shared" si="0"/>
        <v>90.697674418604649</v>
      </c>
    </row>
    <row r="7" spans="1:4" x14ac:dyDescent="0.3">
      <c r="A7">
        <f t="shared" si="1"/>
        <v>1995</v>
      </c>
      <c r="B7">
        <f>[1]ALL!C7</f>
        <v>39</v>
      </c>
      <c r="C7">
        <f>[1]ALL!D7</f>
        <v>33</v>
      </c>
      <c r="D7">
        <f t="shared" si="0"/>
        <v>84.615384615384613</v>
      </c>
    </row>
    <row r="8" spans="1:4" x14ac:dyDescent="0.3">
      <c r="A8">
        <f t="shared" si="1"/>
        <v>1996</v>
      </c>
      <c r="B8">
        <f>[1]ALL!C8</f>
        <v>47</v>
      </c>
      <c r="C8">
        <f>[1]ALL!D8</f>
        <v>44</v>
      </c>
      <c r="D8">
        <f t="shared" si="0"/>
        <v>93.61702127659575</v>
      </c>
    </row>
    <row r="9" spans="1:4" x14ac:dyDescent="0.3">
      <c r="A9">
        <f t="shared" si="1"/>
        <v>1997</v>
      </c>
      <c r="B9">
        <f>[1]ALL!C9</f>
        <v>304</v>
      </c>
      <c r="C9">
        <f>[1]ALL!D9</f>
        <v>290</v>
      </c>
      <c r="D9">
        <f t="shared" si="0"/>
        <v>95.39473684210526</v>
      </c>
    </row>
    <row r="10" spans="1:4" x14ac:dyDescent="0.3">
      <c r="A10">
        <f t="shared" si="1"/>
        <v>1998</v>
      </c>
      <c r="B10">
        <f>[1]ALL!C10</f>
        <v>387</v>
      </c>
      <c r="C10">
        <f>[1]ALL!D10</f>
        <v>370</v>
      </c>
      <c r="D10">
        <f t="shared" si="0"/>
        <v>95.607235142118867</v>
      </c>
    </row>
    <row r="11" spans="1:4" x14ac:dyDescent="0.3">
      <c r="A11">
        <f t="shared" si="1"/>
        <v>1999</v>
      </c>
      <c r="B11">
        <f>[1]ALL!C11</f>
        <v>427</v>
      </c>
      <c r="C11">
        <f>[1]ALL!D11</f>
        <v>402</v>
      </c>
      <c r="D11">
        <f t="shared" si="0"/>
        <v>94.145199063231857</v>
      </c>
    </row>
    <row r="12" spans="1:4" x14ac:dyDescent="0.3">
      <c r="A12">
        <f t="shared" si="1"/>
        <v>2000</v>
      </c>
      <c r="B12">
        <f>[1]ALL!C12</f>
        <v>561</v>
      </c>
      <c r="C12">
        <f>[1]ALL!D12</f>
        <v>536</v>
      </c>
      <c r="D12">
        <f t="shared" si="0"/>
        <v>95.543672014260252</v>
      </c>
    </row>
    <row r="13" spans="1:4" x14ac:dyDescent="0.3">
      <c r="A13">
        <f t="shared" si="1"/>
        <v>2001</v>
      </c>
      <c r="B13">
        <f>[1]ALL!C13</f>
        <v>1014</v>
      </c>
      <c r="C13">
        <f>[1]ALL!D13</f>
        <v>974</v>
      </c>
      <c r="D13">
        <f t="shared" si="0"/>
        <v>96.055226824457591</v>
      </c>
    </row>
    <row r="14" spans="1:4" x14ac:dyDescent="0.3">
      <c r="A14">
        <f t="shared" si="1"/>
        <v>2002</v>
      </c>
      <c r="B14">
        <f>[1]ALL!C14</f>
        <v>1706</v>
      </c>
      <c r="C14">
        <f>[1]ALL!D14</f>
        <v>1642</v>
      </c>
      <c r="D14">
        <f t="shared" si="0"/>
        <v>96.248534583821808</v>
      </c>
    </row>
    <row r="15" spans="1:4" x14ac:dyDescent="0.3">
      <c r="A15">
        <f t="shared" si="1"/>
        <v>2003</v>
      </c>
      <c r="B15">
        <f>[1]ALL!C15</f>
        <v>2372</v>
      </c>
      <c r="C15">
        <f>[1]ALL!D15</f>
        <v>2268</v>
      </c>
      <c r="D15">
        <f t="shared" si="0"/>
        <v>95.615514333895447</v>
      </c>
    </row>
    <row r="16" spans="1:4" x14ac:dyDescent="0.3">
      <c r="A16">
        <f t="shared" si="1"/>
        <v>2004</v>
      </c>
      <c r="B16">
        <f>[1]ALL!C16</f>
        <v>3553</v>
      </c>
      <c r="C16">
        <f>[1]ALL!D16</f>
        <v>3390</v>
      </c>
      <c r="D16">
        <f t="shared" si="0"/>
        <v>95.41232761047003</v>
      </c>
    </row>
    <row r="17" spans="1:4" x14ac:dyDescent="0.3">
      <c r="A17">
        <f t="shared" si="1"/>
        <v>2005</v>
      </c>
      <c r="B17">
        <f>[1]ALL!C17</f>
        <v>5593</v>
      </c>
      <c r="C17">
        <f>[1]ALL!D17</f>
        <v>5390</v>
      </c>
      <c r="D17">
        <f t="shared" si="0"/>
        <v>96.370463078848559</v>
      </c>
    </row>
    <row r="18" spans="1:4" x14ac:dyDescent="0.3">
      <c r="A18">
        <f t="shared" si="1"/>
        <v>2006</v>
      </c>
      <c r="B18">
        <f>[1]ALL!C18</f>
        <v>7563</v>
      </c>
      <c r="C18">
        <f>[1]ALL!D18</f>
        <v>7243</v>
      </c>
      <c r="D18">
        <f t="shared" si="0"/>
        <v>95.768874785138166</v>
      </c>
    </row>
    <row r="19" spans="1:4" x14ac:dyDescent="0.3">
      <c r="A19">
        <f t="shared" si="1"/>
        <v>2007</v>
      </c>
      <c r="B19">
        <f>[1]ALL!C19</f>
        <v>11240</v>
      </c>
      <c r="C19">
        <f>[1]ALL!D19</f>
        <v>10813</v>
      </c>
      <c r="D19">
        <f t="shared" si="0"/>
        <v>96.20106761565836</v>
      </c>
    </row>
    <row r="20" spans="1:4" x14ac:dyDescent="0.3">
      <c r="A20">
        <f t="shared" si="1"/>
        <v>2008</v>
      </c>
      <c r="B20">
        <f>[1]ALL!C20</f>
        <v>17228</v>
      </c>
      <c r="C20">
        <f>[1]ALL!D20</f>
        <v>16598</v>
      </c>
      <c r="D20">
        <f t="shared" si="0"/>
        <v>96.343162293940097</v>
      </c>
    </row>
    <row r="21" spans="1:4" x14ac:dyDescent="0.3">
      <c r="A21">
        <f t="shared" ref="A21:A36" si="2">A19+2</f>
        <v>2009</v>
      </c>
      <c r="B21">
        <f>[1]ALL!C21</f>
        <v>23871</v>
      </c>
      <c r="C21">
        <f>[1]ALL!D21</f>
        <v>23043</v>
      </c>
      <c r="D21">
        <f t="shared" si="0"/>
        <v>96.531356038708054</v>
      </c>
    </row>
    <row r="22" spans="1:4" x14ac:dyDescent="0.3">
      <c r="A22">
        <f t="shared" si="2"/>
        <v>2010</v>
      </c>
      <c r="B22">
        <f>[1]ALL!C22</f>
        <v>34552</v>
      </c>
      <c r="C22">
        <f>[1]ALL!D22</f>
        <v>33408</v>
      </c>
      <c r="D22">
        <f t="shared" si="0"/>
        <v>96.689048390831218</v>
      </c>
    </row>
    <row r="23" spans="1:4" x14ac:dyDescent="0.3">
      <c r="A23">
        <f t="shared" si="2"/>
        <v>2011</v>
      </c>
      <c r="B23">
        <f>[1]ALL!C23</f>
        <v>48830</v>
      </c>
      <c r="C23">
        <f>[1]ALL!D23</f>
        <v>47346</v>
      </c>
      <c r="D23">
        <f t="shared" si="0"/>
        <v>96.960884702027442</v>
      </c>
    </row>
    <row r="24" spans="1:4" x14ac:dyDescent="0.3">
      <c r="A24">
        <f>A22+2</f>
        <v>2012</v>
      </c>
      <c r="B24">
        <f>[1]ALL!C24</f>
        <v>69299</v>
      </c>
      <c r="C24">
        <f>[1]ALL!D24</f>
        <v>67407</v>
      </c>
      <c r="D24">
        <f t="shared" si="0"/>
        <v>97.269801873042908</v>
      </c>
    </row>
    <row r="25" spans="1:4" x14ac:dyDescent="0.3">
      <c r="A25">
        <f t="shared" si="2"/>
        <v>2013</v>
      </c>
      <c r="B25">
        <f>[1]ALL!C25</f>
        <v>91360</v>
      </c>
      <c r="C25">
        <f>[1]ALL!D25</f>
        <v>88822</v>
      </c>
      <c r="D25">
        <f t="shared" si="0"/>
        <v>97.221978984238177</v>
      </c>
    </row>
    <row r="26" spans="1:4" x14ac:dyDescent="0.3">
      <c r="A26">
        <f t="shared" si="2"/>
        <v>2014</v>
      </c>
      <c r="B26">
        <f>[1]ALL!C26</f>
        <v>110081</v>
      </c>
      <c r="C26">
        <f>[1]ALL!D26</f>
        <v>107001</v>
      </c>
      <c r="D26">
        <f t="shared" si="0"/>
        <v>97.202060301051034</v>
      </c>
    </row>
    <row r="27" spans="1:4" x14ac:dyDescent="0.3">
      <c r="A27">
        <f t="shared" si="2"/>
        <v>2015</v>
      </c>
      <c r="B27">
        <f>[1]ALL!C27</f>
        <v>127052</v>
      </c>
      <c r="C27">
        <f>[1]ALL!D27</f>
        <v>123590</v>
      </c>
      <c r="D27">
        <f t="shared" si="0"/>
        <v>97.275131442244117</v>
      </c>
    </row>
    <row r="28" spans="1:4" x14ac:dyDescent="0.3">
      <c r="A28">
        <f t="shared" si="2"/>
        <v>2016</v>
      </c>
      <c r="B28">
        <f>[1]ALL!C28</f>
        <v>142439</v>
      </c>
      <c r="C28">
        <f>[1]ALL!D28</f>
        <v>138658</v>
      </c>
      <c r="D28">
        <f t="shared" si="0"/>
        <v>97.345530367385336</v>
      </c>
    </row>
    <row r="29" spans="1:4" x14ac:dyDescent="0.3">
      <c r="A29">
        <f t="shared" si="2"/>
        <v>2017</v>
      </c>
      <c r="B29">
        <f>[1]ALL!C29</f>
        <v>163228</v>
      </c>
      <c r="C29">
        <f>[1]ALL!D29</f>
        <v>158729</v>
      </c>
      <c r="D29">
        <f t="shared" si="0"/>
        <v>97.243732692920332</v>
      </c>
    </row>
    <row r="30" spans="1:4" x14ac:dyDescent="0.3">
      <c r="A30">
        <f t="shared" si="2"/>
        <v>2018</v>
      </c>
      <c r="B30">
        <f>[1]ALL!C30</f>
        <v>177155</v>
      </c>
      <c r="C30">
        <f>[1]ALL!D30</f>
        <v>172246</v>
      </c>
      <c r="D30">
        <f t="shared" si="0"/>
        <v>97.228980271513649</v>
      </c>
    </row>
    <row r="31" spans="1:4" x14ac:dyDescent="0.3">
      <c r="A31">
        <f t="shared" si="2"/>
        <v>2019</v>
      </c>
      <c r="B31">
        <f>[1]ALL!C31</f>
        <v>205952</v>
      </c>
      <c r="C31">
        <f>[1]ALL!D31</f>
        <v>200229</v>
      </c>
      <c r="D31">
        <f t="shared" si="0"/>
        <v>97.221197172156621</v>
      </c>
    </row>
    <row r="32" spans="1:4" x14ac:dyDescent="0.3">
      <c r="A32">
        <f t="shared" si="2"/>
        <v>2020</v>
      </c>
      <c r="B32">
        <f>[1]ALL!C32</f>
        <v>270349</v>
      </c>
      <c r="C32">
        <f>[1]ALL!D32</f>
        <v>262690</v>
      </c>
      <c r="D32">
        <f t="shared" si="0"/>
        <v>97.166995254282426</v>
      </c>
    </row>
    <row r="33" spans="1:4" x14ac:dyDescent="0.3">
      <c r="A33">
        <f t="shared" si="2"/>
        <v>2021</v>
      </c>
      <c r="B33">
        <f>[1]ALL!C33</f>
        <v>348005</v>
      </c>
      <c r="C33">
        <f>[1]ALL!D33</f>
        <v>338591</v>
      </c>
      <c r="D33">
        <f t="shared" si="0"/>
        <v>97.294866453068209</v>
      </c>
    </row>
    <row r="34" spans="1:4" x14ac:dyDescent="0.3">
      <c r="A34">
        <f t="shared" si="2"/>
        <v>2022</v>
      </c>
      <c r="B34">
        <f>[1]ALL!C34</f>
        <v>399811</v>
      </c>
      <c r="C34">
        <f>[1]ALL!D34</f>
        <v>389251</v>
      </c>
      <c r="D34">
        <f t="shared" si="0"/>
        <v>97.358752010324878</v>
      </c>
    </row>
    <row r="35" spans="1:4" x14ac:dyDescent="0.3">
      <c r="A35">
        <f t="shared" si="2"/>
        <v>2023</v>
      </c>
      <c r="B35">
        <f>[1]ALL!C35</f>
        <v>355648</v>
      </c>
      <c r="C35">
        <f>[1]ALL!D35</f>
        <v>346363</v>
      </c>
      <c r="D35">
        <f t="shared" si="0"/>
        <v>97.389272539139824</v>
      </c>
    </row>
    <row r="36" spans="1:4" x14ac:dyDescent="0.3">
      <c r="A36">
        <f t="shared" si="2"/>
        <v>2024</v>
      </c>
      <c r="B36">
        <f>[1]ALL!C36</f>
        <v>361621</v>
      </c>
      <c r="C36">
        <f>[1]ALL!D36</f>
        <v>352590</v>
      </c>
      <c r="D36">
        <f t="shared" si="0"/>
        <v>97.50263397313762</v>
      </c>
    </row>
    <row r="37" spans="1:4" x14ac:dyDescent="0.3">
      <c r="A37">
        <v>2025</v>
      </c>
      <c r="B37">
        <f>[1]ALL!C37</f>
        <v>291045</v>
      </c>
      <c r="C37">
        <f>[1]ALL!D37</f>
        <v>284059</v>
      </c>
      <c r="D37">
        <f t="shared" si="0"/>
        <v>97.599683897679057</v>
      </c>
    </row>
    <row r="38" spans="1:4" x14ac:dyDescent="0.3">
      <c r="A38" t="s">
        <v>9</v>
      </c>
      <c r="B38">
        <f>[1]ALL!C38</f>
        <v>3272439</v>
      </c>
      <c r="C38">
        <f>[1]ALL!D38</f>
        <v>3184113</v>
      </c>
    </row>
    <row r="39" spans="1:4" x14ac:dyDescent="0.3">
      <c r="A39" t="s">
        <v>7</v>
      </c>
      <c r="B39">
        <f>[1]ALL!C39</f>
        <v>399811</v>
      </c>
      <c r="C39">
        <f>[1]ALL!D39</f>
        <v>389251</v>
      </c>
      <c r="D39">
        <f>MAX(D2:D37)</f>
        <v>97.599683897679057</v>
      </c>
    </row>
    <row r="40" spans="1:4" x14ac:dyDescent="0.3">
      <c r="A40" t="s">
        <v>8</v>
      </c>
      <c r="B40">
        <f>[1]ALL!C40</f>
        <v>14</v>
      </c>
      <c r="C40">
        <f>[1]ALL!D40</f>
        <v>13</v>
      </c>
      <c r="D40">
        <f>MIN(D2:D37)</f>
        <v>84.615384615384613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FBD1B-ACB1-4044-B4CE-82E1D526CE3A}">
  <dimension ref="A1:D40"/>
  <sheetViews>
    <sheetView workbookViewId="0">
      <selection activeCell="B22" sqref="B22"/>
    </sheetView>
  </sheetViews>
  <sheetFormatPr defaultRowHeight="17.25" x14ac:dyDescent="0.3"/>
  <sheetData>
    <row r="1" spans="1:4" x14ac:dyDescent="0.3">
      <c r="A1" t="s">
        <v>0</v>
      </c>
      <c r="B1" t="str">
        <f>[1]OBS!C1</f>
        <v>HasPvalue</v>
      </c>
      <c r="C1" t="str">
        <f>[1]OBS!D1</f>
        <v>Pvalue0.05</v>
      </c>
      <c r="D1" t="s">
        <v>1</v>
      </c>
    </row>
    <row r="2" spans="1:4" x14ac:dyDescent="0.3">
      <c r="A2">
        <v>1990</v>
      </c>
      <c r="B2">
        <f>[1]OBS!C2</f>
        <v>0</v>
      </c>
      <c r="C2">
        <f>[1]OBS!D2</f>
        <v>0</v>
      </c>
      <c r="D2" t="e">
        <f>C2/B2*100</f>
        <v>#DIV/0!</v>
      </c>
    </row>
    <row r="3" spans="1:4" x14ac:dyDescent="0.3">
      <c r="A3">
        <f>A2+1</f>
        <v>1991</v>
      </c>
      <c r="B3">
        <f>[1]OBS!C3</f>
        <v>0</v>
      </c>
      <c r="C3">
        <f>[1]OBS!D3</f>
        <v>0</v>
      </c>
      <c r="D3" t="e">
        <f t="shared" ref="D3:D40" si="0">C3/B3*100</f>
        <v>#DIV/0!</v>
      </c>
    </row>
    <row r="4" spans="1:4" x14ac:dyDescent="0.3">
      <c r="A4">
        <f t="shared" ref="A4:A37" si="1">A3+1</f>
        <v>1992</v>
      </c>
      <c r="B4">
        <f>[1]OBS!C4</f>
        <v>0</v>
      </c>
      <c r="C4">
        <f>[1]OBS!D4</f>
        <v>0</v>
      </c>
      <c r="D4" t="e">
        <f t="shared" si="0"/>
        <v>#DIV/0!</v>
      </c>
    </row>
    <row r="5" spans="1:4" x14ac:dyDescent="0.3">
      <c r="A5">
        <f t="shared" si="1"/>
        <v>1993</v>
      </c>
      <c r="B5">
        <f>[1]OBS!C5</f>
        <v>0</v>
      </c>
      <c r="C5">
        <f>[1]OBS!D5</f>
        <v>0</v>
      </c>
      <c r="D5" t="e">
        <f t="shared" si="0"/>
        <v>#DIV/0!</v>
      </c>
    </row>
    <row r="6" spans="1:4" x14ac:dyDescent="0.3">
      <c r="A6">
        <f t="shared" si="1"/>
        <v>1994</v>
      </c>
      <c r="B6">
        <f>[1]OBS!C6</f>
        <v>0</v>
      </c>
      <c r="C6">
        <f>[1]OBS!D6</f>
        <v>0</v>
      </c>
      <c r="D6" t="e">
        <f t="shared" si="0"/>
        <v>#DIV/0!</v>
      </c>
    </row>
    <row r="7" spans="1:4" x14ac:dyDescent="0.3">
      <c r="A7">
        <f t="shared" si="1"/>
        <v>1995</v>
      </c>
      <c r="B7">
        <f>[1]OBS!C7</f>
        <v>0</v>
      </c>
      <c r="C7">
        <f>[1]OBS!D7</f>
        <v>0</v>
      </c>
      <c r="D7" t="e">
        <f t="shared" si="0"/>
        <v>#DIV/0!</v>
      </c>
    </row>
    <row r="8" spans="1:4" x14ac:dyDescent="0.3">
      <c r="A8">
        <f t="shared" si="1"/>
        <v>1996</v>
      </c>
      <c r="B8">
        <f>[1]OBS!C8</f>
        <v>0</v>
      </c>
      <c r="C8">
        <f>[1]OBS!D8</f>
        <v>0</v>
      </c>
      <c r="D8" t="e">
        <f t="shared" si="0"/>
        <v>#DIV/0!</v>
      </c>
    </row>
    <row r="9" spans="1:4" x14ac:dyDescent="0.3">
      <c r="A9">
        <f t="shared" si="1"/>
        <v>1997</v>
      </c>
      <c r="B9">
        <f>[1]OBS!C9</f>
        <v>0</v>
      </c>
      <c r="C9">
        <f>[1]OBS!D9</f>
        <v>0</v>
      </c>
      <c r="D9" t="e">
        <f t="shared" si="0"/>
        <v>#DIV/0!</v>
      </c>
    </row>
    <row r="10" spans="1:4" x14ac:dyDescent="0.3">
      <c r="A10">
        <f t="shared" si="1"/>
        <v>1998</v>
      </c>
      <c r="B10">
        <f>[1]OBS!C10</f>
        <v>0</v>
      </c>
      <c r="C10">
        <f>[1]OBS!D10</f>
        <v>0</v>
      </c>
      <c r="D10" t="e">
        <f t="shared" si="0"/>
        <v>#DIV/0!</v>
      </c>
    </row>
    <row r="11" spans="1:4" x14ac:dyDescent="0.3">
      <c r="A11">
        <f t="shared" si="1"/>
        <v>1999</v>
      </c>
      <c r="B11">
        <f>[1]OBS!C11</f>
        <v>0</v>
      </c>
      <c r="C11">
        <f>[1]OBS!D11</f>
        <v>0</v>
      </c>
      <c r="D11" t="e">
        <f t="shared" si="0"/>
        <v>#DIV/0!</v>
      </c>
    </row>
    <row r="12" spans="1:4" x14ac:dyDescent="0.3">
      <c r="A12">
        <f t="shared" si="1"/>
        <v>2000</v>
      </c>
      <c r="B12">
        <f>[1]OBS!C12</f>
        <v>0</v>
      </c>
      <c r="C12">
        <f>[1]OBS!D12</f>
        <v>0</v>
      </c>
      <c r="D12" t="e">
        <f t="shared" si="0"/>
        <v>#DIV/0!</v>
      </c>
    </row>
    <row r="13" spans="1:4" x14ac:dyDescent="0.3">
      <c r="A13">
        <f t="shared" si="1"/>
        <v>2001</v>
      </c>
      <c r="B13">
        <f>[1]OBS!C13</f>
        <v>0</v>
      </c>
      <c r="C13">
        <f>[1]OBS!D13</f>
        <v>0</v>
      </c>
      <c r="D13" t="e">
        <f t="shared" si="0"/>
        <v>#DIV/0!</v>
      </c>
    </row>
    <row r="14" spans="1:4" x14ac:dyDescent="0.3">
      <c r="A14">
        <f t="shared" si="1"/>
        <v>2002</v>
      </c>
      <c r="B14">
        <f>[1]OBS!C14</f>
        <v>0</v>
      </c>
      <c r="C14">
        <f>[1]OBS!D14</f>
        <v>0</v>
      </c>
      <c r="D14" t="e">
        <f t="shared" si="0"/>
        <v>#DIV/0!</v>
      </c>
    </row>
    <row r="15" spans="1:4" x14ac:dyDescent="0.3">
      <c r="A15">
        <f t="shared" si="1"/>
        <v>2003</v>
      </c>
      <c r="B15">
        <f>[1]OBS!C15</f>
        <v>0</v>
      </c>
      <c r="C15">
        <f>[1]OBS!D15</f>
        <v>0</v>
      </c>
      <c r="D15" t="e">
        <f t="shared" si="0"/>
        <v>#DIV/0!</v>
      </c>
    </row>
    <row r="16" spans="1:4" x14ac:dyDescent="0.3">
      <c r="A16">
        <f t="shared" si="1"/>
        <v>2004</v>
      </c>
      <c r="B16">
        <f>[1]OBS!C16</f>
        <v>0</v>
      </c>
      <c r="C16">
        <f>[1]OBS!D16</f>
        <v>0</v>
      </c>
      <c r="D16" t="e">
        <f t="shared" si="0"/>
        <v>#DIV/0!</v>
      </c>
    </row>
    <row r="17" spans="1:4" x14ac:dyDescent="0.3">
      <c r="A17">
        <f t="shared" si="1"/>
        <v>2005</v>
      </c>
      <c r="B17">
        <f>[1]OBS!C17</f>
        <v>0</v>
      </c>
      <c r="C17">
        <f>[1]OBS!D17</f>
        <v>0</v>
      </c>
      <c r="D17" t="e">
        <f t="shared" si="0"/>
        <v>#DIV/0!</v>
      </c>
    </row>
    <row r="18" spans="1:4" x14ac:dyDescent="0.3">
      <c r="A18">
        <f t="shared" si="1"/>
        <v>2006</v>
      </c>
      <c r="B18">
        <f>[1]OBS!C18</f>
        <v>1</v>
      </c>
      <c r="C18">
        <f>[1]OBS!D18</f>
        <v>1</v>
      </c>
      <c r="D18">
        <f t="shared" si="0"/>
        <v>100</v>
      </c>
    </row>
    <row r="19" spans="1:4" x14ac:dyDescent="0.3">
      <c r="A19">
        <f t="shared" si="1"/>
        <v>2007</v>
      </c>
      <c r="B19">
        <f>[1]OBS!C19</f>
        <v>0</v>
      </c>
      <c r="C19">
        <f>[1]OBS!D19</f>
        <v>0</v>
      </c>
      <c r="D19" t="e">
        <f t="shared" si="0"/>
        <v>#DIV/0!</v>
      </c>
    </row>
    <row r="20" spans="1:4" x14ac:dyDescent="0.3">
      <c r="A20">
        <f t="shared" si="1"/>
        <v>2008</v>
      </c>
      <c r="B20">
        <f>[1]OBS!C20</f>
        <v>0</v>
      </c>
      <c r="C20">
        <f>[1]OBS!D20</f>
        <v>0</v>
      </c>
      <c r="D20" t="e">
        <f t="shared" si="0"/>
        <v>#DIV/0!</v>
      </c>
    </row>
    <row r="21" spans="1:4" x14ac:dyDescent="0.3">
      <c r="A21">
        <f t="shared" si="1"/>
        <v>2009</v>
      </c>
      <c r="B21">
        <f>[1]OBS!C21</f>
        <v>0</v>
      </c>
      <c r="C21">
        <f>[1]OBS!D21</f>
        <v>0</v>
      </c>
      <c r="D21" t="e">
        <f t="shared" si="0"/>
        <v>#DIV/0!</v>
      </c>
    </row>
    <row r="22" spans="1:4" x14ac:dyDescent="0.3">
      <c r="A22">
        <f t="shared" si="1"/>
        <v>2010</v>
      </c>
      <c r="B22">
        <f>[1]OBS!C22</f>
        <v>0</v>
      </c>
      <c r="C22">
        <f>[1]OBS!D22</f>
        <v>0</v>
      </c>
      <c r="D22" t="e">
        <f t="shared" si="0"/>
        <v>#DIV/0!</v>
      </c>
    </row>
    <row r="23" spans="1:4" x14ac:dyDescent="0.3">
      <c r="A23">
        <f t="shared" si="1"/>
        <v>2011</v>
      </c>
      <c r="B23">
        <f>[1]OBS!C23</f>
        <v>1</v>
      </c>
      <c r="C23">
        <f>[1]OBS!D23</f>
        <v>1</v>
      </c>
      <c r="D23">
        <f t="shared" si="0"/>
        <v>100</v>
      </c>
    </row>
    <row r="24" spans="1:4" x14ac:dyDescent="0.3">
      <c r="A24">
        <f t="shared" si="1"/>
        <v>2012</v>
      </c>
      <c r="B24">
        <f>[1]OBS!C24</f>
        <v>47</v>
      </c>
      <c r="C24">
        <f>[1]OBS!D24</f>
        <v>46</v>
      </c>
      <c r="D24">
        <f t="shared" si="0"/>
        <v>97.872340425531917</v>
      </c>
    </row>
    <row r="25" spans="1:4" x14ac:dyDescent="0.3">
      <c r="A25">
        <f t="shared" si="1"/>
        <v>2013</v>
      </c>
      <c r="B25">
        <f>[1]OBS!C25</f>
        <v>512</v>
      </c>
      <c r="C25">
        <f>[1]OBS!D25</f>
        <v>499</v>
      </c>
      <c r="D25">
        <f t="shared" si="0"/>
        <v>97.4609375</v>
      </c>
    </row>
    <row r="26" spans="1:4" x14ac:dyDescent="0.3">
      <c r="A26">
        <f t="shared" si="1"/>
        <v>2014</v>
      </c>
      <c r="B26">
        <f>[1]OBS!C26</f>
        <v>1209</v>
      </c>
      <c r="C26">
        <f>[1]OBS!D26</f>
        <v>1164</v>
      </c>
      <c r="D26">
        <f t="shared" si="0"/>
        <v>96.277915632754343</v>
      </c>
    </row>
    <row r="27" spans="1:4" x14ac:dyDescent="0.3">
      <c r="A27">
        <f t="shared" si="1"/>
        <v>2015</v>
      </c>
      <c r="B27">
        <f>[1]OBS!C27</f>
        <v>2040</v>
      </c>
      <c r="C27">
        <f>[1]OBS!D27</f>
        <v>2004</v>
      </c>
      <c r="D27">
        <f t="shared" si="0"/>
        <v>98.235294117647058</v>
      </c>
    </row>
    <row r="28" spans="1:4" x14ac:dyDescent="0.3">
      <c r="A28">
        <f t="shared" si="1"/>
        <v>2016</v>
      </c>
      <c r="B28">
        <f>[1]OBS!C28</f>
        <v>2591</v>
      </c>
      <c r="C28">
        <f>[1]OBS!D28</f>
        <v>2531</v>
      </c>
      <c r="D28">
        <f t="shared" si="0"/>
        <v>97.684291779235821</v>
      </c>
    </row>
    <row r="29" spans="1:4" x14ac:dyDescent="0.3">
      <c r="A29">
        <f t="shared" si="1"/>
        <v>2017</v>
      </c>
      <c r="B29">
        <f>[1]OBS!C29</f>
        <v>2995</v>
      </c>
      <c r="C29">
        <f>[1]OBS!D29</f>
        <v>2919</v>
      </c>
      <c r="D29">
        <f t="shared" si="0"/>
        <v>97.462437395659435</v>
      </c>
    </row>
    <row r="30" spans="1:4" x14ac:dyDescent="0.3">
      <c r="A30">
        <f t="shared" si="1"/>
        <v>2018</v>
      </c>
      <c r="B30">
        <f>[1]OBS!C30</f>
        <v>3354</v>
      </c>
      <c r="C30">
        <f>[1]OBS!D30</f>
        <v>3293</v>
      </c>
      <c r="D30">
        <f t="shared" si="0"/>
        <v>98.181276088252829</v>
      </c>
    </row>
    <row r="31" spans="1:4" x14ac:dyDescent="0.3">
      <c r="A31">
        <f t="shared" si="1"/>
        <v>2019</v>
      </c>
      <c r="B31">
        <f>[1]OBS!C31</f>
        <v>4202</v>
      </c>
      <c r="C31">
        <f>[1]OBS!D31</f>
        <v>4119</v>
      </c>
      <c r="D31">
        <f t="shared" si="0"/>
        <v>98.024750118990951</v>
      </c>
    </row>
    <row r="32" spans="1:4" x14ac:dyDescent="0.3">
      <c r="A32">
        <f t="shared" si="1"/>
        <v>2020</v>
      </c>
      <c r="B32">
        <f>[1]OBS!C32</f>
        <v>5454</v>
      </c>
      <c r="C32">
        <f>[1]OBS!D32</f>
        <v>5340</v>
      </c>
      <c r="D32">
        <f t="shared" si="0"/>
        <v>97.909790979097906</v>
      </c>
    </row>
    <row r="33" spans="1:4" x14ac:dyDescent="0.3">
      <c r="A33">
        <f t="shared" si="1"/>
        <v>2021</v>
      </c>
      <c r="B33">
        <f>[1]OBS!C33</f>
        <v>6700</v>
      </c>
      <c r="C33">
        <f>[1]OBS!D33</f>
        <v>6566</v>
      </c>
      <c r="D33">
        <f t="shared" si="0"/>
        <v>98</v>
      </c>
    </row>
    <row r="34" spans="1:4" x14ac:dyDescent="0.3">
      <c r="A34">
        <f t="shared" si="1"/>
        <v>2022</v>
      </c>
      <c r="B34">
        <f>[1]OBS!C34</f>
        <v>5419</v>
      </c>
      <c r="C34">
        <f>[1]OBS!D34</f>
        <v>5287</v>
      </c>
      <c r="D34">
        <f t="shared" si="0"/>
        <v>97.564126222550286</v>
      </c>
    </row>
    <row r="35" spans="1:4" x14ac:dyDescent="0.3">
      <c r="A35">
        <f t="shared" si="1"/>
        <v>2023</v>
      </c>
      <c r="B35">
        <f>[1]OBS!C35</f>
        <v>4647</v>
      </c>
      <c r="C35">
        <f>[1]OBS!D35</f>
        <v>4559</v>
      </c>
      <c r="D35">
        <f t="shared" si="0"/>
        <v>98.106305143103071</v>
      </c>
    </row>
    <row r="36" spans="1:4" x14ac:dyDescent="0.3">
      <c r="A36">
        <f t="shared" si="1"/>
        <v>2024</v>
      </c>
      <c r="B36">
        <f>[1]OBS!C36</f>
        <v>5747</v>
      </c>
      <c r="C36">
        <f>[1]OBS!D36</f>
        <v>5636</v>
      </c>
      <c r="D36">
        <f t="shared" si="0"/>
        <v>98.068557508265187</v>
      </c>
    </row>
    <row r="37" spans="1:4" x14ac:dyDescent="0.3">
      <c r="A37">
        <f t="shared" si="1"/>
        <v>2025</v>
      </c>
      <c r="B37">
        <f>[1]OBS!C37</f>
        <v>4923</v>
      </c>
      <c r="C37">
        <f>[1]OBS!D37</f>
        <v>4827</v>
      </c>
      <c r="D37">
        <f t="shared" si="0"/>
        <v>98.049969530773922</v>
      </c>
    </row>
    <row r="38" spans="1:4" x14ac:dyDescent="0.3">
      <c r="A38" t="s">
        <v>9</v>
      </c>
      <c r="B38">
        <f>[1]OBS!C38</f>
        <v>49842</v>
      </c>
      <c r="C38">
        <f>[1]OBS!D38</f>
        <v>48792</v>
      </c>
      <c r="D38">
        <f t="shared" si="0"/>
        <v>97.893342963765491</v>
      </c>
    </row>
    <row r="39" spans="1:4" x14ac:dyDescent="0.3">
      <c r="A39" t="s">
        <v>7</v>
      </c>
      <c r="B39">
        <f>[1]OBS!C39</f>
        <v>6700</v>
      </c>
      <c r="C39">
        <f>[1]OBS!D39</f>
        <v>6566</v>
      </c>
      <c r="D39">
        <f t="shared" si="0"/>
        <v>98</v>
      </c>
    </row>
    <row r="40" spans="1:4" x14ac:dyDescent="0.3">
      <c r="A40" t="s">
        <v>8</v>
      </c>
      <c r="B40">
        <f>[1]OBS!C40</f>
        <v>0</v>
      </c>
      <c r="C40">
        <f>[1]OBS!D40</f>
        <v>0</v>
      </c>
      <c r="D40" t="e">
        <f t="shared" si="0"/>
        <v>#DIV/0!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CD83-FDC0-4D92-8A3D-CD1D1F74C4D6}">
  <dimension ref="A1:D40"/>
  <sheetViews>
    <sheetView workbookViewId="0">
      <selection activeCell="D9" sqref="D9"/>
    </sheetView>
  </sheetViews>
  <sheetFormatPr defaultRowHeight="17.25" x14ac:dyDescent="0.3"/>
  <sheetData>
    <row r="1" spans="1:4" x14ac:dyDescent="0.3">
      <c r="A1" t="s">
        <v>0</v>
      </c>
      <c r="B1" t="str">
        <f>[1]SYSREV!C1</f>
        <v>HasPvalue</v>
      </c>
      <c r="C1" t="str">
        <f>[1]SYSREV!D1</f>
        <v>Pvalue0.05</v>
      </c>
      <c r="D1" t="s">
        <v>1</v>
      </c>
    </row>
    <row r="2" spans="1:4" x14ac:dyDescent="0.3">
      <c r="A2">
        <v>1990</v>
      </c>
      <c r="B2">
        <f>[1]SYSREV!C2</f>
        <v>0</v>
      </c>
      <c r="C2">
        <f>[1]SYSREV!D2</f>
        <v>0</v>
      </c>
      <c r="D2" t="e">
        <f>C2/B2*100</f>
        <v>#DIV/0!</v>
      </c>
    </row>
    <row r="3" spans="1:4" x14ac:dyDescent="0.3">
      <c r="A3">
        <f>A2+1</f>
        <v>1991</v>
      </c>
      <c r="B3">
        <f>[1]SYSREV!C3</f>
        <v>0</v>
      </c>
      <c r="C3">
        <f>[1]SYSREV!D3</f>
        <v>0</v>
      </c>
      <c r="D3" t="e">
        <f t="shared" ref="D3:D40" si="0">C3/B3*100</f>
        <v>#DIV/0!</v>
      </c>
    </row>
    <row r="4" spans="1:4" x14ac:dyDescent="0.3">
      <c r="A4">
        <f t="shared" ref="A4:A37" si="1">A3+1</f>
        <v>1992</v>
      </c>
      <c r="B4">
        <f>[1]SYSREV!C4</f>
        <v>0</v>
      </c>
      <c r="C4">
        <f>[1]SYSREV!D4</f>
        <v>0</v>
      </c>
      <c r="D4" t="e">
        <f t="shared" si="0"/>
        <v>#DIV/0!</v>
      </c>
    </row>
    <row r="5" spans="1:4" x14ac:dyDescent="0.3">
      <c r="A5">
        <f t="shared" si="1"/>
        <v>1993</v>
      </c>
      <c r="B5">
        <f>[1]SYSREV!C5</f>
        <v>0</v>
      </c>
      <c r="C5">
        <f>[1]SYSREV!D5</f>
        <v>0</v>
      </c>
      <c r="D5" t="e">
        <f t="shared" si="0"/>
        <v>#DIV/0!</v>
      </c>
    </row>
    <row r="6" spans="1:4" x14ac:dyDescent="0.3">
      <c r="A6">
        <f t="shared" si="1"/>
        <v>1994</v>
      </c>
      <c r="B6">
        <f>[1]SYSREV!C6</f>
        <v>0</v>
      </c>
      <c r="C6">
        <f>[1]SYSREV!D6</f>
        <v>0</v>
      </c>
      <c r="D6" t="e">
        <f t="shared" si="0"/>
        <v>#DIV/0!</v>
      </c>
    </row>
    <row r="7" spans="1:4" x14ac:dyDescent="0.3">
      <c r="A7">
        <f t="shared" si="1"/>
        <v>1995</v>
      </c>
      <c r="B7">
        <f>[1]SYSREV!C7</f>
        <v>0</v>
      </c>
      <c r="C7">
        <f>[1]SYSREV!D7</f>
        <v>0</v>
      </c>
      <c r="D7" t="e">
        <f t="shared" si="0"/>
        <v>#DIV/0!</v>
      </c>
    </row>
    <row r="8" spans="1:4" x14ac:dyDescent="0.3">
      <c r="A8">
        <f t="shared" si="1"/>
        <v>1996</v>
      </c>
      <c r="B8">
        <f>[1]SYSREV!C8</f>
        <v>0</v>
      </c>
      <c r="C8">
        <f>[1]SYSREV!D8</f>
        <v>0</v>
      </c>
      <c r="D8" t="e">
        <f t="shared" si="0"/>
        <v>#DIV/0!</v>
      </c>
    </row>
    <row r="9" spans="1:4" x14ac:dyDescent="0.3">
      <c r="A9">
        <f t="shared" si="1"/>
        <v>1997</v>
      </c>
      <c r="B9">
        <f>[1]SYSREV!C9</f>
        <v>0</v>
      </c>
      <c r="C9">
        <f>[1]SYSREV!D9</f>
        <v>0</v>
      </c>
      <c r="D9" t="e">
        <f t="shared" si="0"/>
        <v>#DIV/0!</v>
      </c>
    </row>
    <row r="10" spans="1:4" x14ac:dyDescent="0.3">
      <c r="A10">
        <f t="shared" si="1"/>
        <v>1998</v>
      </c>
      <c r="B10">
        <f>[1]SYSREV!C10</f>
        <v>0</v>
      </c>
      <c r="C10">
        <f>[1]SYSREV!D10</f>
        <v>0</v>
      </c>
      <c r="D10" t="e">
        <f t="shared" si="0"/>
        <v>#DIV/0!</v>
      </c>
    </row>
    <row r="11" spans="1:4" x14ac:dyDescent="0.3">
      <c r="A11">
        <f t="shared" si="1"/>
        <v>1999</v>
      </c>
      <c r="B11">
        <f>[1]SYSREV!C11</f>
        <v>0</v>
      </c>
      <c r="C11">
        <f>[1]SYSREV!D11</f>
        <v>0</v>
      </c>
      <c r="D11" t="e">
        <f t="shared" si="0"/>
        <v>#DIV/0!</v>
      </c>
    </row>
    <row r="12" spans="1:4" x14ac:dyDescent="0.3">
      <c r="A12">
        <f t="shared" si="1"/>
        <v>2000</v>
      </c>
      <c r="B12">
        <f>[1]SYSREV!C12</f>
        <v>1</v>
      </c>
      <c r="C12">
        <f>[1]SYSREV!D12</f>
        <v>1</v>
      </c>
      <c r="D12">
        <f t="shared" si="0"/>
        <v>100</v>
      </c>
    </row>
    <row r="13" spans="1:4" x14ac:dyDescent="0.3">
      <c r="A13">
        <f t="shared" si="1"/>
        <v>2001</v>
      </c>
      <c r="B13">
        <f>[1]SYSREV!C13</f>
        <v>5</v>
      </c>
      <c r="C13">
        <f>[1]SYSREV!D13</f>
        <v>5</v>
      </c>
      <c r="D13">
        <f t="shared" si="0"/>
        <v>100</v>
      </c>
    </row>
    <row r="14" spans="1:4" x14ac:dyDescent="0.3">
      <c r="A14">
        <f t="shared" si="1"/>
        <v>2002</v>
      </c>
      <c r="B14">
        <f>[1]SYSREV!C14</f>
        <v>11</v>
      </c>
      <c r="C14">
        <f>[1]SYSREV!D14</f>
        <v>10</v>
      </c>
      <c r="D14">
        <f t="shared" si="0"/>
        <v>90.909090909090907</v>
      </c>
    </row>
    <row r="15" spans="1:4" x14ac:dyDescent="0.3">
      <c r="A15">
        <f t="shared" si="1"/>
        <v>2003</v>
      </c>
      <c r="B15">
        <f>[1]SYSREV!C15</f>
        <v>8</v>
      </c>
      <c r="C15">
        <f>[1]SYSREV!D15</f>
        <v>7</v>
      </c>
      <c r="D15">
        <f t="shared" si="0"/>
        <v>87.5</v>
      </c>
    </row>
    <row r="16" spans="1:4" x14ac:dyDescent="0.3">
      <c r="A16">
        <f t="shared" si="1"/>
        <v>2004</v>
      </c>
      <c r="B16">
        <f>[1]SYSREV!C16</f>
        <v>16</v>
      </c>
      <c r="C16">
        <f>[1]SYSREV!D16</f>
        <v>15</v>
      </c>
      <c r="D16">
        <f t="shared" si="0"/>
        <v>93.75</v>
      </c>
    </row>
    <row r="17" spans="1:4" x14ac:dyDescent="0.3">
      <c r="A17">
        <f t="shared" si="1"/>
        <v>2005</v>
      </c>
      <c r="B17">
        <f>[1]SYSREV!C17</f>
        <v>30</v>
      </c>
      <c r="C17">
        <f>[1]SYSREV!D17</f>
        <v>28</v>
      </c>
      <c r="D17">
        <f t="shared" si="0"/>
        <v>93.333333333333329</v>
      </c>
    </row>
    <row r="18" spans="1:4" x14ac:dyDescent="0.3">
      <c r="A18">
        <f t="shared" si="1"/>
        <v>2006</v>
      </c>
      <c r="B18">
        <f>[1]SYSREV!C18</f>
        <v>42</v>
      </c>
      <c r="C18">
        <f>[1]SYSREV!D18</f>
        <v>38</v>
      </c>
      <c r="D18">
        <f t="shared" si="0"/>
        <v>90.476190476190482</v>
      </c>
    </row>
    <row r="19" spans="1:4" x14ac:dyDescent="0.3">
      <c r="A19">
        <f t="shared" si="1"/>
        <v>2007</v>
      </c>
      <c r="B19">
        <f>[1]SYSREV!C19</f>
        <v>53</v>
      </c>
      <c r="C19">
        <f>[1]SYSREV!D19</f>
        <v>51</v>
      </c>
      <c r="D19">
        <f t="shared" si="0"/>
        <v>96.226415094339629</v>
      </c>
    </row>
    <row r="20" spans="1:4" x14ac:dyDescent="0.3">
      <c r="A20">
        <f t="shared" si="1"/>
        <v>2008</v>
      </c>
      <c r="B20">
        <f>[1]SYSREV!C20</f>
        <v>92</v>
      </c>
      <c r="C20">
        <f>[1]SYSREV!D20</f>
        <v>88</v>
      </c>
      <c r="D20">
        <f t="shared" si="0"/>
        <v>95.652173913043484</v>
      </c>
    </row>
    <row r="21" spans="1:4" x14ac:dyDescent="0.3">
      <c r="A21">
        <f t="shared" si="1"/>
        <v>2009</v>
      </c>
      <c r="B21">
        <f>[1]SYSREV!C21</f>
        <v>139</v>
      </c>
      <c r="C21">
        <f>[1]SYSREV!D21</f>
        <v>126</v>
      </c>
      <c r="D21">
        <f t="shared" si="0"/>
        <v>90.647482014388487</v>
      </c>
    </row>
    <row r="22" spans="1:4" x14ac:dyDescent="0.3">
      <c r="A22">
        <f t="shared" si="1"/>
        <v>2010</v>
      </c>
      <c r="B22">
        <f>[1]SYSREV!C22</f>
        <v>208</v>
      </c>
      <c r="C22">
        <f>[1]SYSREV!D22</f>
        <v>192</v>
      </c>
      <c r="D22">
        <f t="shared" si="0"/>
        <v>92.307692307692307</v>
      </c>
    </row>
    <row r="23" spans="1:4" x14ac:dyDescent="0.3">
      <c r="A23">
        <f t="shared" si="1"/>
        <v>2011</v>
      </c>
      <c r="B23">
        <f>[1]SYSREV!C23</f>
        <v>320</v>
      </c>
      <c r="C23">
        <f>[1]SYSREV!D23</f>
        <v>301</v>
      </c>
      <c r="D23">
        <f t="shared" si="0"/>
        <v>94.0625</v>
      </c>
    </row>
    <row r="24" spans="1:4" x14ac:dyDescent="0.3">
      <c r="A24">
        <f t="shared" si="1"/>
        <v>2012</v>
      </c>
      <c r="B24">
        <f>[1]SYSREV!C24</f>
        <v>470</v>
      </c>
      <c r="C24">
        <f>[1]SYSREV!D24</f>
        <v>435</v>
      </c>
      <c r="D24">
        <f t="shared" si="0"/>
        <v>92.553191489361694</v>
      </c>
    </row>
    <row r="25" spans="1:4" x14ac:dyDescent="0.3">
      <c r="A25">
        <f t="shared" si="1"/>
        <v>2013</v>
      </c>
      <c r="B25">
        <f>[1]SYSREV!C25</f>
        <v>717</v>
      </c>
      <c r="C25">
        <f>[1]SYSREV!D25</f>
        <v>666</v>
      </c>
      <c r="D25">
        <f t="shared" si="0"/>
        <v>92.887029288702934</v>
      </c>
    </row>
    <row r="26" spans="1:4" x14ac:dyDescent="0.3">
      <c r="A26">
        <f t="shared" si="1"/>
        <v>2014</v>
      </c>
      <c r="B26">
        <f>[1]SYSREV!C26</f>
        <v>1051</v>
      </c>
      <c r="C26">
        <f>[1]SYSREV!D26</f>
        <v>983</v>
      </c>
      <c r="D26">
        <f t="shared" si="0"/>
        <v>93.529971455756424</v>
      </c>
    </row>
    <row r="27" spans="1:4" x14ac:dyDescent="0.3">
      <c r="A27">
        <f t="shared" si="1"/>
        <v>2015</v>
      </c>
      <c r="B27">
        <f>[1]SYSREV!C27</f>
        <v>1357</v>
      </c>
      <c r="C27">
        <f>[1]SYSREV!D27</f>
        <v>1291</v>
      </c>
      <c r="D27">
        <f t="shared" si="0"/>
        <v>95.136330140014735</v>
      </c>
    </row>
    <row r="28" spans="1:4" x14ac:dyDescent="0.3">
      <c r="A28">
        <f t="shared" si="1"/>
        <v>2016</v>
      </c>
      <c r="B28">
        <f>[1]SYSREV!C28</f>
        <v>1682</v>
      </c>
      <c r="C28">
        <f>[1]SYSREV!D28</f>
        <v>1559</v>
      </c>
      <c r="D28">
        <f t="shared" si="0"/>
        <v>92.687277051129612</v>
      </c>
    </row>
    <row r="29" spans="1:4" x14ac:dyDescent="0.3">
      <c r="A29">
        <f t="shared" si="1"/>
        <v>2017</v>
      </c>
      <c r="B29">
        <f>[1]SYSREV!C29</f>
        <v>2042</v>
      </c>
      <c r="C29">
        <f>[1]SYSREV!D29</f>
        <v>1912</v>
      </c>
      <c r="D29">
        <f t="shared" si="0"/>
        <v>93.633692458374142</v>
      </c>
    </row>
    <row r="30" spans="1:4" x14ac:dyDescent="0.3">
      <c r="A30">
        <f t="shared" si="1"/>
        <v>2018</v>
      </c>
      <c r="B30">
        <f>[1]SYSREV!C30</f>
        <v>2186</v>
      </c>
      <c r="C30">
        <f>[1]SYSREV!D30</f>
        <v>2057</v>
      </c>
      <c r="D30">
        <f t="shared" si="0"/>
        <v>94.09881061299177</v>
      </c>
    </row>
    <row r="31" spans="1:4" x14ac:dyDescent="0.3">
      <c r="A31">
        <f t="shared" si="1"/>
        <v>2019</v>
      </c>
      <c r="B31">
        <f>[1]SYSREV!C31</f>
        <v>3437</v>
      </c>
      <c r="C31">
        <f>[1]SYSREV!D31</f>
        <v>3249</v>
      </c>
      <c r="D31">
        <f t="shared" si="0"/>
        <v>94.530113471050342</v>
      </c>
    </row>
    <row r="32" spans="1:4" x14ac:dyDescent="0.3">
      <c r="A32">
        <f t="shared" si="1"/>
        <v>2020</v>
      </c>
      <c r="B32">
        <f>[1]SYSREV!C32</f>
        <v>4627</v>
      </c>
      <c r="C32">
        <f>[1]SYSREV!D32</f>
        <v>4373</v>
      </c>
      <c r="D32">
        <f t="shared" si="0"/>
        <v>94.510481953749732</v>
      </c>
    </row>
    <row r="33" spans="1:4" x14ac:dyDescent="0.3">
      <c r="A33">
        <f t="shared" si="1"/>
        <v>2021</v>
      </c>
      <c r="B33">
        <f>[1]SYSREV!C33</f>
        <v>6523</v>
      </c>
      <c r="C33">
        <f>[1]SYSREV!D33</f>
        <v>6198</v>
      </c>
      <c r="D33">
        <f t="shared" si="0"/>
        <v>95.017629924881192</v>
      </c>
    </row>
    <row r="34" spans="1:4" x14ac:dyDescent="0.3">
      <c r="A34">
        <f t="shared" si="1"/>
        <v>2022</v>
      </c>
      <c r="B34">
        <f>[1]SYSREV!C34</f>
        <v>8377</v>
      </c>
      <c r="C34">
        <f>[1]SYSREV!D34</f>
        <v>7963</v>
      </c>
      <c r="D34">
        <f t="shared" si="0"/>
        <v>95.05789662170227</v>
      </c>
    </row>
    <row r="35" spans="1:4" x14ac:dyDescent="0.3">
      <c r="A35">
        <f t="shared" si="1"/>
        <v>2023</v>
      </c>
      <c r="B35">
        <f>[1]SYSREV!C35</f>
        <v>7440</v>
      </c>
      <c r="C35">
        <f>[1]SYSREV!D35</f>
        <v>7097</v>
      </c>
      <c r="D35">
        <f t="shared" si="0"/>
        <v>95.38978494623656</v>
      </c>
    </row>
    <row r="36" spans="1:4" x14ac:dyDescent="0.3">
      <c r="A36">
        <f t="shared" si="1"/>
        <v>2024</v>
      </c>
      <c r="B36">
        <f>[1]SYSREV!C36</f>
        <v>8336</v>
      </c>
      <c r="C36">
        <f>[1]SYSREV!D36</f>
        <v>7992</v>
      </c>
      <c r="D36">
        <f t="shared" si="0"/>
        <v>95.873320537428015</v>
      </c>
    </row>
    <row r="37" spans="1:4" x14ac:dyDescent="0.3">
      <c r="A37">
        <f t="shared" si="1"/>
        <v>2025</v>
      </c>
      <c r="B37">
        <f>[1]SYSREV!C37</f>
        <v>6690</v>
      </c>
      <c r="C37">
        <f>[1]SYSREV!D37</f>
        <v>6390</v>
      </c>
      <c r="D37">
        <f t="shared" si="0"/>
        <v>95.515695067264573</v>
      </c>
    </row>
    <row r="38" spans="1:4" x14ac:dyDescent="0.3">
      <c r="A38" t="s">
        <v>9</v>
      </c>
      <c r="B38">
        <f>[1]SYSREV!C38</f>
        <v>55860</v>
      </c>
      <c r="C38">
        <f>[1]SYSREV!D38</f>
        <v>53027</v>
      </c>
      <c r="D38">
        <f t="shared" si="0"/>
        <v>94.928392409595418</v>
      </c>
    </row>
    <row r="39" spans="1:4" x14ac:dyDescent="0.3">
      <c r="A39" t="s">
        <v>7</v>
      </c>
      <c r="B39">
        <f>[1]SYSREV!C39</f>
        <v>8377</v>
      </c>
      <c r="C39">
        <f>[1]SYSREV!D39</f>
        <v>7992</v>
      </c>
      <c r="D39">
        <f t="shared" si="0"/>
        <v>95.404082607138591</v>
      </c>
    </row>
    <row r="40" spans="1:4" x14ac:dyDescent="0.3">
      <c r="A40" t="s">
        <v>8</v>
      </c>
      <c r="B40">
        <f>[1]SYSREV!C40</f>
        <v>0</v>
      </c>
      <c r="C40">
        <f>[1]SYSREV!D40</f>
        <v>0</v>
      </c>
      <c r="D40" t="e">
        <f t="shared" si="0"/>
        <v>#DIV/0!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9F0F9-94CA-490F-9C28-6720D2398075}">
  <dimension ref="A1:AS40"/>
  <sheetViews>
    <sheetView zoomScale="87" workbookViewId="0">
      <selection activeCell="I6" sqref="I6"/>
    </sheetView>
  </sheetViews>
  <sheetFormatPr defaultColWidth="8.6640625" defaultRowHeight="17.25" x14ac:dyDescent="0.3"/>
  <cols>
    <col min="4" max="4" width="8.77734375"/>
  </cols>
  <sheetData>
    <row r="1" spans="1:45" x14ac:dyDescent="0.3">
      <c r="A1" t="s">
        <v>0</v>
      </c>
      <c r="B1" t="s">
        <v>10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tr">
        <f t="array" ref="I1:AS7">TRANSPOSE(A1:G40)</f>
        <v>Year</v>
      </c>
      <c r="J1">
        <v>1990</v>
      </c>
      <c r="K1">
        <v>1991</v>
      </c>
      <c r="L1">
        <v>1992</v>
      </c>
      <c r="M1">
        <v>1993</v>
      </c>
      <c r="N1">
        <v>1994</v>
      </c>
      <c r="O1">
        <v>1995</v>
      </c>
      <c r="P1">
        <v>1996</v>
      </c>
      <c r="Q1">
        <v>1997</v>
      </c>
      <c r="R1">
        <v>1998</v>
      </c>
      <c r="S1">
        <v>1999</v>
      </c>
      <c r="T1">
        <v>2000</v>
      </c>
      <c r="U1">
        <v>2001</v>
      </c>
      <c r="V1">
        <v>2002</v>
      </c>
      <c r="W1">
        <v>2003</v>
      </c>
      <c r="X1">
        <v>2004</v>
      </c>
      <c r="Y1">
        <v>2005</v>
      </c>
      <c r="Z1">
        <v>2006</v>
      </c>
      <c r="AA1">
        <v>2007</v>
      </c>
      <c r="AB1">
        <v>2008</v>
      </c>
      <c r="AC1">
        <v>2009</v>
      </c>
      <c r="AD1">
        <v>2010</v>
      </c>
      <c r="AE1">
        <v>2011</v>
      </c>
      <c r="AF1">
        <v>2012</v>
      </c>
      <c r="AG1">
        <v>2013</v>
      </c>
      <c r="AH1">
        <v>2014</v>
      </c>
      <c r="AI1">
        <v>2015</v>
      </c>
      <c r="AJ1">
        <v>2016</v>
      </c>
      <c r="AK1">
        <v>2017</v>
      </c>
      <c r="AL1">
        <v>2018</v>
      </c>
      <c r="AM1">
        <v>2019</v>
      </c>
      <c r="AN1">
        <v>2020</v>
      </c>
      <c r="AO1">
        <v>2021</v>
      </c>
      <c r="AP1">
        <v>2022</v>
      </c>
      <c r="AQ1">
        <v>2023</v>
      </c>
      <c r="AR1">
        <v>2024</v>
      </c>
      <c r="AS1">
        <v>2025</v>
      </c>
    </row>
    <row r="2" spans="1:45" x14ac:dyDescent="0.3">
      <c r="A2">
        <v>1990</v>
      </c>
      <c r="B2" t="e">
        <f>RCT!D2</f>
        <v>#DIV/0!</v>
      </c>
      <c r="C2">
        <f>CT!D2</f>
        <v>100</v>
      </c>
      <c r="D2" t="e">
        <f>META!D2</f>
        <v>#DIV/0!</v>
      </c>
      <c r="E2" t="e">
        <f>REVIEW!D2</f>
        <v>#DIV/0!</v>
      </c>
      <c r="F2" t="e">
        <f>CCJ!D2</f>
        <v>#DIV/0!</v>
      </c>
      <c r="G2">
        <f>ALL!D2</f>
        <v>93.333333333333329</v>
      </c>
      <c r="I2" t="str">
        <v>Randomized controlled trial</v>
      </c>
      <c r="J2" t="e">
        <v>#DIV/0!</v>
      </c>
      <c r="K2" t="e">
        <v>#DIV/0!</v>
      </c>
      <c r="L2" t="e">
        <v>#DIV/0!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80</v>
      </c>
      <c r="T2">
        <v>100</v>
      </c>
      <c r="U2">
        <v>80</v>
      </c>
      <c r="V2">
        <v>92</v>
      </c>
      <c r="W2">
        <v>98</v>
      </c>
      <c r="X2">
        <v>91.472868217054256</v>
      </c>
      <c r="Y2">
        <v>94.078947368421055</v>
      </c>
      <c r="Z2">
        <v>93.969849246231149</v>
      </c>
      <c r="AA2">
        <v>95.879120879120876</v>
      </c>
      <c r="AB2">
        <v>97.50830564784053</v>
      </c>
      <c r="AC2">
        <v>96.024844720496887</v>
      </c>
      <c r="AD2">
        <v>96.326905417814515</v>
      </c>
      <c r="AE2">
        <v>96.714848883048617</v>
      </c>
      <c r="AF2">
        <v>96.408120770432078</v>
      </c>
      <c r="AG2">
        <v>96.679389312977108</v>
      </c>
      <c r="AH2">
        <v>96.391912908242617</v>
      </c>
      <c r="AI2">
        <v>96.798233508142431</v>
      </c>
      <c r="AJ2">
        <v>96.844783715012724</v>
      </c>
      <c r="AK2">
        <v>96.248263084761462</v>
      </c>
      <c r="AL2">
        <v>96.02481617647058</v>
      </c>
      <c r="AM2">
        <v>96.225649350649363</v>
      </c>
      <c r="AN2">
        <v>96.565724919641355</v>
      </c>
      <c r="AO2">
        <v>96.504100129477777</v>
      </c>
      <c r="AP2">
        <v>96.793419954702586</v>
      </c>
      <c r="AQ2">
        <v>96.906919867644945</v>
      </c>
      <c r="AR2">
        <v>96.771643167742781</v>
      </c>
      <c r="AS2">
        <v>97.123331214240309</v>
      </c>
    </row>
    <row r="3" spans="1:45" x14ac:dyDescent="0.3">
      <c r="A3">
        <v>1991</v>
      </c>
      <c r="B3" t="e">
        <f>RCT!D3</f>
        <v>#DIV/0!</v>
      </c>
      <c r="C3" t="e">
        <f>CT!D3</f>
        <v>#DIV/0!</v>
      </c>
      <c r="D3" t="e">
        <f>META!D3</f>
        <v>#DIV/0!</v>
      </c>
      <c r="E3" t="e">
        <f>REVIEW!D3</f>
        <v>#DIV/0!</v>
      </c>
      <c r="F3" t="e">
        <f>CCJ!D3</f>
        <v>#DIV/0!</v>
      </c>
      <c r="G3">
        <f>ALL!D3</f>
        <v>92.857142857142861</v>
      </c>
      <c r="I3" t="str">
        <v>Clinical trial</v>
      </c>
      <c r="J3">
        <v>100</v>
      </c>
      <c r="K3" t="e">
        <v>#DIV/0!</v>
      </c>
      <c r="L3" t="e">
        <v>#DIV/0!</v>
      </c>
      <c r="M3">
        <v>100</v>
      </c>
      <c r="N3">
        <v>100</v>
      </c>
      <c r="O3">
        <v>66.666666666666657</v>
      </c>
      <c r="P3">
        <v>100</v>
      </c>
      <c r="Q3">
        <v>100</v>
      </c>
      <c r="R3">
        <v>100</v>
      </c>
      <c r="S3">
        <v>90</v>
      </c>
      <c r="T3">
        <v>100</v>
      </c>
      <c r="U3">
        <v>91.891891891891902</v>
      </c>
      <c r="V3">
        <v>92</v>
      </c>
      <c r="W3">
        <v>96.261682242990659</v>
      </c>
      <c r="X3">
        <v>92.946058091286304</v>
      </c>
      <c r="Y3">
        <v>95.705521472392647</v>
      </c>
      <c r="Z3">
        <v>96.907216494845358</v>
      </c>
      <c r="AA3">
        <v>97.41379310344827</v>
      </c>
      <c r="AB3">
        <v>96</v>
      </c>
      <c r="AC3">
        <v>100</v>
      </c>
      <c r="AD3">
        <v>97.288135593220332</v>
      </c>
      <c r="AE3">
        <v>97.601918465227826</v>
      </c>
      <c r="AF3">
        <v>98.365122615803813</v>
      </c>
      <c r="AG3">
        <v>97.560975609756099</v>
      </c>
      <c r="AH3">
        <v>97.372742200328418</v>
      </c>
      <c r="AI3">
        <v>97.672552166934196</v>
      </c>
      <c r="AJ3">
        <v>98.516783762685407</v>
      </c>
      <c r="AK3">
        <v>97.433704020530371</v>
      </c>
      <c r="AL3">
        <v>97.869593285990959</v>
      </c>
      <c r="AM3">
        <v>98.363431151241528</v>
      </c>
      <c r="AN3">
        <v>98.37601499063085</v>
      </c>
      <c r="AO3">
        <v>97.557172557172549</v>
      </c>
      <c r="AP3">
        <v>98.357821953327573</v>
      </c>
      <c r="AQ3">
        <v>98.212157330154952</v>
      </c>
      <c r="AR3">
        <v>98.470097357440892</v>
      </c>
      <c r="AS3">
        <v>97.837837837837839</v>
      </c>
    </row>
    <row r="4" spans="1:45" x14ac:dyDescent="0.3">
      <c r="A4">
        <f>A2+2</f>
        <v>1992</v>
      </c>
      <c r="B4" t="e">
        <f>RCT!D4</f>
        <v>#DIV/0!</v>
      </c>
      <c r="C4" t="e">
        <f>CT!D4</f>
        <v>#DIV/0!</v>
      </c>
      <c r="D4" t="e">
        <f>META!D4</f>
        <v>#DIV/0!</v>
      </c>
      <c r="E4" t="e">
        <f>REVIEW!D4</f>
        <v>#DIV/0!</v>
      </c>
      <c r="F4" t="e">
        <f>CCJ!D4</f>
        <v>#DIV/0!</v>
      </c>
      <c r="G4">
        <f>ALL!D4</f>
        <v>86.666666666666671</v>
      </c>
      <c r="I4" t="str">
        <v>Meta-analysis</v>
      </c>
      <c r="J4" t="e">
        <v>#DIV/0!</v>
      </c>
      <c r="K4" t="e">
        <v>#DIV/0!</v>
      </c>
      <c r="L4" t="e">
        <v>#DIV/0!</v>
      </c>
      <c r="M4" t="e">
        <v>#DIV/0!</v>
      </c>
      <c r="N4" t="e">
        <v>#DIV/0!</v>
      </c>
      <c r="O4" t="e">
        <v>#DIV/0!</v>
      </c>
      <c r="P4" t="e">
        <v>#DIV/0!</v>
      </c>
      <c r="Q4" t="e">
        <v>#DIV/0!</v>
      </c>
      <c r="R4" t="e">
        <v>#DIV/0!</v>
      </c>
      <c r="S4">
        <v>100</v>
      </c>
      <c r="T4" t="e">
        <v>#DIV/0!</v>
      </c>
      <c r="U4">
        <v>100</v>
      </c>
      <c r="V4">
        <v>100</v>
      </c>
      <c r="W4">
        <v>100</v>
      </c>
      <c r="X4">
        <v>91.666666666666657</v>
      </c>
      <c r="Y4">
        <v>89.189189189189193</v>
      </c>
      <c r="Z4">
        <v>88.63636363636364</v>
      </c>
      <c r="AA4">
        <v>98.181818181818187</v>
      </c>
      <c r="AB4">
        <v>95.689655172413794</v>
      </c>
      <c r="AC4">
        <v>91.477272727272734</v>
      </c>
      <c r="AD4">
        <v>89.961389961389955</v>
      </c>
      <c r="AE4">
        <v>93.287037037037038</v>
      </c>
      <c r="AF4">
        <v>95.20451339915374</v>
      </c>
      <c r="AG4">
        <v>94.494658997534913</v>
      </c>
      <c r="AH4">
        <v>95.110024449877756</v>
      </c>
      <c r="AI4">
        <v>95.541706615532121</v>
      </c>
      <c r="AJ4">
        <v>94.547609640458319</v>
      </c>
      <c r="AK4">
        <v>95.086271567891984</v>
      </c>
      <c r="AL4">
        <v>94.877675840978597</v>
      </c>
      <c r="AM4">
        <v>94.807574832009777</v>
      </c>
      <c r="AN4">
        <v>94.986743793685221</v>
      </c>
      <c r="AO4">
        <v>95.157680569684644</v>
      </c>
      <c r="AP4">
        <v>95.005905179686181</v>
      </c>
      <c r="AQ4">
        <v>95.856164383561648</v>
      </c>
      <c r="AR4">
        <v>95.910354981187623</v>
      </c>
      <c r="AS4">
        <v>95.515308322552826</v>
      </c>
    </row>
    <row r="5" spans="1:45" x14ac:dyDescent="0.3">
      <c r="A5">
        <f t="shared" ref="A5:A36" si="0">A3+2</f>
        <v>1993</v>
      </c>
      <c r="B5">
        <f>RCT!D5</f>
        <v>100</v>
      </c>
      <c r="C5">
        <f>CT!D5</f>
        <v>100</v>
      </c>
      <c r="D5" t="e">
        <f>META!D5</f>
        <v>#DIV/0!</v>
      </c>
      <c r="E5" t="e">
        <f>REVIEW!D5</f>
        <v>#DIV/0!</v>
      </c>
      <c r="F5" t="e">
        <f>CCJ!D5</f>
        <v>#DIV/0!</v>
      </c>
      <c r="G5">
        <f>ALL!D5</f>
        <v>90</v>
      </c>
      <c r="I5" t="str">
        <v>Review</v>
      </c>
      <c r="J5" t="e">
        <v>#DIV/0!</v>
      </c>
      <c r="K5" t="e">
        <v>#DIV/0!</v>
      </c>
      <c r="L5" t="e">
        <v>#DIV/0!</v>
      </c>
      <c r="M5" t="e">
        <v>#DIV/0!</v>
      </c>
      <c r="N5">
        <v>75</v>
      </c>
      <c r="O5">
        <v>100</v>
      </c>
      <c r="P5">
        <v>100</v>
      </c>
      <c r="Q5">
        <v>100</v>
      </c>
      <c r="R5">
        <v>88.888888888888886</v>
      </c>
      <c r="S5">
        <v>100</v>
      </c>
      <c r="T5">
        <v>100</v>
      </c>
      <c r="U5">
        <v>95.833333333333343</v>
      </c>
      <c r="V5">
        <v>98.245614035087712</v>
      </c>
      <c r="W5">
        <v>96.875</v>
      </c>
      <c r="X5">
        <v>96.946564885496173</v>
      </c>
      <c r="Y5">
        <v>94.776119402985074</v>
      </c>
      <c r="Z5">
        <v>96.120689655172413</v>
      </c>
      <c r="AA5">
        <v>95.39007092198581</v>
      </c>
      <c r="AB5">
        <v>95</v>
      </c>
      <c r="AC5">
        <v>94.797687861271669</v>
      </c>
      <c r="AD5">
        <v>94.696969696969703</v>
      </c>
      <c r="AE5">
        <v>95.220125786163521</v>
      </c>
      <c r="AF5">
        <v>95.724907063197023</v>
      </c>
      <c r="AG5">
        <v>95.930232558139537</v>
      </c>
      <c r="AH5">
        <v>95.924170616113742</v>
      </c>
      <c r="AI5">
        <v>94.668470906630589</v>
      </c>
      <c r="AJ5">
        <v>95.761166818596166</v>
      </c>
      <c r="AK5">
        <v>95.514675485737911</v>
      </c>
      <c r="AL5">
        <v>95.070162481536187</v>
      </c>
      <c r="AM5">
        <v>93.862520458265138</v>
      </c>
      <c r="AN5">
        <v>94.645737017524993</v>
      </c>
      <c r="AO5">
        <v>95.26567250615318</v>
      </c>
      <c r="AP5">
        <v>95.435868259687723</v>
      </c>
      <c r="AQ5">
        <v>95.327772709500849</v>
      </c>
      <c r="AR5">
        <v>95.630857966834895</v>
      </c>
      <c r="AS5">
        <v>95.604751619870413</v>
      </c>
    </row>
    <row r="6" spans="1:45" x14ac:dyDescent="0.3">
      <c r="A6">
        <f t="shared" si="0"/>
        <v>1994</v>
      </c>
      <c r="B6">
        <f>RCT!D6</f>
        <v>100</v>
      </c>
      <c r="C6">
        <f>CT!D6</f>
        <v>100</v>
      </c>
      <c r="D6" t="e">
        <f>META!D6</f>
        <v>#DIV/0!</v>
      </c>
      <c r="E6">
        <f>REVIEW!D6</f>
        <v>75</v>
      </c>
      <c r="F6" t="e">
        <f>CCJ!D6</f>
        <v>#DIV/0!</v>
      </c>
      <c r="G6">
        <f>ALL!D6</f>
        <v>90.697674418604649</v>
      </c>
      <c r="I6" t="str">
        <v>Core clinical journal</v>
      </c>
      <c r="J6" t="e">
        <v>#DIV/0!</v>
      </c>
      <c r="K6" t="e">
        <v>#DIV/0!</v>
      </c>
      <c r="L6" t="e">
        <v>#DIV/0!</v>
      </c>
      <c r="M6" t="e">
        <v>#DIV/0!</v>
      </c>
      <c r="N6" t="e">
        <v>#DIV/0!</v>
      </c>
      <c r="O6">
        <v>100</v>
      </c>
      <c r="P6">
        <v>100</v>
      </c>
      <c r="Q6">
        <v>100</v>
      </c>
      <c r="R6">
        <v>80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96</v>
      </c>
      <c r="Y6">
        <v>100</v>
      </c>
      <c r="Z6">
        <v>100</v>
      </c>
      <c r="AA6">
        <v>96.969696969696969</v>
      </c>
      <c r="AB6">
        <v>97.51381215469614</v>
      </c>
      <c r="AC6">
        <v>96.860282574568288</v>
      </c>
      <c r="AD6">
        <v>96.561210453920225</v>
      </c>
      <c r="AE6">
        <v>97.622192866578601</v>
      </c>
      <c r="AF6">
        <v>95.913154533844192</v>
      </c>
      <c r="AG6">
        <v>97.215777262180964</v>
      </c>
      <c r="AH6">
        <v>96.392229417206295</v>
      </c>
      <c r="AI6">
        <v>97.984683595324469</v>
      </c>
      <c r="AJ6">
        <v>98.031945236737016</v>
      </c>
      <c r="AK6">
        <v>97.355623100303958</v>
      </c>
      <c r="AL6">
        <v>96.589658965896589</v>
      </c>
      <c r="AM6">
        <v>95.789735924265074</v>
      </c>
      <c r="AN6">
        <v>92.806922660897783</v>
      </c>
      <c r="AO6">
        <v>93.595594020456332</v>
      </c>
      <c r="AP6">
        <v>95.674044265593565</v>
      </c>
      <c r="AQ6">
        <v>97.450369793694051</v>
      </c>
      <c r="AR6">
        <v>98.316498316498311</v>
      </c>
      <c r="AS6">
        <v>97.669434770961701</v>
      </c>
    </row>
    <row r="7" spans="1:45" x14ac:dyDescent="0.3">
      <c r="A7">
        <f t="shared" si="0"/>
        <v>1995</v>
      </c>
      <c r="B7">
        <f>RCT!D7</f>
        <v>100</v>
      </c>
      <c r="C7">
        <f>CT!D7</f>
        <v>66.666666666666657</v>
      </c>
      <c r="D7" t="e">
        <f>META!D7</f>
        <v>#DIV/0!</v>
      </c>
      <c r="E7">
        <f>REVIEW!D7</f>
        <v>100</v>
      </c>
      <c r="F7">
        <f>CCJ!D7</f>
        <v>100</v>
      </c>
      <c r="G7">
        <f>ALL!D7</f>
        <v>84.615384615384613</v>
      </c>
      <c r="I7" t="str">
        <v>All MEDLINE</v>
      </c>
      <c r="J7">
        <v>93.333333333333329</v>
      </c>
      <c r="K7">
        <v>92.857142857142861</v>
      </c>
      <c r="L7">
        <v>86.666666666666671</v>
      </c>
      <c r="M7">
        <v>90</v>
      </c>
      <c r="N7">
        <v>90.697674418604649</v>
      </c>
      <c r="O7">
        <v>84.615384615384613</v>
      </c>
      <c r="P7">
        <v>93.61702127659575</v>
      </c>
      <c r="Q7">
        <v>95.39473684210526</v>
      </c>
      <c r="R7">
        <v>95.607235142118867</v>
      </c>
      <c r="S7">
        <v>94.145199063231857</v>
      </c>
      <c r="T7">
        <v>95.543672014260252</v>
      </c>
      <c r="U7">
        <v>96.055226824457591</v>
      </c>
      <c r="V7">
        <v>96.248534583821808</v>
      </c>
      <c r="W7">
        <v>95.615514333895447</v>
      </c>
      <c r="X7">
        <v>95.41232761047003</v>
      </c>
      <c r="Y7">
        <v>96.370463078848559</v>
      </c>
      <c r="Z7">
        <v>95.768874785138166</v>
      </c>
      <c r="AA7">
        <v>96.20106761565836</v>
      </c>
      <c r="AB7">
        <v>96.343162293940097</v>
      </c>
      <c r="AC7">
        <v>96.531356038708054</v>
      </c>
      <c r="AD7">
        <v>96.689048390831218</v>
      </c>
      <c r="AE7">
        <v>96.960884702027442</v>
      </c>
      <c r="AF7">
        <v>97.269801873042908</v>
      </c>
      <c r="AG7">
        <v>97.221978984238177</v>
      </c>
      <c r="AH7">
        <v>97.202060301051034</v>
      </c>
      <c r="AI7">
        <v>97.275131442244117</v>
      </c>
      <c r="AJ7">
        <v>97.345530367385336</v>
      </c>
      <c r="AK7">
        <v>97.243732692920332</v>
      </c>
      <c r="AL7">
        <v>97.228980271513649</v>
      </c>
      <c r="AM7">
        <v>97.221197172156621</v>
      </c>
      <c r="AN7">
        <v>97.166995254282426</v>
      </c>
      <c r="AO7">
        <v>97.294866453068209</v>
      </c>
      <c r="AP7">
        <v>97.358752010324878</v>
      </c>
      <c r="AQ7">
        <v>97.389272539139824</v>
      </c>
      <c r="AR7">
        <v>97.50263397313762</v>
      </c>
      <c r="AS7">
        <v>97.599683897679057</v>
      </c>
    </row>
    <row r="8" spans="1:45" x14ac:dyDescent="0.3">
      <c r="A8">
        <f t="shared" si="0"/>
        <v>1996</v>
      </c>
      <c r="B8">
        <f>RCT!D8</f>
        <v>100</v>
      </c>
      <c r="C8">
        <f>CT!D8</f>
        <v>100</v>
      </c>
      <c r="D8" t="e">
        <f>META!D8</f>
        <v>#DIV/0!</v>
      </c>
      <c r="E8">
        <f>REVIEW!D8</f>
        <v>100</v>
      </c>
      <c r="F8">
        <f>CCJ!D8</f>
        <v>100</v>
      </c>
      <c r="G8">
        <f>ALL!D8</f>
        <v>93.61702127659575</v>
      </c>
    </row>
    <row r="9" spans="1:45" x14ac:dyDescent="0.3">
      <c r="A9">
        <f t="shared" si="0"/>
        <v>1997</v>
      </c>
      <c r="B9">
        <f>RCT!D9</f>
        <v>100</v>
      </c>
      <c r="C9">
        <f>CT!D9</f>
        <v>100</v>
      </c>
      <c r="D9" t="e">
        <f>META!D9</f>
        <v>#DIV/0!</v>
      </c>
      <c r="E9">
        <f>REVIEW!D9</f>
        <v>100</v>
      </c>
      <c r="F9">
        <f>CCJ!D9</f>
        <v>100</v>
      </c>
      <c r="G9">
        <f>ALL!D9</f>
        <v>95.39473684210526</v>
      </c>
    </row>
    <row r="10" spans="1:45" x14ac:dyDescent="0.3">
      <c r="A10">
        <f t="shared" si="0"/>
        <v>1998</v>
      </c>
      <c r="B10">
        <f>RCT!D10</f>
        <v>100</v>
      </c>
      <c r="C10">
        <f>CT!D10</f>
        <v>100</v>
      </c>
      <c r="D10" t="e">
        <f>META!D10</f>
        <v>#DIV/0!</v>
      </c>
      <c r="E10">
        <f>REVIEW!D10</f>
        <v>88.888888888888886</v>
      </c>
      <c r="F10">
        <f>CCJ!D10</f>
        <v>80</v>
      </c>
      <c r="G10">
        <f>ALL!D10</f>
        <v>95.607235142118867</v>
      </c>
    </row>
    <row r="11" spans="1:45" x14ac:dyDescent="0.3">
      <c r="A11">
        <f t="shared" si="0"/>
        <v>1999</v>
      </c>
      <c r="B11">
        <f>RCT!D11</f>
        <v>80</v>
      </c>
      <c r="C11">
        <f>CT!D11</f>
        <v>90</v>
      </c>
      <c r="D11">
        <f>META!D11</f>
        <v>100</v>
      </c>
      <c r="E11">
        <f>REVIEW!D11</f>
        <v>100</v>
      </c>
      <c r="F11">
        <f>CCJ!D11</f>
        <v>100</v>
      </c>
      <c r="G11">
        <f>ALL!D11</f>
        <v>94.145199063231857</v>
      </c>
    </row>
    <row r="12" spans="1:45" x14ac:dyDescent="0.3">
      <c r="A12">
        <f t="shared" si="0"/>
        <v>2000</v>
      </c>
      <c r="B12">
        <f>RCT!D12</f>
        <v>100</v>
      </c>
      <c r="C12">
        <f>CT!D12</f>
        <v>100</v>
      </c>
      <c r="D12" t="e">
        <f>META!D12</f>
        <v>#DIV/0!</v>
      </c>
      <c r="E12">
        <f>REVIEW!D12</f>
        <v>100</v>
      </c>
      <c r="F12">
        <f>CCJ!D12</f>
        <v>100</v>
      </c>
      <c r="G12">
        <f>ALL!D12</f>
        <v>95.543672014260252</v>
      </c>
    </row>
    <row r="13" spans="1:45" x14ac:dyDescent="0.3">
      <c r="A13">
        <f t="shared" si="0"/>
        <v>2001</v>
      </c>
      <c r="B13">
        <f>RCT!D13</f>
        <v>80</v>
      </c>
      <c r="C13">
        <f>CT!D13</f>
        <v>91.891891891891902</v>
      </c>
      <c r="D13">
        <f>META!D13</f>
        <v>100</v>
      </c>
      <c r="E13">
        <f>REVIEW!D13</f>
        <v>95.833333333333343</v>
      </c>
      <c r="F13">
        <f>CCJ!D13</f>
        <v>100</v>
      </c>
      <c r="G13">
        <f>ALL!D13</f>
        <v>96.055226824457591</v>
      </c>
    </row>
    <row r="14" spans="1:45" x14ac:dyDescent="0.3">
      <c r="A14">
        <f t="shared" si="0"/>
        <v>2002</v>
      </c>
      <c r="B14">
        <f>RCT!D14</f>
        <v>92</v>
      </c>
      <c r="C14">
        <f>CT!D14</f>
        <v>92</v>
      </c>
      <c r="D14">
        <f>META!D14</f>
        <v>100</v>
      </c>
      <c r="E14">
        <f>REVIEW!D14</f>
        <v>98.245614035087712</v>
      </c>
      <c r="F14">
        <f>CCJ!D14</f>
        <v>100</v>
      </c>
      <c r="G14">
        <f>ALL!D14</f>
        <v>96.248534583821808</v>
      </c>
    </row>
    <row r="15" spans="1:45" x14ac:dyDescent="0.3">
      <c r="A15">
        <f t="shared" si="0"/>
        <v>2003</v>
      </c>
      <c r="B15">
        <f>RCT!D15</f>
        <v>98</v>
      </c>
      <c r="C15">
        <f>CT!D15</f>
        <v>96.261682242990659</v>
      </c>
      <c r="D15">
        <f>META!D15</f>
        <v>100</v>
      </c>
      <c r="E15">
        <f>REVIEW!D15</f>
        <v>96.875</v>
      </c>
      <c r="F15">
        <f>CCJ!D15</f>
        <v>100</v>
      </c>
      <c r="G15">
        <f>ALL!D15</f>
        <v>95.615514333895447</v>
      </c>
    </row>
    <row r="16" spans="1:45" x14ac:dyDescent="0.3">
      <c r="A16">
        <f t="shared" si="0"/>
        <v>2004</v>
      </c>
      <c r="B16">
        <f>RCT!D16</f>
        <v>91.472868217054256</v>
      </c>
      <c r="C16">
        <f>CT!D16</f>
        <v>92.946058091286304</v>
      </c>
      <c r="D16">
        <f>META!D16</f>
        <v>91.666666666666657</v>
      </c>
      <c r="E16">
        <f>REVIEW!D16</f>
        <v>96.946564885496173</v>
      </c>
      <c r="F16">
        <f>CCJ!D16</f>
        <v>96</v>
      </c>
      <c r="G16">
        <f>ALL!D16</f>
        <v>95.41232761047003</v>
      </c>
    </row>
    <row r="17" spans="1:7" x14ac:dyDescent="0.3">
      <c r="A17">
        <f t="shared" si="0"/>
        <v>2005</v>
      </c>
      <c r="B17">
        <f>RCT!D17</f>
        <v>94.078947368421055</v>
      </c>
      <c r="C17">
        <f>CT!D17</f>
        <v>95.705521472392647</v>
      </c>
      <c r="D17">
        <f>META!D17</f>
        <v>89.189189189189193</v>
      </c>
      <c r="E17">
        <f>REVIEW!D17</f>
        <v>94.776119402985074</v>
      </c>
      <c r="F17">
        <f>CCJ!D17</f>
        <v>100</v>
      </c>
      <c r="G17">
        <f>ALL!D17</f>
        <v>96.370463078848559</v>
      </c>
    </row>
    <row r="18" spans="1:7" x14ac:dyDescent="0.3">
      <c r="A18">
        <f t="shared" si="0"/>
        <v>2006</v>
      </c>
      <c r="B18">
        <f>RCT!D18</f>
        <v>93.969849246231149</v>
      </c>
      <c r="C18">
        <f>CT!D18</f>
        <v>96.907216494845358</v>
      </c>
      <c r="D18">
        <f>META!D18</f>
        <v>88.63636363636364</v>
      </c>
      <c r="E18">
        <f>REVIEW!D18</f>
        <v>96.120689655172413</v>
      </c>
      <c r="F18">
        <f>CCJ!D18</f>
        <v>100</v>
      </c>
      <c r="G18">
        <f>ALL!D18</f>
        <v>95.768874785138166</v>
      </c>
    </row>
    <row r="19" spans="1:7" x14ac:dyDescent="0.3">
      <c r="A19">
        <f t="shared" si="0"/>
        <v>2007</v>
      </c>
      <c r="B19">
        <f>RCT!D19</f>
        <v>95.879120879120876</v>
      </c>
      <c r="C19">
        <f>CT!D19</f>
        <v>97.41379310344827</v>
      </c>
      <c r="D19">
        <f>META!D19</f>
        <v>98.181818181818187</v>
      </c>
      <c r="E19">
        <f>REVIEW!D19</f>
        <v>95.39007092198581</v>
      </c>
      <c r="F19">
        <f>CCJ!D19</f>
        <v>96.969696969696969</v>
      </c>
      <c r="G19">
        <f>ALL!D19</f>
        <v>96.20106761565836</v>
      </c>
    </row>
    <row r="20" spans="1:7" x14ac:dyDescent="0.3">
      <c r="A20">
        <f t="shared" si="0"/>
        <v>2008</v>
      </c>
      <c r="B20">
        <f>RCT!D20</f>
        <v>97.50830564784053</v>
      </c>
      <c r="C20">
        <f>CT!D20</f>
        <v>96</v>
      </c>
      <c r="D20">
        <f>META!D20</f>
        <v>95.689655172413794</v>
      </c>
      <c r="E20">
        <f>REVIEW!D20</f>
        <v>95</v>
      </c>
      <c r="F20">
        <f>CCJ!D20</f>
        <v>97.51381215469614</v>
      </c>
      <c r="G20">
        <f>ALL!D20</f>
        <v>96.343162293940097</v>
      </c>
    </row>
    <row r="21" spans="1:7" x14ac:dyDescent="0.3">
      <c r="A21">
        <f t="shared" si="0"/>
        <v>2009</v>
      </c>
      <c r="B21">
        <f>RCT!D21</f>
        <v>96.024844720496887</v>
      </c>
      <c r="C21">
        <f>CT!D21</f>
        <v>100</v>
      </c>
      <c r="D21">
        <f>META!D21</f>
        <v>91.477272727272734</v>
      </c>
      <c r="E21">
        <f>REVIEW!D21</f>
        <v>94.797687861271669</v>
      </c>
      <c r="F21">
        <f>CCJ!D21</f>
        <v>96.860282574568288</v>
      </c>
      <c r="G21">
        <f>ALL!D21</f>
        <v>96.531356038708054</v>
      </c>
    </row>
    <row r="22" spans="1:7" x14ac:dyDescent="0.3">
      <c r="A22">
        <f t="shared" si="0"/>
        <v>2010</v>
      </c>
      <c r="B22">
        <f>RCT!D22</f>
        <v>96.326905417814515</v>
      </c>
      <c r="C22">
        <f>CT!D22</f>
        <v>97.288135593220332</v>
      </c>
      <c r="D22">
        <f>META!D22</f>
        <v>89.961389961389955</v>
      </c>
      <c r="E22">
        <f>REVIEW!D22</f>
        <v>94.696969696969703</v>
      </c>
      <c r="F22">
        <f>CCJ!D22</f>
        <v>96.561210453920225</v>
      </c>
      <c r="G22">
        <f>ALL!D22</f>
        <v>96.689048390831218</v>
      </c>
    </row>
    <row r="23" spans="1:7" x14ac:dyDescent="0.3">
      <c r="A23">
        <f t="shared" si="0"/>
        <v>2011</v>
      </c>
      <c r="B23">
        <f>RCT!D23</f>
        <v>96.714848883048617</v>
      </c>
      <c r="C23">
        <f>CT!D23</f>
        <v>97.601918465227826</v>
      </c>
      <c r="D23">
        <f>META!D23</f>
        <v>93.287037037037038</v>
      </c>
      <c r="E23">
        <f>REVIEW!D23</f>
        <v>95.220125786163521</v>
      </c>
      <c r="F23">
        <f>CCJ!D23</f>
        <v>97.622192866578601</v>
      </c>
      <c r="G23">
        <f>ALL!D23</f>
        <v>96.960884702027442</v>
      </c>
    </row>
    <row r="24" spans="1:7" x14ac:dyDescent="0.3">
      <c r="A24">
        <f>A22+2</f>
        <v>2012</v>
      </c>
      <c r="B24">
        <f>RCT!D24</f>
        <v>96.408120770432078</v>
      </c>
      <c r="C24">
        <f>CT!D24</f>
        <v>98.365122615803813</v>
      </c>
      <c r="D24">
        <f>META!D24</f>
        <v>95.20451339915374</v>
      </c>
      <c r="E24">
        <f>REVIEW!D24</f>
        <v>95.724907063197023</v>
      </c>
      <c r="F24">
        <f>CCJ!D24</f>
        <v>95.913154533844192</v>
      </c>
      <c r="G24">
        <f>ALL!D24</f>
        <v>97.269801873042908</v>
      </c>
    </row>
    <row r="25" spans="1:7" x14ac:dyDescent="0.3">
      <c r="A25">
        <f t="shared" si="0"/>
        <v>2013</v>
      </c>
      <c r="B25">
        <f>RCT!D25</f>
        <v>96.679389312977108</v>
      </c>
      <c r="C25">
        <f>CT!D25</f>
        <v>97.560975609756099</v>
      </c>
      <c r="D25">
        <f>META!D25</f>
        <v>94.494658997534913</v>
      </c>
      <c r="E25">
        <f>REVIEW!D25</f>
        <v>95.930232558139537</v>
      </c>
      <c r="F25">
        <f>CCJ!D25</f>
        <v>97.215777262180964</v>
      </c>
      <c r="G25">
        <f>ALL!D25</f>
        <v>97.221978984238177</v>
      </c>
    </row>
    <row r="26" spans="1:7" x14ac:dyDescent="0.3">
      <c r="A26">
        <f t="shared" si="0"/>
        <v>2014</v>
      </c>
      <c r="B26">
        <f>RCT!D26</f>
        <v>96.391912908242617</v>
      </c>
      <c r="C26">
        <f>CT!D26</f>
        <v>97.372742200328418</v>
      </c>
      <c r="D26">
        <f>META!D26</f>
        <v>95.110024449877756</v>
      </c>
      <c r="E26">
        <f>REVIEW!D26</f>
        <v>95.924170616113742</v>
      </c>
      <c r="F26">
        <f>CCJ!D26</f>
        <v>96.392229417206295</v>
      </c>
      <c r="G26">
        <f>ALL!D26</f>
        <v>97.202060301051034</v>
      </c>
    </row>
    <row r="27" spans="1:7" x14ac:dyDescent="0.3">
      <c r="A27">
        <f t="shared" si="0"/>
        <v>2015</v>
      </c>
      <c r="B27">
        <f>RCT!D27</f>
        <v>96.798233508142431</v>
      </c>
      <c r="C27">
        <f>CT!D27</f>
        <v>97.672552166934196</v>
      </c>
      <c r="D27">
        <f>META!D27</f>
        <v>95.541706615532121</v>
      </c>
      <c r="E27">
        <f>REVIEW!D27</f>
        <v>94.668470906630589</v>
      </c>
      <c r="F27">
        <f>CCJ!D27</f>
        <v>97.984683595324469</v>
      </c>
      <c r="G27">
        <f>ALL!D27</f>
        <v>97.275131442244117</v>
      </c>
    </row>
    <row r="28" spans="1:7" x14ac:dyDescent="0.3">
      <c r="A28">
        <f t="shared" si="0"/>
        <v>2016</v>
      </c>
      <c r="B28">
        <f>RCT!D28</f>
        <v>96.844783715012724</v>
      </c>
      <c r="C28">
        <f>CT!D28</f>
        <v>98.516783762685407</v>
      </c>
      <c r="D28">
        <f>META!D28</f>
        <v>94.547609640458319</v>
      </c>
      <c r="E28">
        <f>REVIEW!D28</f>
        <v>95.761166818596166</v>
      </c>
      <c r="F28">
        <f>CCJ!D28</f>
        <v>98.031945236737016</v>
      </c>
      <c r="G28">
        <f>ALL!D28</f>
        <v>97.345530367385336</v>
      </c>
    </row>
    <row r="29" spans="1:7" x14ac:dyDescent="0.3">
      <c r="A29">
        <f t="shared" si="0"/>
        <v>2017</v>
      </c>
      <c r="B29">
        <f>RCT!D29</f>
        <v>96.248263084761462</v>
      </c>
      <c r="C29">
        <f>CT!D29</f>
        <v>97.433704020530371</v>
      </c>
      <c r="D29">
        <f>META!D29</f>
        <v>95.086271567891984</v>
      </c>
      <c r="E29">
        <f>REVIEW!D29</f>
        <v>95.514675485737911</v>
      </c>
      <c r="F29">
        <f>CCJ!D29</f>
        <v>97.355623100303958</v>
      </c>
      <c r="G29">
        <f>ALL!D29</f>
        <v>97.243732692920332</v>
      </c>
    </row>
    <row r="30" spans="1:7" x14ac:dyDescent="0.3">
      <c r="A30">
        <f t="shared" si="0"/>
        <v>2018</v>
      </c>
      <c r="B30">
        <f>RCT!D30</f>
        <v>96.02481617647058</v>
      </c>
      <c r="C30">
        <f>CT!D30</f>
        <v>97.869593285990959</v>
      </c>
      <c r="D30">
        <f>META!D30</f>
        <v>94.877675840978597</v>
      </c>
      <c r="E30">
        <f>REVIEW!D30</f>
        <v>95.070162481536187</v>
      </c>
      <c r="F30">
        <f>CCJ!D30</f>
        <v>96.589658965896589</v>
      </c>
      <c r="G30">
        <f>ALL!D30</f>
        <v>97.228980271513649</v>
      </c>
    </row>
    <row r="31" spans="1:7" x14ac:dyDescent="0.3">
      <c r="A31">
        <f t="shared" si="0"/>
        <v>2019</v>
      </c>
      <c r="B31">
        <f>RCT!D31</f>
        <v>96.225649350649363</v>
      </c>
      <c r="C31">
        <f>CT!D31</f>
        <v>98.363431151241528</v>
      </c>
      <c r="D31">
        <f>META!D31</f>
        <v>94.807574832009777</v>
      </c>
      <c r="E31">
        <f>REVIEW!D31</f>
        <v>93.862520458265138</v>
      </c>
      <c r="F31">
        <f>CCJ!D31</f>
        <v>95.789735924265074</v>
      </c>
      <c r="G31">
        <f>ALL!D31</f>
        <v>97.221197172156621</v>
      </c>
    </row>
    <row r="32" spans="1:7" x14ac:dyDescent="0.3">
      <c r="A32">
        <f t="shared" si="0"/>
        <v>2020</v>
      </c>
      <c r="B32">
        <f>RCT!D32</f>
        <v>96.565724919641355</v>
      </c>
      <c r="C32">
        <f>CT!D32</f>
        <v>98.37601499063085</v>
      </c>
      <c r="D32">
        <f>META!D32</f>
        <v>94.986743793685221</v>
      </c>
      <c r="E32">
        <f>REVIEW!D32</f>
        <v>94.645737017524993</v>
      </c>
      <c r="F32">
        <f>CCJ!D32</f>
        <v>92.806922660897783</v>
      </c>
      <c r="G32">
        <f>ALL!D32</f>
        <v>97.166995254282426</v>
      </c>
    </row>
    <row r="33" spans="1:7" x14ac:dyDescent="0.3">
      <c r="A33">
        <f t="shared" si="0"/>
        <v>2021</v>
      </c>
      <c r="B33">
        <f>RCT!D33</f>
        <v>96.504100129477777</v>
      </c>
      <c r="C33">
        <f>CT!D33</f>
        <v>97.557172557172549</v>
      </c>
      <c r="D33">
        <f>META!D33</f>
        <v>95.157680569684644</v>
      </c>
      <c r="E33">
        <f>REVIEW!D33</f>
        <v>95.26567250615318</v>
      </c>
      <c r="F33">
        <f>CCJ!D33</f>
        <v>93.595594020456332</v>
      </c>
      <c r="G33">
        <f>ALL!D33</f>
        <v>97.294866453068209</v>
      </c>
    </row>
    <row r="34" spans="1:7" x14ac:dyDescent="0.3">
      <c r="A34">
        <f t="shared" si="0"/>
        <v>2022</v>
      </c>
      <c r="B34">
        <f>RCT!D34</f>
        <v>96.793419954702586</v>
      </c>
      <c r="C34">
        <f>CT!D34</f>
        <v>98.357821953327573</v>
      </c>
      <c r="D34">
        <f>META!D34</f>
        <v>95.005905179686181</v>
      </c>
      <c r="E34">
        <f>REVIEW!D34</f>
        <v>95.435868259687723</v>
      </c>
      <c r="F34">
        <f>CCJ!D34</f>
        <v>95.674044265593565</v>
      </c>
      <c r="G34">
        <f>ALL!D34</f>
        <v>97.358752010324878</v>
      </c>
    </row>
    <row r="35" spans="1:7" x14ac:dyDescent="0.3">
      <c r="A35">
        <f t="shared" si="0"/>
        <v>2023</v>
      </c>
      <c r="B35">
        <f>RCT!D35</f>
        <v>96.906919867644945</v>
      </c>
      <c r="C35">
        <f>CT!D35</f>
        <v>98.212157330154952</v>
      </c>
      <c r="D35">
        <f>META!D35</f>
        <v>95.856164383561648</v>
      </c>
      <c r="E35">
        <f>REVIEW!D35</f>
        <v>95.327772709500849</v>
      </c>
      <c r="F35">
        <f>CCJ!D35</f>
        <v>97.450369793694051</v>
      </c>
      <c r="G35">
        <f>ALL!D35</f>
        <v>97.389272539139824</v>
      </c>
    </row>
    <row r="36" spans="1:7" x14ac:dyDescent="0.3">
      <c r="A36">
        <f t="shared" si="0"/>
        <v>2024</v>
      </c>
      <c r="B36">
        <f>RCT!D36</f>
        <v>96.771643167742781</v>
      </c>
      <c r="C36">
        <f>CT!D36</f>
        <v>98.470097357440892</v>
      </c>
      <c r="D36">
        <f>META!D36</f>
        <v>95.910354981187623</v>
      </c>
      <c r="E36">
        <f>REVIEW!D36</f>
        <v>95.630857966834895</v>
      </c>
      <c r="F36">
        <f>CCJ!D36</f>
        <v>98.316498316498311</v>
      </c>
      <c r="G36">
        <f>ALL!D36</f>
        <v>97.50263397313762</v>
      </c>
    </row>
    <row r="37" spans="1:7" x14ac:dyDescent="0.3">
      <c r="A37">
        <v>2025</v>
      </c>
      <c r="B37">
        <f>RCT!D37</f>
        <v>97.123331214240309</v>
      </c>
      <c r="C37">
        <f>CT!D37</f>
        <v>97.837837837837839</v>
      </c>
      <c r="D37">
        <f>META!D37</f>
        <v>95.515308322552826</v>
      </c>
      <c r="E37">
        <f>REVIEW!D37</f>
        <v>95.604751619870413</v>
      </c>
      <c r="F37">
        <f>CCJ!D37</f>
        <v>97.669434770961701</v>
      </c>
      <c r="G37">
        <f>ALL!D37</f>
        <v>97.599683897679057</v>
      </c>
    </row>
    <row r="38" spans="1:7" x14ac:dyDescent="0.3">
      <c r="A38" t="s">
        <v>9</v>
      </c>
      <c r="B38">
        <f>RCT!D38</f>
        <v>0</v>
      </c>
      <c r="C38">
        <f>CT!D38</f>
        <v>0</v>
      </c>
      <c r="D38">
        <f>META!D38</f>
        <v>0</v>
      </c>
      <c r="E38">
        <f>REVIEW!D38</f>
        <v>0</v>
      </c>
      <c r="F38">
        <f>CCJ!D38</f>
        <v>0</v>
      </c>
      <c r="G38">
        <f>ALL!D38</f>
        <v>0</v>
      </c>
    </row>
    <row r="39" spans="1:7" x14ac:dyDescent="0.3">
      <c r="A39" t="s">
        <v>7</v>
      </c>
      <c r="B39" t="e">
        <f>RCT!D39</f>
        <v>#DIV/0!</v>
      </c>
      <c r="C39" t="e">
        <f>CT!D39</f>
        <v>#DIV/0!</v>
      </c>
      <c r="D39" t="e">
        <f>META!D39</f>
        <v>#DIV/0!</v>
      </c>
      <c r="E39" t="e">
        <f>REVIEW!D39</f>
        <v>#DIV/0!</v>
      </c>
      <c r="F39" t="e">
        <f>CCJ!D39</f>
        <v>#DIV/0!</v>
      </c>
      <c r="G39">
        <f>ALL!D39</f>
        <v>97.599683897679057</v>
      </c>
    </row>
    <row r="40" spans="1:7" x14ac:dyDescent="0.3">
      <c r="A40" t="s">
        <v>8</v>
      </c>
      <c r="B40" t="e">
        <f>RCT!D40</f>
        <v>#DIV/0!</v>
      </c>
      <c r="C40" t="e">
        <f>CT!D40</f>
        <v>#DIV/0!</v>
      </c>
      <c r="D40" t="e">
        <f>META!D40</f>
        <v>#DIV/0!</v>
      </c>
      <c r="E40" t="e">
        <f>REVIEW!D40</f>
        <v>#DIV/0!</v>
      </c>
      <c r="F40" t="e">
        <f>CCJ!D40</f>
        <v>#DIV/0!</v>
      </c>
      <c r="G40">
        <f>ALL!D40</f>
        <v>84.615384615384613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533F-4400-7C4F-8D08-3AA3EF037CC0}">
  <dimension ref="I1:AS47"/>
  <sheetViews>
    <sheetView tabSelected="1" topLeftCell="I7" zoomScaleNormal="100" workbookViewId="0">
      <selection activeCell="V39" sqref="V39"/>
    </sheetView>
  </sheetViews>
  <sheetFormatPr defaultColWidth="11.44140625" defaultRowHeight="17.25" x14ac:dyDescent="0.3"/>
  <cols>
    <col min="1" max="8" width="0" hidden="1" customWidth="1"/>
  </cols>
  <sheetData>
    <row r="1" spans="9:45" x14ac:dyDescent="0.3">
      <c r="I1" t="str">
        <f>NEWagg!K1</f>
        <v>Year</v>
      </c>
      <c r="J1">
        <f>NEWagg!L1</f>
        <v>1990</v>
      </c>
      <c r="K1">
        <f>NEWagg!M1</f>
        <v>1991</v>
      </c>
      <c r="L1">
        <f>NEWagg!N1</f>
        <v>1992</v>
      </c>
      <c r="M1">
        <f>NEWagg!O1</f>
        <v>1993</v>
      </c>
      <c r="N1">
        <f>NEWagg!P1</f>
        <v>1994</v>
      </c>
      <c r="O1">
        <f>NEWagg!Q1</f>
        <v>1995</v>
      </c>
      <c r="P1">
        <f>NEWagg!R1</f>
        <v>1996</v>
      </c>
      <c r="Q1">
        <f>NEWagg!S1</f>
        <v>1997</v>
      </c>
      <c r="R1">
        <f>NEWagg!T1</f>
        <v>1998</v>
      </c>
      <c r="S1">
        <f>NEWagg!U1</f>
        <v>1999</v>
      </c>
      <c r="T1">
        <f>NEWagg!V1</f>
        <v>2000</v>
      </c>
      <c r="U1">
        <f>NEWagg!W1</f>
        <v>2001</v>
      </c>
      <c r="V1">
        <f>NEWagg!X1</f>
        <v>2002</v>
      </c>
      <c r="W1">
        <f>NEWagg!Y1</f>
        <v>2003</v>
      </c>
      <c r="X1">
        <f>NEWagg!Z1</f>
        <v>2004</v>
      </c>
      <c r="Y1">
        <f>NEWagg!AA1</f>
        <v>2005</v>
      </c>
      <c r="Z1">
        <f>NEWagg!AB1</f>
        <v>2006</v>
      </c>
      <c r="AA1">
        <f>NEWagg!AC1</f>
        <v>2007</v>
      </c>
      <c r="AB1">
        <f>NEWagg!AD1</f>
        <v>2008</v>
      </c>
      <c r="AC1">
        <f>NEWagg!AE1</f>
        <v>2009</v>
      </c>
      <c r="AD1">
        <f>NEWagg!AF1</f>
        <v>2010</v>
      </c>
      <c r="AE1">
        <f>NEWagg!AG1</f>
        <v>2011</v>
      </c>
      <c r="AF1">
        <f>NEWagg!AH1</f>
        <v>2012</v>
      </c>
      <c r="AG1">
        <f>NEWagg!AI1</f>
        <v>2013</v>
      </c>
      <c r="AH1">
        <f>NEWagg!AJ1</f>
        <v>2014</v>
      </c>
      <c r="AI1">
        <f>NEWagg!AK1</f>
        <v>2015</v>
      </c>
      <c r="AJ1">
        <f>NEWagg!AL1</f>
        <v>2016</v>
      </c>
      <c r="AK1">
        <f>NEWagg!AM1</f>
        <v>2017</v>
      </c>
      <c r="AL1">
        <f>NEWagg!AN1</f>
        <v>2018</v>
      </c>
      <c r="AM1">
        <f>NEWagg!AO1</f>
        <v>2019</v>
      </c>
      <c r="AN1">
        <f>NEWagg!AP1</f>
        <v>2020</v>
      </c>
      <c r="AO1">
        <f>NEWagg!AQ1</f>
        <v>2021</v>
      </c>
      <c r="AP1">
        <f>NEWagg!AR1</f>
        <v>2022</v>
      </c>
      <c r="AQ1">
        <f>NEWagg!AS1</f>
        <v>2023</v>
      </c>
      <c r="AR1">
        <f>NEWagg!AT1</f>
        <v>2024</v>
      </c>
      <c r="AS1">
        <f>NEWagg!AU1</f>
        <v>2025</v>
      </c>
    </row>
    <row r="2" spans="9:45" x14ac:dyDescent="0.3">
      <c r="I2" t="str">
        <f>NEWagg!K2</f>
        <v>Randomized controlled trial</v>
      </c>
      <c r="U2">
        <f>NEWagg!W2</f>
        <v>80</v>
      </c>
      <c r="V2">
        <f>NEWagg!X2</f>
        <v>92</v>
      </c>
      <c r="W2">
        <f>NEWagg!Y2</f>
        <v>98</v>
      </c>
      <c r="X2">
        <f>NEWagg!Z2</f>
        <v>91.472868217054256</v>
      </c>
      <c r="Y2">
        <f>NEWagg!AA2</f>
        <v>94.078947368421055</v>
      </c>
      <c r="Z2">
        <f>NEWagg!AB2</f>
        <v>93.969849246231149</v>
      </c>
      <c r="AA2">
        <f>NEWagg!AC2</f>
        <v>95.879120879120876</v>
      </c>
      <c r="AB2">
        <f>NEWagg!AD2</f>
        <v>97.50830564784053</v>
      </c>
      <c r="AC2">
        <f>NEWagg!AE2</f>
        <v>96.024844720496887</v>
      </c>
      <c r="AD2">
        <f>NEWagg!AF2</f>
        <v>96.326905417814515</v>
      </c>
      <c r="AE2">
        <f>NEWagg!AG2</f>
        <v>96.714848883048617</v>
      </c>
      <c r="AF2">
        <f>NEWagg!AH2</f>
        <v>96.408120770432078</v>
      </c>
      <c r="AG2">
        <f>NEWagg!AI2</f>
        <v>96.679389312977108</v>
      </c>
      <c r="AH2">
        <f>NEWagg!AJ2</f>
        <v>96.391912908242617</v>
      </c>
      <c r="AI2">
        <f>NEWagg!AK2</f>
        <v>96.798233508142431</v>
      </c>
      <c r="AJ2">
        <f>NEWagg!AL2</f>
        <v>96.844783715012724</v>
      </c>
      <c r="AK2">
        <f>NEWagg!AM2</f>
        <v>96.248263084761462</v>
      </c>
      <c r="AL2">
        <f>NEWagg!AN2</f>
        <v>96.02481617647058</v>
      </c>
      <c r="AM2">
        <f>NEWagg!AO2</f>
        <v>96.225649350649363</v>
      </c>
      <c r="AN2">
        <f>NEWagg!AP2</f>
        <v>96.565724919641355</v>
      </c>
      <c r="AO2">
        <f>NEWagg!AQ2</f>
        <v>96.504100129477777</v>
      </c>
      <c r="AP2">
        <f>NEWagg!AR2</f>
        <v>96.793419954702586</v>
      </c>
      <c r="AQ2">
        <f>NEWagg!AS2</f>
        <v>96.906919867644945</v>
      </c>
      <c r="AR2">
        <f>NEWagg!AT2</f>
        <v>96.771643167742781</v>
      </c>
      <c r="AS2">
        <f>NEWagg!AU2</f>
        <v>97.123331214240309</v>
      </c>
    </row>
    <row r="3" spans="9:45" x14ac:dyDescent="0.3">
      <c r="I3" t="str">
        <f>NEWagg!K3</f>
        <v>Clinical trial</v>
      </c>
      <c r="T3">
        <f>NEWagg!V3</f>
        <v>100</v>
      </c>
      <c r="U3">
        <f>NEWagg!W3</f>
        <v>91.891891891891902</v>
      </c>
      <c r="V3">
        <f>NEWagg!X3</f>
        <v>92</v>
      </c>
      <c r="W3">
        <f>NEWagg!Y3</f>
        <v>96.261682242990659</v>
      </c>
      <c r="X3">
        <f>NEWagg!Z3</f>
        <v>92.946058091286304</v>
      </c>
      <c r="Y3">
        <f>NEWagg!AA3</f>
        <v>95.705521472392647</v>
      </c>
      <c r="Z3">
        <f>NEWagg!AB3</f>
        <v>96.907216494845358</v>
      </c>
      <c r="AA3">
        <f>NEWagg!AC3</f>
        <v>97.41379310344827</v>
      </c>
      <c r="AB3">
        <f>NEWagg!AD3</f>
        <v>96</v>
      </c>
      <c r="AC3">
        <f>NEWagg!AE3</f>
        <v>100</v>
      </c>
      <c r="AD3">
        <f>NEWagg!AF3</f>
        <v>97.288135593220332</v>
      </c>
      <c r="AE3">
        <f>NEWagg!AG3</f>
        <v>97.601918465227826</v>
      </c>
      <c r="AF3">
        <f>NEWagg!AH3</f>
        <v>98.365122615803813</v>
      </c>
      <c r="AG3">
        <f>NEWagg!AI3</f>
        <v>97.560975609756099</v>
      </c>
      <c r="AH3">
        <f>NEWagg!AJ3</f>
        <v>97.372742200328418</v>
      </c>
      <c r="AI3">
        <f>NEWagg!AK3</f>
        <v>97.672552166934196</v>
      </c>
      <c r="AJ3">
        <f>NEWagg!AL3</f>
        <v>98.516783762685407</v>
      </c>
      <c r="AK3">
        <f>NEWagg!AM3</f>
        <v>97.433704020530371</v>
      </c>
      <c r="AL3">
        <f>NEWagg!AN3</f>
        <v>97.869593285990959</v>
      </c>
      <c r="AM3">
        <f>NEWagg!AO3</f>
        <v>98.363431151241528</v>
      </c>
      <c r="AN3">
        <f>NEWagg!AP3</f>
        <v>98.37601499063085</v>
      </c>
      <c r="AO3">
        <f>NEWagg!AQ3</f>
        <v>97.557172557172549</v>
      </c>
      <c r="AP3">
        <f>NEWagg!AR3</f>
        <v>98.357821953327573</v>
      </c>
      <c r="AQ3">
        <f>NEWagg!AS3</f>
        <v>98.212157330154952</v>
      </c>
      <c r="AR3">
        <f>NEWagg!AT3</f>
        <v>98.470097357440892</v>
      </c>
      <c r="AS3">
        <f>NEWagg!AU3</f>
        <v>97.837837837837839</v>
      </c>
    </row>
    <row r="4" spans="9:45" x14ac:dyDescent="0.3">
      <c r="I4" t="str">
        <f>NEWagg!K4</f>
        <v>Meta-analysis</v>
      </c>
      <c r="W4">
        <f>NEWagg!Y4</f>
        <v>100</v>
      </c>
      <c r="X4">
        <f>NEWagg!Z4</f>
        <v>91.666666666666657</v>
      </c>
      <c r="Y4">
        <f>NEWagg!AA4</f>
        <v>89.189189189189193</v>
      </c>
      <c r="Z4">
        <f>NEWagg!AB4</f>
        <v>88.63636363636364</v>
      </c>
      <c r="AA4">
        <f>NEWagg!AC4</f>
        <v>98.181818181818187</v>
      </c>
      <c r="AB4">
        <f>NEWagg!AD4</f>
        <v>95.689655172413794</v>
      </c>
      <c r="AC4">
        <f>NEWagg!AE4</f>
        <v>91.477272727272734</v>
      </c>
      <c r="AD4">
        <f>NEWagg!AF4</f>
        <v>89.961389961389955</v>
      </c>
      <c r="AE4">
        <f>NEWagg!AG4</f>
        <v>93.287037037037038</v>
      </c>
      <c r="AF4">
        <f>NEWagg!AH4</f>
        <v>95.20451339915374</v>
      </c>
      <c r="AG4">
        <f>NEWagg!AI4</f>
        <v>94.494658997534913</v>
      </c>
      <c r="AH4">
        <f>NEWagg!AJ4</f>
        <v>95.110024449877756</v>
      </c>
      <c r="AI4">
        <f>NEWagg!AK4</f>
        <v>95.541706615532121</v>
      </c>
      <c r="AJ4">
        <f>NEWagg!AL4</f>
        <v>94.547609640458319</v>
      </c>
      <c r="AK4">
        <f>NEWagg!AM4</f>
        <v>95.086271567891984</v>
      </c>
      <c r="AL4">
        <f>NEWagg!AN4</f>
        <v>94.877675840978597</v>
      </c>
      <c r="AM4">
        <f>NEWagg!AO4</f>
        <v>94.807574832009777</v>
      </c>
      <c r="AN4">
        <f>NEWagg!AP4</f>
        <v>94.986743793685221</v>
      </c>
      <c r="AO4">
        <f>NEWagg!AQ4</f>
        <v>95.157680569684644</v>
      </c>
      <c r="AP4">
        <f>NEWagg!AR4</f>
        <v>95.005905179686181</v>
      </c>
      <c r="AQ4">
        <f>NEWagg!AS4</f>
        <v>95.856164383561648</v>
      </c>
      <c r="AR4">
        <f>NEWagg!AT4</f>
        <v>95.910354981187623</v>
      </c>
      <c r="AS4">
        <f>NEWagg!AU4</f>
        <v>95.515308322552826</v>
      </c>
    </row>
    <row r="5" spans="9:45" x14ac:dyDescent="0.3">
      <c r="I5" t="str">
        <f>NEWagg!K5</f>
        <v>Review</v>
      </c>
      <c r="T5">
        <f>NEWagg!V5</f>
        <v>100</v>
      </c>
      <c r="U5">
        <f>NEWagg!W5</f>
        <v>95.833333333333343</v>
      </c>
      <c r="V5">
        <f>NEWagg!X5</f>
        <v>98.245614035087712</v>
      </c>
      <c r="W5">
        <f>NEWagg!Y5</f>
        <v>96.875</v>
      </c>
      <c r="X5">
        <f>NEWagg!Z5</f>
        <v>96.946564885496173</v>
      </c>
      <c r="Y5">
        <f>NEWagg!AA5</f>
        <v>94.776119402985074</v>
      </c>
      <c r="Z5">
        <f>NEWagg!AB5</f>
        <v>96.120689655172413</v>
      </c>
      <c r="AA5">
        <f>NEWagg!AC5</f>
        <v>95.39007092198581</v>
      </c>
      <c r="AB5">
        <f>NEWagg!AD5</f>
        <v>95</v>
      </c>
      <c r="AC5">
        <f>NEWagg!AE5</f>
        <v>94.797687861271669</v>
      </c>
      <c r="AD5">
        <f>NEWagg!AF5</f>
        <v>94.696969696969703</v>
      </c>
      <c r="AE5">
        <f>NEWagg!AG5</f>
        <v>95.220125786163521</v>
      </c>
      <c r="AF5">
        <f>NEWagg!AH5</f>
        <v>95.724907063197023</v>
      </c>
      <c r="AG5">
        <f>NEWagg!AI5</f>
        <v>95.930232558139537</v>
      </c>
      <c r="AH5">
        <f>NEWagg!AJ5</f>
        <v>95.924170616113742</v>
      </c>
      <c r="AI5">
        <f>NEWagg!AK5</f>
        <v>94.668470906630589</v>
      </c>
      <c r="AJ5">
        <f>NEWagg!AL5</f>
        <v>95.761166818596166</v>
      </c>
      <c r="AK5">
        <f>NEWagg!AM5</f>
        <v>95.514675485737911</v>
      </c>
      <c r="AL5">
        <f>NEWagg!AN5</f>
        <v>95.070162481536187</v>
      </c>
      <c r="AM5">
        <f>NEWagg!AO5</f>
        <v>93.862520458265138</v>
      </c>
      <c r="AN5">
        <f>NEWagg!AP5</f>
        <v>94.645737017524993</v>
      </c>
      <c r="AO5">
        <f>NEWagg!AQ5</f>
        <v>95.26567250615318</v>
      </c>
      <c r="AP5">
        <f>NEWagg!AR5</f>
        <v>95.435868259687723</v>
      </c>
      <c r="AQ5">
        <f>NEWagg!AS5</f>
        <v>95.327772709500849</v>
      </c>
      <c r="AR5">
        <f>NEWagg!AT5</f>
        <v>95.630857966834895</v>
      </c>
      <c r="AS5">
        <f>NEWagg!AU5</f>
        <v>95.604751619870413</v>
      </c>
    </row>
    <row r="6" spans="9:45" x14ac:dyDescent="0.3">
      <c r="I6" t="str">
        <f>NEWagg!K6</f>
        <v>Core clinical journal</v>
      </c>
      <c r="W6">
        <f>NEWagg!Y6</f>
        <v>100</v>
      </c>
      <c r="X6">
        <f>NEWagg!Z6</f>
        <v>96</v>
      </c>
      <c r="Y6">
        <f>NEWagg!AA6</f>
        <v>100</v>
      </c>
      <c r="Z6">
        <f>NEWagg!AB6</f>
        <v>100</v>
      </c>
      <c r="AA6">
        <f>NEWagg!AC6</f>
        <v>96.969696969696969</v>
      </c>
      <c r="AB6">
        <f>NEWagg!AD6</f>
        <v>97.51381215469614</v>
      </c>
      <c r="AC6">
        <f>NEWagg!AE6</f>
        <v>96.860282574568288</v>
      </c>
      <c r="AD6">
        <f>NEWagg!AF6</f>
        <v>96.561210453920225</v>
      </c>
      <c r="AE6">
        <f>NEWagg!AG6</f>
        <v>97.622192866578601</v>
      </c>
      <c r="AF6">
        <f>NEWagg!AH6</f>
        <v>95.913154533844192</v>
      </c>
      <c r="AG6">
        <f>NEWagg!AI6</f>
        <v>97.215777262180964</v>
      </c>
      <c r="AH6">
        <f>NEWagg!AJ6</f>
        <v>96.392229417206295</v>
      </c>
      <c r="AI6">
        <f>NEWagg!AK6</f>
        <v>97.984683595324469</v>
      </c>
      <c r="AJ6">
        <f>NEWagg!AL6</f>
        <v>98.031945236737016</v>
      </c>
      <c r="AK6">
        <f>NEWagg!AM6</f>
        <v>97.355623100303958</v>
      </c>
      <c r="AL6">
        <f>NEWagg!AN6</f>
        <v>96.589658965896589</v>
      </c>
      <c r="AM6">
        <f>NEWagg!AO6</f>
        <v>95.789735924265074</v>
      </c>
      <c r="AN6">
        <f>NEWagg!AP6</f>
        <v>92.806922660897783</v>
      </c>
      <c r="AO6">
        <f>NEWagg!AQ6</f>
        <v>93.595594020456332</v>
      </c>
      <c r="AP6">
        <f>NEWagg!AR6</f>
        <v>95.674044265593565</v>
      </c>
      <c r="AQ6">
        <f>NEWagg!AS6</f>
        <v>97.450369793694051</v>
      </c>
      <c r="AR6">
        <f>NEWagg!AT6</f>
        <v>98.316498316498311</v>
      </c>
      <c r="AS6">
        <f>NEWagg!AU6</f>
        <v>97.669434770961701</v>
      </c>
    </row>
    <row r="7" spans="9:45" x14ac:dyDescent="0.3">
      <c r="I7" t="str">
        <f>NEWagg!K7</f>
        <v>All MEDLINE</v>
      </c>
      <c r="J7">
        <f>NEWagg!L7</f>
        <v>93.333333333333329</v>
      </c>
      <c r="K7">
        <f>NEWagg!M7</f>
        <v>92.857142857142861</v>
      </c>
      <c r="L7">
        <f>NEWagg!N7</f>
        <v>86.666666666666671</v>
      </c>
      <c r="M7">
        <f>NEWagg!O7</f>
        <v>90</v>
      </c>
      <c r="N7">
        <f>NEWagg!P7</f>
        <v>90.697674418604649</v>
      </c>
      <c r="O7">
        <f>NEWagg!Q7</f>
        <v>84.615384615384613</v>
      </c>
      <c r="P7">
        <f>NEWagg!R7</f>
        <v>93.61702127659575</v>
      </c>
      <c r="Q7">
        <f>NEWagg!S7</f>
        <v>95.39473684210526</v>
      </c>
      <c r="R7">
        <f>NEWagg!T7</f>
        <v>95.607235142118867</v>
      </c>
      <c r="S7">
        <f>NEWagg!U7</f>
        <v>94.145199063231857</v>
      </c>
      <c r="T7">
        <f>NEWagg!V7</f>
        <v>95.543672014260252</v>
      </c>
      <c r="U7">
        <f>NEWagg!W7</f>
        <v>96.055226824457591</v>
      </c>
      <c r="V7">
        <f>NEWagg!X7</f>
        <v>96.248534583821808</v>
      </c>
      <c r="W7">
        <f>NEWagg!Y7</f>
        <v>95.615514333895447</v>
      </c>
      <c r="X7">
        <f>NEWagg!Z7</f>
        <v>95.41232761047003</v>
      </c>
      <c r="Y7">
        <f>NEWagg!AA7</f>
        <v>96.370463078848559</v>
      </c>
      <c r="Z7">
        <f>NEWagg!AB7</f>
        <v>95.768874785138166</v>
      </c>
      <c r="AA7">
        <f>NEWagg!AC7</f>
        <v>96.20106761565836</v>
      </c>
      <c r="AB7">
        <f>NEWagg!AD7</f>
        <v>96.343162293940097</v>
      </c>
      <c r="AC7">
        <f>NEWagg!AE7</f>
        <v>96.531356038708054</v>
      </c>
      <c r="AD7">
        <f>NEWagg!AF7</f>
        <v>96.689048390831218</v>
      </c>
      <c r="AE7">
        <f>NEWagg!AG7</f>
        <v>96.960884702027442</v>
      </c>
      <c r="AF7">
        <f>NEWagg!AH7</f>
        <v>97.269801873042908</v>
      </c>
      <c r="AG7">
        <f>NEWagg!AI7</f>
        <v>97.221978984238177</v>
      </c>
      <c r="AH7">
        <f>NEWagg!AJ7</f>
        <v>97.202060301051034</v>
      </c>
      <c r="AI7">
        <f>NEWagg!AK7</f>
        <v>97.275131442244117</v>
      </c>
      <c r="AJ7">
        <f>NEWagg!AL7</f>
        <v>97.345530367385336</v>
      </c>
      <c r="AK7">
        <f>NEWagg!AM7</f>
        <v>97.243732692920332</v>
      </c>
      <c r="AL7">
        <f>NEWagg!AN7</f>
        <v>97.228980271513649</v>
      </c>
      <c r="AM7">
        <f>NEWagg!AO7</f>
        <v>97.221197172156621</v>
      </c>
      <c r="AN7">
        <f>NEWagg!AP7</f>
        <v>97.166995254282426</v>
      </c>
      <c r="AO7">
        <f>NEWagg!AQ7</f>
        <v>97.294866453068209</v>
      </c>
      <c r="AP7">
        <f>NEWagg!AR7</f>
        <v>97.358752010324878</v>
      </c>
      <c r="AQ7">
        <f>NEWagg!AS7</f>
        <v>97.389272539139824</v>
      </c>
      <c r="AR7">
        <f>NEWagg!AT7</f>
        <v>97.50263397313762</v>
      </c>
      <c r="AS7">
        <f>NEWagg!AU7</f>
        <v>97.599683897679057</v>
      </c>
    </row>
    <row r="8" spans="9:45" x14ac:dyDescent="0.3">
      <c r="I8" t="str">
        <f>NEWagg!K8</f>
        <v>Observational study</v>
      </c>
      <c r="AF8">
        <f>NEWagg!AH8</f>
        <v>97.872340425531917</v>
      </c>
      <c r="AG8">
        <f>NEWagg!AI8</f>
        <v>97.4609375</v>
      </c>
      <c r="AH8">
        <f>NEWagg!AJ8</f>
        <v>96.277915632754343</v>
      </c>
      <c r="AI8">
        <f>NEWagg!AK8</f>
        <v>98.235294117647058</v>
      </c>
      <c r="AJ8">
        <f>NEWagg!AL8</f>
        <v>97.684291779235821</v>
      </c>
      <c r="AK8">
        <f>NEWagg!AM8</f>
        <v>97.462437395659435</v>
      </c>
      <c r="AL8">
        <f>NEWagg!AN8</f>
        <v>98.181276088252829</v>
      </c>
      <c r="AM8">
        <f>NEWagg!AO8</f>
        <v>98.024750118990951</v>
      </c>
      <c r="AN8">
        <f>NEWagg!AP8</f>
        <v>97.909790979097906</v>
      </c>
      <c r="AO8">
        <f>NEWagg!AQ8</f>
        <v>98</v>
      </c>
      <c r="AP8">
        <f>NEWagg!AR8</f>
        <v>97.564126222550286</v>
      </c>
      <c r="AQ8">
        <f>NEWagg!AS8</f>
        <v>98.106305143103071</v>
      </c>
      <c r="AR8">
        <f>NEWagg!AT8</f>
        <v>98.068557508265187</v>
      </c>
      <c r="AS8">
        <f>NEWagg!AU8</f>
        <v>98.049969530773922</v>
      </c>
    </row>
    <row r="9" spans="9:45" x14ac:dyDescent="0.3">
      <c r="I9" t="str">
        <f>NEWagg!K9</f>
        <v>Systematic review</v>
      </c>
      <c r="X9">
        <f>NEWagg!Z9</f>
        <v>93.75</v>
      </c>
      <c r="Y9">
        <f>NEWagg!AA9</f>
        <v>93.333333333333329</v>
      </c>
      <c r="Z9">
        <f>NEWagg!AB9</f>
        <v>90.476190476190482</v>
      </c>
      <c r="AA9">
        <f>NEWagg!AC9</f>
        <v>96.226415094339629</v>
      </c>
      <c r="AB9">
        <f>NEWagg!AD9</f>
        <v>95.652173913043484</v>
      </c>
      <c r="AC9">
        <f>NEWagg!AE9</f>
        <v>90.647482014388487</v>
      </c>
      <c r="AD9">
        <f>NEWagg!AF9</f>
        <v>92.307692307692307</v>
      </c>
      <c r="AE9">
        <f>NEWagg!AG9</f>
        <v>94.0625</v>
      </c>
      <c r="AF9">
        <f>NEWagg!AH9</f>
        <v>92.553191489361694</v>
      </c>
      <c r="AG9">
        <f>NEWagg!AI9</f>
        <v>92.887029288702934</v>
      </c>
      <c r="AH9">
        <f>NEWagg!AJ9</f>
        <v>93.529971455756424</v>
      </c>
      <c r="AI9">
        <f>NEWagg!AK9</f>
        <v>95.136330140014735</v>
      </c>
      <c r="AJ9">
        <f>NEWagg!AL9</f>
        <v>92.687277051129612</v>
      </c>
      <c r="AK9">
        <f>NEWagg!AM9</f>
        <v>93.633692458374142</v>
      </c>
      <c r="AL9">
        <f>NEWagg!AN9</f>
        <v>94.09881061299177</v>
      </c>
      <c r="AM9">
        <f>NEWagg!AO9</f>
        <v>94.530113471050342</v>
      </c>
      <c r="AN9">
        <f>NEWagg!AP9</f>
        <v>94.510481953749732</v>
      </c>
      <c r="AO9">
        <f>NEWagg!AQ9</f>
        <v>95.017629924881192</v>
      </c>
      <c r="AP9">
        <f>NEWagg!AR9</f>
        <v>95.05789662170227</v>
      </c>
      <c r="AQ9">
        <f>NEWagg!AS9</f>
        <v>95.38978494623656</v>
      </c>
      <c r="AR9">
        <f>NEWagg!AT9</f>
        <v>95.873320537428015</v>
      </c>
      <c r="AS9">
        <f>NEWagg!AU9</f>
        <v>95.515695067264573</v>
      </c>
    </row>
    <row r="12" spans="9:45" x14ac:dyDescent="0.3">
      <c r="W12" t="s">
        <v>13</v>
      </c>
    </row>
    <row r="47" spans="12:12" ht="18" customHeight="1" x14ac:dyDescent="0.3">
      <c r="L47" s="1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2C4D9-8136-4D86-812B-9D1196D24A25}">
  <dimension ref="A1:AU40"/>
  <sheetViews>
    <sheetView zoomScale="40" zoomScaleNormal="40" workbookViewId="0">
      <selection activeCell="K1" sqref="K1:AU9"/>
    </sheetView>
  </sheetViews>
  <sheetFormatPr defaultRowHeight="17.25" x14ac:dyDescent="0.3"/>
  <sheetData>
    <row r="1" spans="1:47" x14ac:dyDescent="0.3">
      <c r="A1" t="s">
        <v>0</v>
      </c>
      <c r="B1" t="s">
        <v>10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12</v>
      </c>
      <c r="K1" t="str" cm="1">
        <f t="array" ref="K1:AU9">TRANSPOSE(A1:I37)</f>
        <v>Year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  <c r="AS1">
        <v>2023</v>
      </c>
      <c r="AT1">
        <v>2024</v>
      </c>
      <c r="AU1">
        <v>2025</v>
      </c>
    </row>
    <row r="2" spans="1:47" x14ac:dyDescent="0.3">
      <c r="A2">
        <v>1990</v>
      </c>
      <c r="B2" t="e">
        <f>RCT!D2</f>
        <v>#DIV/0!</v>
      </c>
      <c r="C2">
        <f>CT!D2</f>
        <v>100</v>
      </c>
      <c r="D2" t="e">
        <f>META!D2</f>
        <v>#DIV/0!</v>
      </c>
      <c r="E2" t="e">
        <f>REVIEW!D2</f>
        <v>#DIV/0!</v>
      </c>
      <c r="F2" t="e">
        <f>CCJ!D2</f>
        <v>#DIV/0!</v>
      </c>
      <c r="G2">
        <f>ALL!D2</f>
        <v>93.333333333333329</v>
      </c>
      <c r="H2" t="e">
        <f>OBS!D2</f>
        <v>#DIV/0!</v>
      </c>
      <c r="I2" t="e">
        <f>SYSREV!D2</f>
        <v>#DIV/0!</v>
      </c>
      <c r="K2" t="str">
        <v>Randomized controlled trial</v>
      </c>
      <c r="L2" t="e">
        <v>#DIV/0!</v>
      </c>
      <c r="M2" t="e">
        <v>#DIV/0!</v>
      </c>
      <c r="N2" t="e">
        <v>#DIV/0!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80</v>
      </c>
      <c r="V2">
        <v>100</v>
      </c>
      <c r="W2">
        <v>80</v>
      </c>
      <c r="X2">
        <v>92</v>
      </c>
      <c r="Y2">
        <v>98</v>
      </c>
      <c r="Z2">
        <v>91.472868217054256</v>
      </c>
      <c r="AA2">
        <v>94.078947368421055</v>
      </c>
      <c r="AB2">
        <v>93.969849246231149</v>
      </c>
      <c r="AC2">
        <v>95.879120879120876</v>
      </c>
      <c r="AD2">
        <v>97.50830564784053</v>
      </c>
      <c r="AE2">
        <v>96.024844720496887</v>
      </c>
      <c r="AF2">
        <v>96.326905417814515</v>
      </c>
      <c r="AG2">
        <v>96.714848883048617</v>
      </c>
      <c r="AH2">
        <v>96.408120770432078</v>
      </c>
      <c r="AI2">
        <v>96.679389312977108</v>
      </c>
      <c r="AJ2">
        <v>96.391912908242617</v>
      </c>
      <c r="AK2">
        <v>96.798233508142431</v>
      </c>
      <c r="AL2">
        <v>96.844783715012724</v>
      </c>
      <c r="AM2">
        <v>96.248263084761462</v>
      </c>
      <c r="AN2">
        <v>96.02481617647058</v>
      </c>
      <c r="AO2">
        <v>96.225649350649363</v>
      </c>
      <c r="AP2">
        <v>96.565724919641355</v>
      </c>
      <c r="AQ2">
        <v>96.504100129477777</v>
      </c>
      <c r="AR2">
        <v>96.793419954702586</v>
      </c>
      <c r="AS2">
        <v>96.906919867644945</v>
      </c>
      <c r="AT2">
        <v>96.771643167742781</v>
      </c>
      <c r="AU2">
        <v>97.123331214240309</v>
      </c>
    </row>
    <row r="3" spans="1:47" x14ac:dyDescent="0.3">
      <c r="A3">
        <v>1991</v>
      </c>
      <c r="B3" t="e">
        <f>RCT!D3</f>
        <v>#DIV/0!</v>
      </c>
      <c r="C3" t="e">
        <f>CT!D3</f>
        <v>#DIV/0!</v>
      </c>
      <c r="D3" t="e">
        <f>META!D3</f>
        <v>#DIV/0!</v>
      </c>
      <c r="E3" t="e">
        <f>REVIEW!D3</f>
        <v>#DIV/0!</v>
      </c>
      <c r="F3" t="e">
        <f>CCJ!D3</f>
        <v>#DIV/0!</v>
      </c>
      <c r="G3">
        <f>ALL!D3</f>
        <v>92.857142857142861</v>
      </c>
      <c r="H3" t="e">
        <f>OBS!D3</f>
        <v>#DIV/0!</v>
      </c>
      <c r="I3" t="e">
        <f>SYSREV!D3</f>
        <v>#DIV/0!</v>
      </c>
      <c r="K3" t="str">
        <v>Clinical trial</v>
      </c>
      <c r="L3">
        <v>100</v>
      </c>
      <c r="M3" t="e">
        <v>#DIV/0!</v>
      </c>
      <c r="N3" t="e">
        <v>#DIV/0!</v>
      </c>
      <c r="O3">
        <v>100</v>
      </c>
      <c r="P3">
        <v>100</v>
      </c>
      <c r="Q3">
        <v>66.666666666666657</v>
      </c>
      <c r="R3">
        <v>100</v>
      </c>
      <c r="S3">
        <v>100</v>
      </c>
      <c r="T3">
        <v>100</v>
      </c>
      <c r="U3">
        <v>90</v>
      </c>
      <c r="V3">
        <v>100</v>
      </c>
      <c r="W3">
        <v>91.891891891891902</v>
      </c>
      <c r="X3">
        <v>92</v>
      </c>
      <c r="Y3">
        <v>96.261682242990659</v>
      </c>
      <c r="Z3">
        <v>92.946058091286304</v>
      </c>
      <c r="AA3">
        <v>95.705521472392647</v>
      </c>
      <c r="AB3">
        <v>96.907216494845358</v>
      </c>
      <c r="AC3">
        <v>97.41379310344827</v>
      </c>
      <c r="AD3">
        <v>96</v>
      </c>
      <c r="AE3">
        <v>100</v>
      </c>
      <c r="AF3">
        <v>97.288135593220332</v>
      </c>
      <c r="AG3">
        <v>97.601918465227826</v>
      </c>
      <c r="AH3">
        <v>98.365122615803813</v>
      </c>
      <c r="AI3">
        <v>97.560975609756099</v>
      </c>
      <c r="AJ3">
        <v>97.372742200328418</v>
      </c>
      <c r="AK3">
        <v>97.672552166934196</v>
      </c>
      <c r="AL3">
        <v>98.516783762685407</v>
      </c>
      <c r="AM3">
        <v>97.433704020530371</v>
      </c>
      <c r="AN3">
        <v>97.869593285990959</v>
      </c>
      <c r="AO3">
        <v>98.363431151241528</v>
      </c>
      <c r="AP3">
        <v>98.37601499063085</v>
      </c>
      <c r="AQ3">
        <v>97.557172557172549</v>
      </c>
      <c r="AR3">
        <v>98.357821953327573</v>
      </c>
      <c r="AS3">
        <v>98.212157330154952</v>
      </c>
      <c r="AT3">
        <v>98.470097357440892</v>
      </c>
      <c r="AU3">
        <v>97.837837837837839</v>
      </c>
    </row>
    <row r="4" spans="1:47" x14ac:dyDescent="0.3">
      <c r="A4">
        <f>A2+2</f>
        <v>1992</v>
      </c>
      <c r="B4" t="e">
        <f>RCT!D4</f>
        <v>#DIV/0!</v>
      </c>
      <c r="C4" t="e">
        <f>CT!D4</f>
        <v>#DIV/0!</v>
      </c>
      <c r="D4" t="e">
        <f>META!D4</f>
        <v>#DIV/0!</v>
      </c>
      <c r="E4" t="e">
        <f>REVIEW!D4</f>
        <v>#DIV/0!</v>
      </c>
      <c r="F4" t="e">
        <f>CCJ!D4</f>
        <v>#DIV/0!</v>
      </c>
      <c r="G4">
        <f>ALL!D4</f>
        <v>86.666666666666671</v>
      </c>
      <c r="H4" t="e">
        <f>OBS!D4</f>
        <v>#DIV/0!</v>
      </c>
      <c r="I4" t="e">
        <f>SYSREV!D4</f>
        <v>#DIV/0!</v>
      </c>
      <c r="K4" t="str">
        <v>Meta-analysis</v>
      </c>
      <c r="L4" t="e">
        <v>#DIV/0!</v>
      </c>
      <c r="M4" t="e">
        <v>#DIV/0!</v>
      </c>
      <c r="N4" t="e">
        <v>#DIV/0!</v>
      </c>
      <c r="O4" t="e">
        <v>#DIV/0!</v>
      </c>
      <c r="P4" t="e">
        <v>#DIV/0!</v>
      </c>
      <c r="Q4" t="e">
        <v>#DIV/0!</v>
      </c>
      <c r="R4" t="e">
        <v>#DIV/0!</v>
      </c>
      <c r="S4" t="e">
        <v>#DIV/0!</v>
      </c>
      <c r="T4" t="e">
        <v>#DIV/0!</v>
      </c>
      <c r="U4">
        <v>100</v>
      </c>
      <c r="V4" t="e">
        <v>#DIV/0!</v>
      </c>
      <c r="W4">
        <v>100</v>
      </c>
      <c r="X4">
        <v>100</v>
      </c>
      <c r="Y4">
        <v>100</v>
      </c>
      <c r="Z4">
        <v>91.666666666666657</v>
      </c>
      <c r="AA4">
        <v>89.189189189189193</v>
      </c>
      <c r="AB4">
        <v>88.63636363636364</v>
      </c>
      <c r="AC4">
        <v>98.181818181818187</v>
      </c>
      <c r="AD4">
        <v>95.689655172413794</v>
      </c>
      <c r="AE4">
        <v>91.477272727272734</v>
      </c>
      <c r="AF4">
        <v>89.961389961389955</v>
      </c>
      <c r="AG4">
        <v>93.287037037037038</v>
      </c>
      <c r="AH4">
        <v>95.20451339915374</v>
      </c>
      <c r="AI4">
        <v>94.494658997534913</v>
      </c>
      <c r="AJ4">
        <v>95.110024449877756</v>
      </c>
      <c r="AK4">
        <v>95.541706615532121</v>
      </c>
      <c r="AL4">
        <v>94.547609640458319</v>
      </c>
      <c r="AM4">
        <v>95.086271567891984</v>
      </c>
      <c r="AN4">
        <v>94.877675840978597</v>
      </c>
      <c r="AO4">
        <v>94.807574832009777</v>
      </c>
      <c r="AP4">
        <v>94.986743793685221</v>
      </c>
      <c r="AQ4">
        <v>95.157680569684644</v>
      </c>
      <c r="AR4">
        <v>95.005905179686181</v>
      </c>
      <c r="AS4">
        <v>95.856164383561648</v>
      </c>
      <c r="AT4">
        <v>95.910354981187623</v>
      </c>
      <c r="AU4">
        <v>95.515308322552826</v>
      </c>
    </row>
    <row r="5" spans="1:47" x14ac:dyDescent="0.3">
      <c r="A5">
        <f t="shared" ref="A5:A36" si="0">A3+2</f>
        <v>1993</v>
      </c>
      <c r="B5">
        <f>RCT!D5</f>
        <v>100</v>
      </c>
      <c r="C5">
        <f>CT!D5</f>
        <v>100</v>
      </c>
      <c r="D5" t="e">
        <f>META!D5</f>
        <v>#DIV/0!</v>
      </c>
      <c r="E5" t="e">
        <f>REVIEW!D5</f>
        <v>#DIV/0!</v>
      </c>
      <c r="F5" t="e">
        <f>CCJ!D5</f>
        <v>#DIV/0!</v>
      </c>
      <c r="G5">
        <f>ALL!D5</f>
        <v>90</v>
      </c>
      <c r="H5" t="e">
        <f>OBS!D5</f>
        <v>#DIV/0!</v>
      </c>
      <c r="I5" t="e">
        <f>SYSREV!D5</f>
        <v>#DIV/0!</v>
      </c>
      <c r="K5" t="str">
        <v>Review</v>
      </c>
      <c r="L5" t="e">
        <v>#DIV/0!</v>
      </c>
      <c r="M5" t="e">
        <v>#DIV/0!</v>
      </c>
      <c r="N5" t="e">
        <v>#DIV/0!</v>
      </c>
      <c r="O5" t="e">
        <v>#DIV/0!</v>
      </c>
      <c r="P5">
        <v>75</v>
      </c>
      <c r="Q5">
        <v>100</v>
      </c>
      <c r="R5">
        <v>100</v>
      </c>
      <c r="S5">
        <v>100</v>
      </c>
      <c r="T5">
        <v>88.888888888888886</v>
      </c>
      <c r="U5">
        <v>100</v>
      </c>
      <c r="V5">
        <v>100</v>
      </c>
      <c r="W5">
        <v>95.833333333333343</v>
      </c>
      <c r="X5">
        <v>98.245614035087712</v>
      </c>
      <c r="Y5">
        <v>96.875</v>
      </c>
      <c r="Z5">
        <v>96.946564885496173</v>
      </c>
      <c r="AA5">
        <v>94.776119402985074</v>
      </c>
      <c r="AB5">
        <v>96.120689655172413</v>
      </c>
      <c r="AC5">
        <v>95.39007092198581</v>
      </c>
      <c r="AD5">
        <v>95</v>
      </c>
      <c r="AE5">
        <v>94.797687861271669</v>
      </c>
      <c r="AF5">
        <v>94.696969696969703</v>
      </c>
      <c r="AG5">
        <v>95.220125786163521</v>
      </c>
      <c r="AH5">
        <v>95.724907063197023</v>
      </c>
      <c r="AI5">
        <v>95.930232558139537</v>
      </c>
      <c r="AJ5">
        <v>95.924170616113742</v>
      </c>
      <c r="AK5">
        <v>94.668470906630589</v>
      </c>
      <c r="AL5">
        <v>95.761166818596166</v>
      </c>
      <c r="AM5">
        <v>95.514675485737911</v>
      </c>
      <c r="AN5">
        <v>95.070162481536187</v>
      </c>
      <c r="AO5">
        <v>93.862520458265138</v>
      </c>
      <c r="AP5">
        <v>94.645737017524993</v>
      </c>
      <c r="AQ5">
        <v>95.26567250615318</v>
      </c>
      <c r="AR5">
        <v>95.435868259687723</v>
      </c>
      <c r="AS5">
        <v>95.327772709500849</v>
      </c>
      <c r="AT5">
        <v>95.630857966834895</v>
      </c>
      <c r="AU5">
        <v>95.604751619870413</v>
      </c>
    </row>
    <row r="6" spans="1:47" x14ac:dyDescent="0.3">
      <c r="A6">
        <f t="shared" si="0"/>
        <v>1994</v>
      </c>
      <c r="B6">
        <f>RCT!D6</f>
        <v>100</v>
      </c>
      <c r="C6">
        <f>CT!D6</f>
        <v>100</v>
      </c>
      <c r="D6" t="e">
        <f>META!D6</f>
        <v>#DIV/0!</v>
      </c>
      <c r="E6">
        <f>REVIEW!D6</f>
        <v>75</v>
      </c>
      <c r="F6" t="e">
        <f>CCJ!D6</f>
        <v>#DIV/0!</v>
      </c>
      <c r="G6">
        <f>ALL!D6</f>
        <v>90.697674418604649</v>
      </c>
      <c r="H6" t="e">
        <f>OBS!D6</f>
        <v>#DIV/0!</v>
      </c>
      <c r="I6" t="e">
        <f>SYSREV!D6</f>
        <v>#DIV/0!</v>
      </c>
      <c r="K6" t="str">
        <v>Core clinical journal</v>
      </c>
      <c r="L6" t="e">
        <v>#DIV/0!</v>
      </c>
      <c r="M6" t="e">
        <v>#DIV/0!</v>
      </c>
      <c r="N6" t="e">
        <v>#DIV/0!</v>
      </c>
      <c r="O6" t="e">
        <v>#DIV/0!</v>
      </c>
      <c r="P6" t="e">
        <v>#DIV/0!</v>
      </c>
      <c r="Q6">
        <v>100</v>
      </c>
      <c r="R6">
        <v>100</v>
      </c>
      <c r="S6">
        <v>100</v>
      </c>
      <c r="T6">
        <v>80</v>
      </c>
      <c r="U6">
        <v>100</v>
      </c>
      <c r="V6">
        <v>100</v>
      </c>
      <c r="W6">
        <v>100</v>
      </c>
      <c r="X6">
        <v>100</v>
      </c>
      <c r="Y6">
        <v>100</v>
      </c>
      <c r="Z6">
        <v>96</v>
      </c>
      <c r="AA6">
        <v>100</v>
      </c>
      <c r="AB6">
        <v>100</v>
      </c>
      <c r="AC6">
        <v>96.969696969696969</v>
      </c>
      <c r="AD6">
        <v>97.51381215469614</v>
      </c>
      <c r="AE6">
        <v>96.860282574568288</v>
      </c>
      <c r="AF6">
        <v>96.561210453920225</v>
      </c>
      <c r="AG6">
        <v>97.622192866578601</v>
      </c>
      <c r="AH6">
        <v>95.913154533844192</v>
      </c>
      <c r="AI6">
        <v>97.215777262180964</v>
      </c>
      <c r="AJ6">
        <v>96.392229417206295</v>
      </c>
      <c r="AK6">
        <v>97.984683595324469</v>
      </c>
      <c r="AL6">
        <v>98.031945236737016</v>
      </c>
      <c r="AM6">
        <v>97.355623100303958</v>
      </c>
      <c r="AN6">
        <v>96.589658965896589</v>
      </c>
      <c r="AO6">
        <v>95.789735924265074</v>
      </c>
      <c r="AP6">
        <v>92.806922660897783</v>
      </c>
      <c r="AQ6">
        <v>93.595594020456332</v>
      </c>
      <c r="AR6">
        <v>95.674044265593565</v>
      </c>
      <c r="AS6">
        <v>97.450369793694051</v>
      </c>
      <c r="AT6">
        <v>98.316498316498311</v>
      </c>
      <c r="AU6">
        <v>97.669434770961701</v>
      </c>
    </row>
    <row r="7" spans="1:47" x14ac:dyDescent="0.3">
      <c r="A7">
        <f t="shared" si="0"/>
        <v>1995</v>
      </c>
      <c r="B7">
        <f>RCT!D7</f>
        <v>100</v>
      </c>
      <c r="C7">
        <f>CT!D7</f>
        <v>66.666666666666657</v>
      </c>
      <c r="D7" t="e">
        <f>META!D7</f>
        <v>#DIV/0!</v>
      </c>
      <c r="E7">
        <f>REVIEW!D7</f>
        <v>100</v>
      </c>
      <c r="F7">
        <f>CCJ!D7</f>
        <v>100</v>
      </c>
      <c r="G7">
        <f>ALL!D7</f>
        <v>84.615384615384613</v>
      </c>
      <c r="H7" t="e">
        <f>OBS!D7</f>
        <v>#DIV/0!</v>
      </c>
      <c r="I7" t="e">
        <f>SYSREV!D7</f>
        <v>#DIV/0!</v>
      </c>
      <c r="K7" t="str">
        <v>All MEDLINE</v>
      </c>
      <c r="L7">
        <v>93.333333333333329</v>
      </c>
      <c r="M7">
        <v>92.857142857142861</v>
      </c>
      <c r="N7">
        <v>86.666666666666671</v>
      </c>
      <c r="O7">
        <v>90</v>
      </c>
      <c r="P7">
        <v>90.697674418604649</v>
      </c>
      <c r="Q7">
        <v>84.615384615384613</v>
      </c>
      <c r="R7">
        <v>93.61702127659575</v>
      </c>
      <c r="S7">
        <v>95.39473684210526</v>
      </c>
      <c r="T7">
        <v>95.607235142118867</v>
      </c>
      <c r="U7">
        <v>94.145199063231857</v>
      </c>
      <c r="V7">
        <v>95.543672014260252</v>
      </c>
      <c r="W7">
        <v>96.055226824457591</v>
      </c>
      <c r="X7">
        <v>96.248534583821808</v>
      </c>
      <c r="Y7">
        <v>95.615514333895447</v>
      </c>
      <c r="Z7">
        <v>95.41232761047003</v>
      </c>
      <c r="AA7">
        <v>96.370463078848559</v>
      </c>
      <c r="AB7">
        <v>95.768874785138166</v>
      </c>
      <c r="AC7">
        <v>96.20106761565836</v>
      </c>
      <c r="AD7">
        <v>96.343162293940097</v>
      </c>
      <c r="AE7">
        <v>96.531356038708054</v>
      </c>
      <c r="AF7">
        <v>96.689048390831218</v>
      </c>
      <c r="AG7">
        <v>96.960884702027442</v>
      </c>
      <c r="AH7">
        <v>97.269801873042908</v>
      </c>
      <c r="AI7">
        <v>97.221978984238177</v>
      </c>
      <c r="AJ7">
        <v>97.202060301051034</v>
      </c>
      <c r="AK7">
        <v>97.275131442244117</v>
      </c>
      <c r="AL7">
        <v>97.345530367385336</v>
      </c>
      <c r="AM7">
        <v>97.243732692920332</v>
      </c>
      <c r="AN7">
        <v>97.228980271513649</v>
      </c>
      <c r="AO7">
        <v>97.221197172156621</v>
      </c>
      <c r="AP7">
        <v>97.166995254282426</v>
      </c>
      <c r="AQ7">
        <v>97.294866453068209</v>
      </c>
      <c r="AR7">
        <v>97.358752010324878</v>
      </c>
      <c r="AS7">
        <v>97.389272539139824</v>
      </c>
      <c r="AT7">
        <v>97.50263397313762</v>
      </c>
      <c r="AU7">
        <v>97.599683897679057</v>
      </c>
    </row>
    <row r="8" spans="1:47" x14ac:dyDescent="0.3">
      <c r="A8">
        <f t="shared" si="0"/>
        <v>1996</v>
      </c>
      <c r="B8">
        <f>RCT!D8</f>
        <v>100</v>
      </c>
      <c r="C8">
        <f>CT!D8</f>
        <v>100</v>
      </c>
      <c r="D8" t="e">
        <f>META!D8</f>
        <v>#DIV/0!</v>
      </c>
      <c r="E8">
        <f>REVIEW!D8</f>
        <v>100</v>
      </c>
      <c r="F8">
        <f>CCJ!D8</f>
        <v>100</v>
      </c>
      <c r="G8">
        <f>ALL!D8</f>
        <v>93.61702127659575</v>
      </c>
      <c r="H8" t="e">
        <f>OBS!D8</f>
        <v>#DIV/0!</v>
      </c>
      <c r="I8" t="e">
        <f>SYSREV!D8</f>
        <v>#DIV/0!</v>
      </c>
      <c r="K8" t="str">
        <v>Observational study</v>
      </c>
      <c r="L8" t="e">
        <v>#DIV/0!</v>
      </c>
      <c r="M8" t="e">
        <v>#DIV/0!</v>
      </c>
      <c r="N8" t="e">
        <v>#DIV/0!</v>
      </c>
      <c r="O8" t="e">
        <v>#DIV/0!</v>
      </c>
      <c r="P8" t="e">
        <v>#DIV/0!</v>
      </c>
      <c r="Q8" t="e">
        <v>#DIV/0!</v>
      </c>
      <c r="R8" t="e">
        <v>#DIV/0!</v>
      </c>
      <c r="S8" t="e">
        <v>#DIV/0!</v>
      </c>
      <c r="T8" t="e">
        <v>#DIV/0!</v>
      </c>
      <c r="U8" t="e">
        <v>#DIV/0!</v>
      </c>
      <c r="V8" t="e">
        <v>#DIV/0!</v>
      </c>
      <c r="W8" t="e">
        <v>#DIV/0!</v>
      </c>
      <c r="X8" t="e">
        <v>#DIV/0!</v>
      </c>
      <c r="Y8" t="e">
        <v>#DIV/0!</v>
      </c>
      <c r="Z8" t="e">
        <v>#DIV/0!</v>
      </c>
      <c r="AA8" t="e">
        <v>#DIV/0!</v>
      </c>
      <c r="AB8">
        <v>100</v>
      </c>
      <c r="AC8" t="e">
        <v>#DIV/0!</v>
      </c>
      <c r="AD8" t="e">
        <v>#DIV/0!</v>
      </c>
      <c r="AE8" t="e">
        <v>#DIV/0!</v>
      </c>
      <c r="AF8" t="e">
        <v>#DIV/0!</v>
      </c>
      <c r="AG8">
        <v>100</v>
      </c>
      <c r="AH8">
        <v>97.872340425531917</v>
      </c>
      <c r="AI8">
        <v>97.4609375</v>
      </c>
      <c r="AJ8">
        <v>96.277915632754343</v>
      </c>
      <c r="AK8">
        <v>98.235294117647058</v>
      </c>
      <c r="AL8">
        <v>97.684291779235821</v>
      </c>
      <c r="AM8">
        <v>97.462437395659435</v>
      </c>
      <c r="AN8">
        <v>98.181276088252829</v>
      </c>
      <c r="AO8">
        <v>98.024750118990951</v>
      </c>
      <c r="AP8">
        <v>97.909790979097906</v>
      </c>
      <c r="AQ8">
        <v>98</v>
      </c>
      <c r="AR8">
        <v>97.564126222550286</v>
      </c>
      <c r="AS8">
        <v>98.106305143103071</v>
      </c>
      <c r="AT8">
        <v>98.068557508265187</v>
      </c>
      <c r="AU8">
        <v>98.049969530773922</v>
      </c>
    </row>
    <row r="9" spans="1:47" x14ac:dyDescent="0.3">
      <c r="A9">
        <f t="shared" si="0"/>
        <v>1997</v>
      </c>
      <c r="B9">
        <f>RCT!D9</f>
        <v>100</v>
      </c>
      <c r="C9">
        <f>CT!D9</f>
        <v>100</v>
      </c>
      <c r="D9" t="e">
        <f>META!D9</f>
        <v>#DIV/0!</v>
      </c>
      <c r="E9">
        <f>REVIEW!D9</f>
        <v>100</v>
      </c>
      <c r="F9">
        <f>CCJ!D9</f>
        <v>100</v>
      </c>
      <c r="G9">
        <f>ALL!D9</f>
        <v>95.39473684210526</v>
      </c>
      <c r="H9" t="e">
        <f>OBS!D9</f>
        <v>#DIV/0!</v>
      </c>
      <c r="I9" t="e">
        <f>SYSREV!D9</f>
        <v>#DIV/0!</v>
      </c>
      <c r="K9" t="str">
        <v>Systematic review</v>
      </c>
      <c r="L9" t="e">
        <v>#DIV/0!</v>
      </c>
      <c r="M9" t="e">
        <v>#DIV/0!</v>
      </c>
      <c r="N9" t="e">
        <v>#DIV/0!</v>
      </c>
      <c r="O9" t="e">
        <v>#DIV/0!</v>
      </c>
      <c r="P9" t="e">
        <v>#DIV/0!</v>
      </c>
      <c r="Q9" t="e">
        <v>#DIV/0!</v>
      </c>
      <c r="R9" t="e">
        <v>#DIV/0!</v>
      </c>
      <c r="S9" t="e">
        <v>#DIV/0!</v>
      </c>
      <c r="T9" t="e">
        <v>#DIV/0!</v>
      </c>
      <c r="U9" t="e">
        <v>#DIV/0!</v>
      </c>
      <c r="V9">
        <v>100</v>
      </c>
      <c r="W9">
        <v>100</v>
      </c>
      <c r="X9">
        <v>90.909090909090907</v>
      </c>
      <c r="Y9">
        <v>87.5</v>
      </c>
      <c r="Z9">
        <v>93.75</v>
      </c>
      <c r="AA9">
        <v>93.333333333333329</v>
      </c>
      <c r="AB9">
        <v>90.476190476190482</v>
      </c>
      <c r="AC9">
        <v>96.226415094339629</v>
      </c>
      <c r="AD9">
        <v>95.652173913043484</v>
      </c>
      <c r="AE9">
        <v>90.647482014388487</v>
      </c>
      <c r="AF9">
        <v>92.307692307692307</v>
      </c>
      <c r="AG9">
        <v>94.0625</v>
      </c>
      <c r="AH9">
        <v>92.553191489361694</v>
      </c>
      <c r="AI9">
        <v>92.887029288702934</v>
      </c>
      <c r="AJ9">
        <v>93.529971455756424</v>
      </c>
      <c r="AK9">
        <v>95.136330140014735</v>
      </c>
      <c r="AL9">
        <v>92.687277051129612</v>
      </c>
      <c r="AM9">
        <v>93.633692458374142</v>
      </c>
      <c r="AN9">
        <v>94.09881061299177</v>
      </c>
      <c r="AO9">
        <v>94.530113471050342</v>
      </c>
      <c r="AP9">
        <v>94.510481953749732</v>
      </c>
      <c r="AQ9">
        <v>95.017629924881192</v>
      </c>
      <c r="AR9">
        <v>95.05789662170227</v>
      </c>
      <c r="AS9">
        <v>95.38978494623656</v>
      </c>
      <c r="AT9">
        <v>95.873320537428015</v>
      </c>
      <c r="AU9">
        <v>95.515695067264573</v>
      </c>
    </row>
    <row r="10" spans="1:47" x14ac:dyDescent="0.3">
      <c r="A10">
        <f t="shared" si="0"/>
        <v>1998</v>
      </c>
      <c r="B10">
        <f>RCT!D10</f>
        <v>100</v>
      </c>
      <c r="C10">
        <f>CT!D10</f>
        <v>100</v>
      </c>
      <c r="D10" t="e">
        <f>META!D10</f>
        <v>#DIV/0!</v>
      </c>
      <c r="E10">
        <f>REVIEW!D10</f>
        <v>88.888888888888886</v>
      </c>
      <c r="F10">
        <f>CCJ!D10</f>
        <v>80</v>
      </c>
      <c r="G10">
        <f>ALL!D10</f>
        <v>95.607235142118867</v>
      </c>
      <c r="H10" t="e">
        <f>OBS!D10</f>
        <v>#DIV/0!</v>
      </c>
      <c r="I10" t="e">
        <f>SYSREV!D10</f>
        <v>#DIV/0!</v>
      </c>
    </row>
    <row r="11" spans="1:47" x14ac:dyDescent="0.3">
      <c r="A11">
        <f t="shared" si="0"/>
        <v>1999</v>
      </c>
      <c r="B11">
        <f>RCT!D11</f>
        <v>80</v>
      </c>
      <c r="C11">
        <f>CT!D11</f>
        <v>90</v>
      </c>
      <c r="D11">
        <f>META!D11</f>
        <v>100</v>
      </c>
      <c r="E11">
        <f>REVIEW!D11</f>
        <v>100</v>
      </c>
      <c r="F11">
        <f>CCJ!D11</f>
        <v>100</v>
      </c>
      <c r="G11">
        <f>ALL!D11</f>
        <v>94.145199063231857</v>
      </c>
      <c r="H11" t="e">
        <f>OBS!D11</f>
        <v>#DIV/0!</v>
      </c>
      <c r="I11" t="e">
        <f>SYSREV!D11</f>
        <v>#DIV/0!</v>
      </c>
    </row>
    <row r="12" spans="1:47" x14ac:dyDescent="0.3">
      <c r="A12">
        <f t="shared" si="0"/>
        <v>2000</v>
      </c>
      <c r="B12">
        <f>RCT!D12</f>
        <v>100</v>
      </c>
      <c r="C12">
        <f>CT!D12</f>
        <v>100</v>
      </c>
      <c r="D12" t="e">
        <f>META!D12</f>
        <v>#DIV/0!</v>
      </c>
      <c r="E12">
        <f>REVIEW!D12</f>
        <v>100</v>
      </c>
      <c r="F12">
        <f>CCJ!D12</f>
        <v>100</v>
      </c>
      <c r="G12">
        <f>ALL!D12</f>
        <v>95.543672014260252</v>
      </c>
      <c r="H12" t="e">
        <f>OBS!D12</f>
        <v>#DIV/0!</v>
      </c>
      <c r="I12">
        <f>SYSREV!D12</f>
        <v>100</v>
      </c>
    </row>
    <row r="13" spans="1:47" x14ac:dyDescent="0.3">
      <c r="A13">
        <f t="shared" si="0"/>
        <v>2001</v>
      </c>
      <c r="B13">
        <f>RCT!D13</f>
        <v>80</v>
      </c>
      <c r="C13">
        <f>CT!D13</f>
        <v>91.891891891891902</v>
      </c>
      <c r="D13">
        <f>META!D13</f>
        <v>100</v>
      </c>
      <c r="E13">
        <f>REVIEW!D13</f>
        <v>95.833333333333343</v>
      </c>
      <c r="F13">
        <f>CCJ!D13</f>
        <v>100</v>
      </c>
      <c r="G13">
        <f>ALL!D13</f>
        <v>96.055226824457591</v>
      </c>
      <c r="H13" t="e">
        <f>OBS!D13</f>
        <v>#DIV/0!</v>
      </c>
      <c r="I13">
        <f>SYSREV!D13</f>
        <v>100</v>
      </c>
    </row>
    <row r="14" spans="1:47" x14ac:dyDescent="0.3">
      <c r="A14">
        <f t="shared" si="0"/>
        <v>2002</v>
      </c>
      <c r="B14">
        <f>RCT!D14</f>
        <v>92</v>
      </c>
      <c r="C14">
        <f>CT!D14</f>
        <v>92</v>
      </c>
      <c r="D14">
        <f>META!D14</f>
        <v>100</v>
      </c>
      <c r="E14">
        <f>REVIEW!D14</f>
        <v>98.245614035087712</v>
      </c>
      <c r="F14">
        <f>CCJ!D14</f>
        <v>100</v>
      </c>
      <c r="G14">
        <f>ALL!D14</f>
        <v>96.248534583821808</v>
      </c>
      <c r="H14" t="e">
        <f>OBS!D14</f>
        <v>#DIV/0!</v>
      </c>
      <c r="I14">
        <f>SYSREV!D14</f>
        <v>90.909090909090907</v>
      </c>
    </row>
    <row r="15" spans="1:47" x14ac:dyDescent="0.3">
      <c r="A15">
        <f t="shared" si="0"/>
        <v>2003</v>
      </c>
      <c r="B15">
        <f>RCT!D15</f>
        <v>98</v>
      </c>
      <c r="C15">
        <f>CT!D15</f>
        <v>96.261682242990659</v>
      </c>
      <c r="D15">
        <f>META!D15</f>
        <v>100</v>
      </c>
      <c r="E15">
        <f>REVIEW!D15</f>
        <v>96.875</v>
      </c>
      <c r="F15">
        <f>CCJ!D15</f>
        <v>100</v>
      </c>
      <c r="G15">
        <f>ALL!D15</f>
        <v>95.615514333895447</v>
      </c>
      <c r="H15" t="e">
        <f>OBS!D15</f>
        <v>#DIV/0!</v>
      </c>
      <c r="I15">
        <f>SYSREV!D15</f>
        <v>87.5</v>
      </c>
    </row>
    <row r="16" spans="1:47" x14ac:dyDescent="0.3">
      <c r="A16">
        <f t="shared" si="0"/>
        <v>2004</v>
      </c>
      <c r="B16">
        <f>RCT!D16</f>
        <v>91.472868217054256</v>
      </c>
      <c r="C16">
        <f>CT!D16</f>
        <v>92.946058091286304</v>
      </c>
      <c r="D16">
        <f>META!D16</f>
        <v>91.666666666666657</v>
      </c>
      <c r="E16">
        <f>REVIEW!D16</f>
        <v>96.946564885496173</v>
      </c>
      <c r="F16">
        <f>CCJ!D16</f>
        <v>96</v>
      </c>
      <c r="G16">
        <f>ALL!D16</f>
        <v>95.41232761047003</v>
      </c>
      <c r="H16" t="e">
        <f>OBS!D16</f>
        <v>#DIV/0!</v>
      </c>
      <c r="I16">
        <f>SYSREV!D16</f>
        <v>93.75</v>
      </c>
    </row>
    <row r="17" spans="1:9" x14ac:dyDescent="0.3">
      <c r="A17">
        <f t="shared" si="0"/>
        <v>2005</v>
      </c>
      <c r="B17">
        <f>RCT!D17</f>
        <v>94.078947368421055</v>
      </c>
      <c r="C17">
        <f>CT!D17</f>
        <v>95.705521472392647</v>
      </c>
      <c r="D17">
        <f>META!D17</f>
        <v>89.189189189189193</v>
      </c>
      <c r="E17">
        <f>REVIEW!D17</f>
        <v>94.776119402985074</v>
      </c>
      <c r="F17">
        <f>CCJ!D17</f>
        <v>100</v>
      </c>
      <c r="G17">
        <f>ALL!D17</f>
        <v>96.370463078848559</v>
      </c>
      <c r="H17" t="e">
        <f>OBS!D17</f>
        <v>#DIV/0!</v>
      </c>
      <c r="I17">
        <f>SYSREV!D17</f>
        <v>93.333333333333329</v>
      </c>
    </row>
    <row r="18" spans="1:9" x14ac:dyDescent="0.3">
      <c r="A18">
        <f t="shared" si="0"/>
        <v>2006</v>
      </c>
      <c r="B18">
        <f>RCT!D18</f>
        <v>93.969849246231149</v>
      </c>
      <c r="C18">
        <f>CT!D18</f>
        <v>96.907216494845358</v>
      </c>
      <c r="D18">
        <f>META!D18</f>
        <v>88.63636363636364</v>
      </c>
      <c r="E18">
        <f>REVIEW!D18</f>
        <v>96.120689655172413</v>
      </c>
      <c r="F18">
        <f>CCJ!D18</f>
        <v>100</v>
      </c>
      <c r="G18">
        <f>ALL!D18</f>
        <v>95.768874785138166</v>
      </c>
      <c r="H18">
        <f>OBS!D18</f>
        <v>100</v>
      </c>
      <c r="I18">
        <f>SYSREV!D18</f>
        <v>90.476190476190482</v>
      </c>
    </row>
    <row r="19" spans="1:9" x14ac:dyDescent="0.3">
      <c r="A19">
        <f t="shared" si="0"/>
        <v>2007</v>
      </c>
      <c r="B19">
        <f>RCT!D19</f>
        <v>95.879120879120876</v>
      </c>
      <c r="C19">
        <f>CT!D19</f>
        <v>97.41379310344827</v>
      </c>
      <c r="D19">
        <f>META!D19</f>
        <v>98.181818181818187</v>
      </c>
      <c r="E19">
        <f>REVIEW!D19</f>
        <v>95.39007092198581</v>
      </c>
      <c r="F19">
        <f>CCJ!D19</f>
        <v>96.969696969696969</v>
      </c>
      <c r="G19">
        <f>ALL!D19</f>
        <v>96.20106761565836</v>
      </c>
      <c r="H19" t="e">
        <f>OBS!D19</f>
        <v>#DIV/0!</v>
      </c>
      <c r="I19">
        <f>SYSREV!D19</f>
        <v>96.226415094339629</v>
      </c>
    </row>
    <row r="20" spans="1:9" x14ac:dyDescent="0.3">
      <c r="A20">
        <f t="shared" si="0"/>
        <v>2008</v>
      </c>
      <c r="B20">
        <f>RCT!D20</f>
        <v>97.50830564784053</v>
      </c>
      <c r="C20">
        <f>CT!D20</f>
        <v>96</v>
      </c>
      <c r="D20">
        <f>META!D20</f>
        <v>95.689655172413794</v>
      </c>
      <c r="E20">
        <f>REVIEW!D20</f>
        <v>95</v>
      </c>
      <c r="F20">
        <f>CCJ!D20</f>
        <v>97.51381215469614</v>
      </c>
      <c r="G20">
        <f>ALL!D20</f>
        <v>96.343162293940097</v>
      </c>
      <c r="H20" t="e">
        <f>OBS!D20</f>
        <v>#DIV/0!</v>
      </c>
      <c r="I20">
        <f>SYSREV!D20</f>
        <v>95.652173913043484</v>
      </c>
    </row>
    <row r="21" spans="1:9" x14ac:dyDescent="0.3">
      <c r="A21">
        <f t="shared" si="0"/>
        <v>2009</v>
      </c>
      <c r="B21">
        <f>RCT!D21</f>
        <v>96.024844720496887</v>
      </c>
      <c r="C21">
        <f>CT!D21</f>
        <v>100</v>
      </c>
      <c r="D21">
        <f>META!D21</f>
        <v>91.477272727272734</v>
      </c>
      <c r="E21">
        <f>REVIEW!D21</f>
        <v>94.797687861271669</v>
      </c>
      <c r="F21">
        <f>CCJ!D21</f>
        <v>96.860282574568288</v>
      </c>
      <c r="G21">
        <f>ALL!D21</f>
        <v>96.531356038708054</v>
      </c>
      <c r="H21" t="e">
        <f>OBS!D21</f>
        <v>#DIV/0!</v>
      </c>
      <c r="I21">
        <f>SYSREV!D21</f>
        <v>90.647482014388487</v>
      </c>
    </row>
    <row r="22" spans="1:9" x14ac:dyDescent="0.3">
      <c r="A22">
        <f t="shared" si="0"/>
        <v>2010</v>
      </c>
      <c r="B22">
        <f>RCT!D22</f>
        <v>96.326905417814515</v>
      </c>
      <c r="C22">
        <f>CT!D22</f>
        <v>97.288135593220332</v>
      </c>
      <c r="D22">
        <f>META!D22</f>
        <v>89.961389961389955</v>
      </c>
      <c r="E22">
        <f>REVIEW!D22</f>
        <v>94.696969696969703</v>
      </c>
      <c r="F22">
        <f>CCJ!D22</f>
        <v>96.561210453920225</v>
      </c>
      <c r="G22">
        <f>ALL!D22</f>
        <v>96.689048390831218</v>
      </c>
      <c r="H22" t="e">
        <f>OBS!D22</f>
        <v>#DIV/0!</v>
      </c>
      <c r="I22">
        <f>SYSREV!D22</f>
        <v>92.307692307692307</v>
      </c>
    </row>
    <row r="23" spans="1:9" x14ac:dyDescent="0.3">
      <c r="A23">
        <f t="shared" si="0"/>
        <v>2011</v>
      </c>
      <c r="B23">
        <f>RCT!D23</f>
        <v>96.714848883048617</v>
      </c>
      <c r="C23">
        <f>CT!D23</f>
        <v>97.601918465227826</v>
      </c>
      <c r="D23">
        <f>META!D23</f>
        <v>93.287037037037038</v>
      </c>
      <c r="E23">
        <f>REVIEW!D23</f>
        <v>95.220125786163521</v>
      </c>
      <c r="F23">
        <f>CCJ!D23</f>
        <v>97.622192866578601</v>
      </c>
      <c r="G23">
        <f>ALL!D23</f>
        <v>96.960884702027442</v>
      </c>
      <c r="H23">
        <f>OBS!D23</f>
        <v>100</v>
      </c>
      <c r="I23">
        <f>SYSREV!D23</f>
        <v>94.0625</v>
      </c>
    </row>
    <row r="24" spans="1:9" x14ac:dyDescent="0.3">
      <c r="A24">
        <f>A22+2</f>
        <v>2012</v>
      </c>
      <c r="B24">
        <f>RCT!D24</f>
        <v>96.408120770432078</v>
      </c>
      <c r="C24">
        <f>CT!D24</f>
        <v>98.365122615803813</v>
      </c>
      <c r="D24">
        <f>META!D24</f>
        <v>95.20451339915374</v>
      </c>
      <c r="E24">
        <f>REVIEW!D24</f>
        <v>95.724907063197023</v>
      </c>
      <c r="F24">
        <f>CCJ!D24</f>
        <v>95.913154533844192</v>
      </c>
      <c r="G24">
        <f>ALL!D24</f>
        <v>97.269801873042908</v>
      </c>
      <c r="H24">
        <f>OBS!D24</f>
        <v>97.872340425531917</v>
      </c>
      <c r="I24">
        <f>SYSREV!D24</f>
        <v>92.553191489361694</v>
      </c>
    </row>
    <row r="25" spans="1:9" x14ac:dyDescent="0.3">
      <c r="A25">
        <f t="shared" si="0"/>
        <v>2013</v>
      </c>
      <c r="B25">
        <f>RCT!D25</f>
        <v>96.679389312977108</v>
      </c>
      <c r="C25">
        <f>CT!D25</f>
        <v>97.560975609756099</v>
      </c>
      <c r="D25">
        <f>META!D25</f>
        <v>94.494658997534913</v>
      </c>
      <c r="E25">
        <f>REVIEW!D25</f>
        <v>95.930232558139537</v>
      </c>
      <c r="F25">
        <f>CCJ!D25</f>
        <v>97.215777262180964</v>
      </c>
      <c r="G25">
        <f>ALL!D25</f>
        <v>97.221978984238177</v>
      </c>
      <c r="H25">
        <f>OBS!D25</f>
        <v>97.4609375</v>
      </c>
      <c r="I25">
        <f>SYSREV!D25</f>
        <v>92.887029288702934</v>
      </c>
    </row>
    <row r="26" spans="1:9" x14ac:dyDescent="0.3">
      <c r="A26">
        <f t="shared" si="0"/>
        <v>2014</v>
      </c>
      <c r="B26">
        <f>RCT!D26</f>
        <v>96.391912908242617</v>
      </c>
      <c r="C26">
        <f>CT!D26</f>
        <v>97.372742200328418</v>
      </c>
      <c r="D26">
        <f>META!D26</f>
        <v>95.110024449877756</v>
      </c>
      <c r="E26">
        <f>REVIEW!D26</f>
        <v>95.924170616113742</v>
      </c>
      <c r="F26">
        <f>CCJ!D26</f>
        <v>96.392229417206295</v>
      </c>
      <c r="G26">
        <f>ALL!D26</f>
        <v>97.202060301051034</v>
      </c>
      <c r="H26">
        <f>OBS!D26</f>
        <v>96.277915632754343</v>
      </c>
      <c r="I26">
        <f>SYSREV!D26</f>
        <v>93.529971455756424</v>
      </c>
    </row>
    <row r="27" spans="1:9" x14ac:dyDescent="0.3">
      <c r="A27">
        <f t="shared" si="0"/>
        <v>2015</v>
      </c>
      <c r="B27">
        <f>RCT!D27</f>
        <v>96.798233508142431</v>
      </c>
      <c r="C27">
        <f>CT!D27</f>
        <v>97.672552166934196</v>
      </c>
      <c r="D27">
        <f>META!D27</f>
        <v>95.541706615532121</v>
      </c>
      <c r="E27">
        <f>REVIEW!D27</f>
        <v>94.668470906630589</v>
      </c>
      <c r="F27">
        <f>CCJ!D27</f>
        <v>97.984683595324469</v>
      </c>
      <c r="G27">
        <f>ALL!D27</f>
        <v>97.275131442244117</v>
      </c>
      <c r="H27">
        <f>OBS!D27</f>
        <v>98.235294117647058</v>
      </c>
      <c r="I27">
        <f>SYSREV!D27</f>
        <v>95.136330140014735</v>
      </c>
    </row>
    <row r="28" spans="1:9" x14ac:dyDescent="0.3">
      <c r="A28">
        <f t="shared" si="0"/>
        <v>2016</v>
      </c>
      <c r="B28">
        <f>RCT!D28</f>
        <v>96.844783715012724</v>
      </c>
      <c r="C28">
        <f>CT!D28</f>
        <v>98.516783762685407</v>
      </c>
      <c r="D28">
        <f>META!D28</f>
        <v>94.547609640458319</v>
      </c>
      <c r="E28">
        <f>REVIEW!D28</f>
        <v>95.761166818596166</v>
      </c>
      <c r="F28">
        <f>CCJ!D28</f>
        <v>98.031945236737016</v>
      </c>
      <c r="G28">
        <f>ALL!D28</f>
        <v>97.345530367385336</v>
      </c>
      <c r="H28">
        <f>OBS!D28</f>
        <v>97.684291779235821</v>
      </c>
      <c r="I28">
        <f>SYSREV!D28</f>
        <v>92.687277051129612</v>
      </c>
    </row>
    <row r="29" spans="1:9" x14ac:dyDescent="0.3">
      <c r="A29">
        <f t="shared" si="0"/>
        <v>2017</v>
      </c>
      <c r="B29">
        <f>RCT!D29</f>
        <v>96.248263084761462</v>
      </c>
      <c r="C29">
        <f>CT!D29</f>
        <v>97.433704020530371</v>
      </c>
      <c r="D29">
        <f>META!D29</f>
        <v>95.086271567891984</v>
      </c>
      <c r="E29">
        <f>REVIEW!D29</f>
        <v>95.514675485737911</v>
      </c>
      <c r="F29">
        <f>CCJ!D29</f>
        <v>97.355623100303958</v>
      </c>
      <c r="G29">
        <f>ALL!D29</f>
        <v>97.243732692920332</v>
      </c>
      <c r="H29">
        <f>OBS!D29</f>
        <v>97.462437395659435</v>
      </c>
      <c r="I29">
        <f>SYSREV!D29</f>
        <v>93.633692458374142</v>
      </c>
    </row>
    <row r="30" spans="1:9" x14ac:dyDescent="0.3">
      <c r="A30">
        <f t="shared" si="0"/>
        <v>2018</v>
      </c>
      <c r="B30">
        <f>RCT!D30</f>
        <v>96.02481617647058</v>
      </c>
      <c r="C30">
        <f>CT!D30</f>
        <v>97.869593285990959</v>
      </c>
      <c r="D30">
        <f>META!D30</f>
        <v>94.877675840978597</v>
      </c>
      <c r="E30">
        <f>REVIEW!D30</f>
        <v>95.070162481536187</v>
      </c>
      <c r="F30">
        <f>CCJ!D30</f>
        <v>96.589658965896589</v>
      </c>
      <c r="G30">
        <f>ALL!D30</f>
        <v>97.228980271513649</v>
      </c>
      <c r="H30">
        <f>OBS!D30</f>
        <v>98.181276088252829</v>
      </c>
      <c r="I30">
        <f>SYSREV!D30</f>
        <v>94.09881061299177</v>
      </c>
    </row>
    <row r="31" spans="1:9" x14ac:dyDescent="0.3">
      <c r="A31">
        <f t="shared" si="0"/>
        <v>2019</v>
      </c>
      <c r="B31">
        <f>RCT!D31</f>
        <v>96.225649350649363</v>
      </c>
      <c r="C31">
        <f>CT!D31</f>
        <v>98.363431151241528</v>
      </c>
      <c r="D31">
        <f>META!D31</f>
        <v>94.807574832009777</v>
      </c>
      <c r="E31">
        <f>REVIEW!D31</f>
        <v>93.862520458265138</v>
      </c>
      <c r="F31">
        <f>CCJ!D31</f>
        <v>95.789735924265074</v>
      </c>
      <c r="G31">
        <f>ALL!D31</f>
        <v>97.221197172156621</v>
      </c>
      <c r="H31">
        <f>OBS!D31</f>
        <v>98.024750118990951</v>
      </c>
      <c r="I31">
        <f>SYSREV!D31</f>
        <v>94.530113471050342</v>
      </c>
    </row>
    <row r="32" spans="1:9" x14ac:dyDescent="0.3">
      <c r="A32">
        <f t="shared" si="0"/>
        <v>2020</v>
      </c>
      <c r="B32">
        <f>RCT!D32</f>
        <v>96.565724919641355</v>
      </c>
      <c r="C32">
        <f>CT!D32</f>
        <v>98.37601499063085</v>
      </c>
      <c r="D32">
        <f>META!D32</f>
        <v>94.986743793685221</v>
      </c>
      <c r="E32">
        <f>REVIEW!D32</f>
        <v>94.645737017524993</v>
      </c>
      <c r="F32">
        <f>CCJ!D32</f>
        <v>92.806922660897783</v>
      </c>
      <c r="G32">
        <f>ALL!D32</f>
        <v>97.166995254282426</v>
      </c>
      <c r="H32">
        <f>OBS!D32</f>
        <v>97.909790979097906</v>
      </c>
      <c r="I32">
        <f>SYSREV!D32</f>
        <v>94.510481953749732</v>
      </c>
    </row>
    <row r="33" spans="1:9" x14ac:dyDescent="0.3">
      <c r="A33">
        <f t="shared" si="0"/>
        <v>2021</v>
      </c>
      <c r="B33">
        <f>RCT!D33</f>
        <v>96.504100129477777</v>
      </c>
      <c r="C33">
        <f>CT!D33</f>
        <v>97.557172557172549</v>
      </c>
      <c r="D33">
        <f>META!D33</f>
        <v>95.157680569684644</v>
      </c>
      <c r="E33">
        <f>REVIEW!D33</f>
        <v>95.26567250615318</v>
      </c>
      <c r="F33">
        <f>CCJ!D33</f>
        <v>93.595594020456332</v>
      </c>
      <c r="G33">
        <f>ALL!D33</f>
        <v>97.294866453068209</v>
      </c>
      <c r="H33">
        <f>OBS!D33</f>
        <v>98</v>
      </c>
      <c r="I33">
        <f>SYSREV!D33</f>
        <v>95.017629924881192</v>
      </c>
    </row>
    <row r="34" spans="1:9" x14ac:dyDescent="0.3">
      <c r="A34">
        <f t="shared" si="0"/>
        <v>2022</v>
      </c>
      <c r="B34">
        <f>RCT!D34</f>
        <v>96.793419954702586</v>
      </c>
      <c r="C34">
        <f>CT!D34</f>
        <v>98.357821953327573</v>
      </c>
      <c r="D34">
        <f>META!D34</f>
        <v>95.005905179686181</v>
      </c>
      <c r="E34">
        <f>REVIEW!D34</f>
        <v>95.435868259687723</v>
      </c>
      <c r="F34">
        <f>CCJ!D34</f>
        <v>95.674044265593565</v>
      </c>
      <c r="G34">
        <f>ALL!D34</f>
        <v>97.358752010324878</v>
      </c>
      <c r="H34">
        <f>OBS!D34</f>
        <v>97.564126222550286</v>
      </c>
      <c r="I34">
        <f>SYSREV!D34</f>
        <v>95.05789662170227</v>
      </c>
    </row>
    <row r="35" spans="1:9" x14ac:dyDescent="0.3">
      <c r="A35">
        <f t="shared" si="0"/>
        <v>2023</v>
      </c>
      <c r="B35">
        <f>RCT!D35</f>
        <v>96.906919867644945</v>
      </c>
      <c r="C35">
        <f>CT!D35</f>
        <v>98.212157330154952</v>
      </c>
      <c r="D35">
        <f>META!D35</f>
        <v>95.856164383561648</v>
      </c>
      <c r="E35">
        <f>REVIEW!D35</f>
        <v>95.327772709500849</v>
      </c>
      <c r="F35">
        <f>CCJ!D35</f>
        <v>97.450369793694051</v>
      </c>
      <c r="G35">
        <f>ALL!D35</f>
        <v>97.389272539139824</v>
      </c>
      <c r="H35">
        <f>OBS!D35</f>
        <v>98.106305143103071</v>
      </c>
      <c r="I35">
        <f>SYSREV!D35</f>
        <v>95.38978494623656</v>
      </c>
    </row>
    <row r="36" spans="1:9" x14ac:dyDescent="0.3">
      <c r="A36">
        <f t="shared" si="0"/>
        <v>2024</v>
      </c>
      <c r="B36">
        <f>RCT!D36</f>
        <v>96.771643167742781</v>
      </c>
      <c r="C36">
        <f>CT!D36</f>
        <v>98.470097357440892</v>
      </c>
      <c r="D36">
        <f>META!D36</f>
        <v>95.910354981187623</v>
      </c>
      <c r="E36">
        <f>REVIEW!D36</f>
        <v>95.630857966834895</v>
      </c>
      <c r="F36">
        <f>CCJ!D36</f>
        <v>98.316498316498311</v>
      </c>
      <c r="G36">
        <f>ALL!D36</f>
        <v>97.50263397313762</v>
      </c>
      <c r="H36">
        <f>OBS!D36</f>
        <v>98.068557508265187</v>
      </c>
      <c r="I36">
        <f>SYSREV!D36</f>
        <v>95.873320537428015</v>
      </c>
    </row>
    <row r="37" spans="1:9" x14ac:dyDescent="0.3">
      <c r="A37">
        <v>2025</v>
      </c>
      <c r="B37">
        <f>RCT!D37</f>
        <v>97.123331214240309</v>
      </c>
      <c r="C37">
        <f>CT!D37</f>
        <v>97.837837837837839</v>
      </c>
      <c r="D37">
        <f>META!D37</f>
        <v>95.515308322552826</v>
      </c>
      <c r="E37">
        <f>REVIEW!D37</f>
        <v>95.604751619870413</v>
      </c>
      <c r="F37">
        <f>CCJ!D37</f>
        <v>97.669434770961701</v>
      </c>
      <c r="G37">
        <f>ALL!D37</f>
        <v>97.599683897679057</v>
      </c>
      <c r="H37">
        <f>OBS!D37</f>
        <v>98.049969530773922</v>
      </c>
      <c r="I37">
        <f>SYSREV!D37</f>
        <v>95.515695067264573</v>
      </c>
    </row>
    <row r="38" spans="1:9" x14ac:dyDescent="0.3">
      <c r="A38" t="s">
        <v>9</v>
      </c>
    </row>
    <row r="39" spans="1:9" x14ac:dyDescent="0.3">
      <c r="A39" t="s">
        <v>7</v>
      </c>
    </row>
    <row r="40" spans="1:9" x14ac:dyDescent="0.3">
      <c r="A40" t="s">
        <v>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ED7C73-130E-4CAC-8AA2-6A6DAB0B66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RCT</vt:lpstr>
      <vt:lpstr>CT</vt:lpstr>
      <vt:lpstr>META</vt:lpstr>
      <vt:lpstr>REVIEW</vt:lpstr>
      <vt:lpstr>CCJ</vt:lpstr>
      <vt:lpstr>ALL</vt:lpstr>
      <vt:lpstr>OBS</vt:lpstr>
      <vt:lpstr>SYSREV</vt:lpstr>
      <vt:lpstr>aggregate</vt:lpstr>
      <vt:lpstr>Sheet1</vt:lpstr>
      <vt:lpstr>NEWagg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최진혁 [학부 / 의예과]</cp:lastModifiedBy>
  <dcterms:created xsi:type="dcterms:W3CDTF">2025-09-20T09:37:29Z</dcterms:created>
  <dcterms:modified xsi:type="dcterms:W3CDTF">2025-11-28T03:16:15Z</dcterms:modified>
</cp:coreProperties>
</file>