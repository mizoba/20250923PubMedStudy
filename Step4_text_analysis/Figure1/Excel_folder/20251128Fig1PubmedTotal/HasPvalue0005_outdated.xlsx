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cuments\카카오톡 받은 파일\20250923\20251128Fig1PubmedTotal\"/>
    </mc:Choice>
  </mc:AlternateContent>
  <xr:revisionPtr revIDLastSave="0" documentId="13_ncr:1_{5B1E87B2-9C8E-4DDE-B544-A87F8F8E278D}" xr6:coauthVersionLast="47" xr6:coauthVersionMax="47" xr10:uidLastSave="{00000000-0000-0000-0000-000000000000}"/>
  <bookViews>
    <workbookView xWindow="2370" yWindow="3420" windowWidth="21600" windowHeight="11295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1" i="10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1" i="9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" i="3"/>
  <c r="C4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" i="2"/>
  <c r="C1" i="1"/>
  <c r="C38" i="1"/>
  <c r="C39" i="1"/>
  <c r="C4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B2" i="1"/>
  <c r="D33" i="10" l="1"/>
  <c r="I33" i="11" s="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D15" i="10" s="1"/>
  <c r="I15" i="11" s="1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1" i="10"/>
  <c r="D28" i="9"/>
  <c r="H28" i="11" s="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1" i="9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" i="3"/>
  <c r="B1" i="1"/>
  <c r="B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D5" i="10"/>
  <c r="I5" i="11" s="1"/>
  <c r="D13" i="10"/>
  <c r="I13" i="11" s="1"/>
  <c r="D21" i="10"/>
  <c r="I21" i="11" s="1"/>
  <c r="D29" i="10"/>
  <c r="I29" i="11" s="1"/>
  <c r="D30" i="10"/>
  <c r="I30" i="11" s="1"/>
  <c r="D37" i="10"/>
  <c r="I37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36" i="9"/>
  <c r="H36" i="11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D2" i="9"/>
  <c r="H2" i="11" s="1"/>
  <c r="D31" i="10" l="1"/>
  <c r="I31" i="11" s="1"/>
  <c r="D23" i="10"/>
  <c r="I23" i="11" s="1"/>
  <c r="D7" i="10"/>
  <c r="I7" i="11" s="1"/>
  <c r="D20" i="9"/>
  <c r="H20" i="11" s="1"/>
  <c r="D12" i="9"/>
  <c r="H12" i="11" s="1"/>
  <c r="D4" i="9"/>
  <c r="H4" i="11" s="1"/>
  <c r="D14" i="10"/>
  <c r="I14" i="11" s="1"/>
  <c r="D6" i="10"/>
  <c r="I6" i="11" s="1"/>
  <c r="D17" i="10"/>
  <c r="I17" i="11" s="1"/>
  <c r="D22" i="10"/>
  <c r="I22" i="11" s="1"/>
  <c r="D25" i="10"/>
  <c r="I25" i="11" s="1"/>
  <c r="D9" i="10"/>
  <c r="I9" i="11" s="1"/>
  <c r="D40" i="10"/>
  <c r="D39" i="10"/>
  <c r="D33" i="9"/>
  <c r="H33" i="11" s="1"/>
  <c r="D9" i="9"/>
  <c r="H9" i="11" s="1"/>
  <c r="D40" i="9"/>
  <c r="D8" i="9"/>
  <c r="H8" i="11" s="1"/>
  <c r="D32" i="9"/>
  <c r="H32" i="11" s="1"/>
  <c r="D38" i="9"/>
  <c r="D17" i="9"/>
  <c r="H17" i="11" s="1"/>
  <c r="D16" i="9"/>
  <c r="H16" i="11" s="1"/>
  <c r="D25" i="9"/>
  <c r="H25" i="11" s="1"/>
  <c r="D24" i="9"/>
  <c r="H24" i="11" s="1"/>
  <c r="D35" i="9"/>
  <c r="H35" i="11" s="1"/>
  <c r="D27" i="9"/>
  <c r="H27" i="11" s="1"/>
  <c r="D19" i="9"/>
  <c r="H19" i="11" s="1"/>
  <c r="D11" i="9"/>
  <c r="H11" i="11" s="1"/>
  <c r="D3" i="9"/>
  <c r="H3" i="11" s="1"/>
  <c r="D30" i="9"/>
  <c r="H30" i="11" s="1"/>
  <c r="D22" i="9"/>
  <c r="H22" i="11" s="1"/>
  <c r="D14" i="9"/>
  <c r="H14" i="11" s="1"/>
  <c r="D6" i="9"/>
  <c r="H6" i="11" s="1"/>
  <c r="D34" i="9"/>
  <c r="H34" i="11" s="1"/>
  <c r="D26" i="9"/>
  <c r="H26" i="11" s="1"/>
  <c r="D18" i="9"/>
  <c r="H18" i="11" s="1"/>
  <c r="D10" i="9"/>
  <c r="H10" i="11" s="1"/>
  <c r="D37" i="9"/>
  <c r="H37" i="11" s="1"/>
  <c r="D29" i="9"/>
  <c r="H29" i="11" s="1"/>
  <c r="D21" i="9"/>
  <c r="H21" i="11" s="1"/>
  <c r="D13" i="9"/>
  <c r="H13" i="11" s="1"/>
  <c r="D5" i="9"/>
  <c r="H5" i="11" s="1"/>
  <c r="D32" i="10"/>
  <c r="I32" i="11" s="1"/>
  <c r="D24" i="10"/>
  <c r="I24" i="11" s="1"/>
  <c r="D16" i="10"/>
  <c r="I16" i="11" s="1"/>
  <c r="D8" i="10"/>
  <c r="I8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2" i="10"/>
  <c r="I2" i="11" s="1"/>
  <c r="D14" i="6"/>
  <c r="G14" i="11" s="1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8" i="6" l="1"/>
  <c r="G8" i="11" s="1"/>
  <c r="D7" i="6"/>
  <c r="G7" i="11" s="1"/>
  <c r="D13" i="6"/>
  <c r="G13" i="11" s="1"/>
  <c r="G7" i="8"/>
  <c r="G14" i="8"/>
  <c r="G13" i="8"/>
  <c r="D11" i="6"/>
  <c r="G11" i="11" s="1"/>
  <c r="D3" i="6"/>
  <c r="G3" i="11" s="1"/>
  <c r="D10" i="6"/>
  <c r="G10" i="11" s="1"/>
  <c r="D12" i="6"/>
  <c r="G12" i="11" s="1"/>
  <c r="D9" i="6"/>
  <c r="G9" i="11" s="1"/>
  <c r="D15" i="6"/>
  <c r="G15" i="11" s="1"/>
  <c r="D16" i="6"/>
  <c r="G16" i="11" s="1"/>
  <c r="D17" i="6"/>
  <c r="G17" i="11" s="1"/>
  <c r="D18" i="6"/>
  <c r="G18" i="11" s="1"/>
  <c r="D2" i="6"/>
  <c r="G2" i="11" s="1"/>
  <c r="D2" i="5"/>
  <c r="F2" i="11" s="1"/>
  <c r="D35" i="4"/>
  <c r="E35" i="11" s="1"/>
  <c r="D30" i="6"/>
  <c r="G30" i="11" s="1"/>
  <c r="D31" i="6"/>
  <c r="G31" i="11" s="1"/>
  <c r="D32" i="6"/>
  <c r="G32" i="11" s="1"/>
  <c r="D33" i="6"/>
  <c r="G33" i="11" s="1"/>
  <c r="D34" i="6"/>
  <c r="G34" i="11" s="1"/>
  <c r="D35" i="6"/>
  <c r="G35" i="11" s="1"/>
  <c r="D36" i="6"/>
  <c r="G36" i="11" s="1"/>
  <c r="D37" i="6"/>
  <c r="G37" i="11" s="1"/>
  <c r="D36" i="4"/>
  <c r="E36" i="11" s="1"/>
  <c r="D19" i="6"/>
  <c r="G19" i="11" s="1"/>
  <c r="D21" i="6"/>
  <c r="G21" i="11" s="1"/>
  <c r="D22" i="6"/>
  <c r="G22" i="11" s="1"/>
  <c r="D20" i="6"/>
  <c r="G20" i="11" s="1"/>
  <c r="D23" i="6"/>
  <c r="G23" i="11" s="1"/>
  <c r="D24" i="6"/>
  <c r="G24" i="11" s="1"/>
  <c r="D25" i="6"/>
  <c r="G25" i="11" s="1"/>
  <c r="D26" i="6"/>
  <c r="G26" i="11" s="1"/>
  <c r="D27" i="6"/>
  <c r="G27" i="11" s="1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G4" i="11" s="1"/>
  <c r="D5" i="6"/>
  <c r="G5" i="11" s="1"/>
  <c r="D6" i="6"/>
  <c r="G6" i="11" s="1"/>
  <c r="D28" i="6"/>
  <c r="G28" i="11" s="1"/>
  <c r="D29" i="6"/>
  <c r="G29" i="11" s="1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G8" i="8" l="1"/>
  <c r="B3" i="8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K1" i="11" s="1" a="1"/>
  <c r="C2" i="8"/>
  <c r="D40" i="1"/>
  <c r="D39" i="1"/>
  <c r="B2" i="8"/>
  <c r="K1" i="11" l="1"/>
  <c r="I1" i="7" s="1"/>
  <c r="N1" i="7"/>
  <c r="J5" i="7"/>
  <c r="AP5" i="7"/>
  <c r="U6" i="7"/>
  <c r="AK6" i="7"/>
  <c r="P7" i="7"/>
  <c r="AF7" i="7"/>
  <c r="AA9" i="7"/>
  <c r="AQ9" i="7"/>
  <c r="AG7" i="7"/>
  <c r="AR9" i="7"/>
  <c r="AE6" i="7"/>
  <c r="AH7" i="7"/>
  <c r="O1" i="7"/>
  <c r="W1" i="7"/>
  <c r="AE1" i="7"/>
  <c r="AM1" i="7"/>
  <c r="J2" i="7"/>
  <c r="R2" i="7"/>
  <c r="Z2" i="7"/>
  <c r="AH2" i="7"/>
  <c r="AP2" i="7"/>
  <c r="M3" i="7"/>
  <c r="U3" i="7"/>
  <c r="AC3" i="7"/>
  <c r="AK3" i="7"/>
  <c r="AS3" i="7"/>
  <c r="P4" i="7"/>
  <c r="X4" i="7"/>
  <c r="AF4" i="7"/>
  <c r="AN4" i="7"/>
  <c r="K5" i="7"/>
  <c r="S5" i="7"/>
  <c r="AA5" i="7"/>
  <c r="AI5" i="7"/>
  <c r="AQ5" i="7"/>
  <c r="N6" i="7"/>
  <c r="V6" i="7"/>
  <c r="AD6" i="7"/>
  <c r="AL6" i="7"/>
  <c r="I7" i="7"/>
  <c r="Y7" i="7"/>
  <c r="AO7" i="7"/>
  <c r="AN8" i="7"/>
  <c r="AJ9" i="7"/>
  <c r="J7" i="7"/>
  <c r="AP7" i="7"/>
  <c r="AC9" i="7"/>
  <c r="P1" i="7"/>
  <c r="X1" i="7"/>
  <c r="AF1" i="7"/>
  <c r="AN1" i="7"/>
  <c r="K2" i="7"/>
  <c r="S2" i="7"/>
  <c r="AA2" i="7"/>
  <c r="AI2" i="7"/>
  <c r="AQ2" i="7"/>
  <c r="N3" i="7"/>
  <c r="V3" i="7"/>
  <c r="AD3" i="7"/>
  <c r="AL3" i="7"/>
  <c r="I4" i="7"/>
  <c r="Q4" i="7"/>
  <c r="Y4" i="7"/>
  <c r="AG4" i="7"/>
  <c r="AO4" i="7"/>
  <c r="L5" i="7"/>
  <c r="T5" i="7"/>
  <c r="AB5" i="7"/>
  <c r="AJ5" i="7"/>
  <c r="AR5" i="7"/>
  <c r="AM6" i="7"/>
  <c r="AK9" i="7"/>
  <c r="Q1" i="7"/>
  <c r="Y1" i="7"/>
  <c r="AG1" i="7"/>
  <c r="AO1" i="7"/>
  <c r="L2" i="7"/>
  <c r="T2" i="7"/>
  <c r="AB2" i="7"/>
  <c r="AJ2" i="7"/>
  <c r="AR2" i="7"/>
  <c r="O3" i="7"/>
  <c r="W3" i="7"/>
  <c r="AE3" i="7"/>
  <c r="AM3" i="7"/>
  <c r="J4" i="7"/>
  <c r="R4" i="7"/>
  <c r="Z4" i="7"/>
  <c r="AH4" i="7"/>
  <c r="AP4" i="7"/>
  <c r="M5" i="7"/>
  <c r="U5" i="7"/>
  <c r="AC5" i="7"/>
  <c r="AK5" i="7"/>
  <c r="AS5" i="7"/>
  <c r="P6" i="7"/>
  <c r="X6" i="7"/>
  <c r="AF6" i="7"/>
  <c r="AN6" i="7"/>
  <c r="K7" i="7"/>
  <c r="S7" i="7"/>
  <c r="AA7" i="7"/>
  <c r="AI7" i="7"/>
  <c r="AQ7" i="7"/>
  <c r="AH8" i="7"/>
  <c r="AP8" i="7"/>
  <c r="AD9" i="7"/>
  <c r="AL9" i="7"/>
  <c r="X3" i="7"/>
  <c r="K4" i="7"/>
  <c r="AA4" i="7"/>
  <c r="AI4" i="7"/>
  <c r="N5" i="7"/>
  <c r="AD5" i="7"/>
  <c r="AL5" i="7"/>
  <c r="Q6" i="7"/>
  <c r="AG6" i="7"/>
  <c r="AO6" i="7"/>
  <c r="T7" i="7"/>
  <c r="AJ7" i="7"/>
  <c r="AR7" i="7"/>
  <c r="AQ8" i="7"/>
  <c r="W9" i="7"/>
  <c r="AE9" i="7"/>
  <c r="S1" i="7"/>
  <c r="AI1" i="7"/>
  <c r="AQ1" i="7"/>
  <c r="V2" i="7"/>
  <c r="AL2" i="7"/>
  <c r="Q3" i="7"/>
  <c r="AG3" i="7"/>
  <c r="L4" i="7"/>
  <c r="AB4" i="7"/>
  <c r="AR4" i="7"/>
  <c r="W5" i="7"/>
  <c r="AM5" i="7"/>
  <c r="R6" i="7"/>
  <c r="AH6" i="7"/>
  <c r="M7" i="7"/>
  <c r="AC7" i="7"/>
  <c r="AK7" i="7"/>
  <c r="AJ8" i="7"/>
  <c r="X9" i="7"/>
  <c r="AN9" i="7"/>
  <c r="J1" i="7"/>
  <c r="R1" i="7"/>
  <c r="Z1" i="7"/>
  <c r="AH1" i="7"/>
  <c r="AP1" i="7"/>
  <c r="M2" i="7"/>
  <c r="U2" i="7"/>
  <c r="AC2" i="7"/>
  <c r="AK2" i="7"/>
  <c r="AS2" i="7"/>
  <c r="P3" i="7"/>
  <c r="AF3" i="7"/>
  <c r="AN3" i="7"/>
  <c r="S4" i="7"/>
  <c r="AQ4" i="7"/>
  <c r="V5" i="7"/>
  <c r="I6" i="7"/>
  <c r="Y6" i="7"/>
  <c r="L7" i="7"/>
  <c r="AB7" i="7"/>
  <c r="AI8" i="7"/>
  <c r="AM9" i="7"/>
  <c r="AA1" i="7"/>
  <c r="N2" i="7"/>
  <c r="AD2" i="7"/>
  <c r="I3" i="7"/>
  <c r="Y3" i="7"/>
  <c r="AO3" i="7"/>
  <c r="T4" i="7"/>
  <c r="AJ4" i="7"/>
  <c r="O5" i="7"/>
  <c r="AE5" i="7"/>
  <c r="J6" i="7"/>
  <c r="Z6" i="7"/>
  <c r="AP6" i="7"/>
  <c r="U7" i="7"/>
  <c r="AS7" i="7"/>
  <c r="AR8" i="7"/>
  <c r="AF9" i="7"/>
  <c r="K1" i="7"/>
  <c r="L1" i="7"/>
  <c r="T1" i="7"/>
  <c r="AB1" i="7"/>
  <c r="AJ1" i="7"/>
  <c r="AR1" i="7"/>
  <c r="O2" i="7"/>
  <c r="W2" i="7"/>
  <c r="AE2" i="7"/>
  <c r="AM2" i="7"/>
  <c r="J3" i="7"/>
  <c r="R3" i="7"/>
  <c r="Z3" i="7"/>
  <c r="AH3" i="7"/>
  <c r="AP3" i="7"/>
  <c r="M4" i="7"/>
  <c r="U4" i="7"/>
  <c r="AC4" i="7"/>
  <c r="AK4" i="7"/>
  <c r="AS4" i="7"/>
  <c r="P5" i="7"/>
  <c r="X5" i="7"/>
  <c r="AF5" i="7"/>
  <c r="AN5" i="7"/>
  <c r="K6" i="7"/>
  <c r="S6" i="7"/>
  <c r="AA6" i="7"/>
  <c r="AI6" i="7"/>
  <c r="AQ6" i="7"/>
  <c r="N7" i="7"/>
  <c r="V7" i="7"/>
  <c r="AD7" i="7"/>
  <c r="AL7" i="7"/>
  <c r="I8" i="7"/>
  <c r="AK8" i="7"/>
  <c r="AS8" i="7"/>
  <c r="Y9" i="7"/>
  <c r="AG9" i="7"/>
  <c r="AO9" i="7"/>
  <c r="W6" i="7"/>
  <c r="Z7" i="7"/>
  <c r="AO8" i="7"/>
  <c r="AS9" i="7"/>
  <c r="M1" i="7"/>
  <c r="U1" i="7"/>
  <c r="AC1" i="7"/>
  <c r="AK1" i="7"/>
  <c r="AS1" i="7"/>
  <c r="P2" i="7"/>
  <c r="X2" i="7"/>
  <c r="AF2" i="7"/>
  <c r="AN2" i="7"/>
  <c r="K3" i="7"/>
  <c r="S3" i="7"/>
  <c r="AA3" i="7"/>
  <c r="AI3" i="7"/>
  <c r="AQ3" i="7"/>
  <c r="N4" i="7"/>
  <c r="V4" i="7"/>
  <c r="AD4" i="7"/>
  <c r="AL4" i="7"/>
  <c r="I5" i="7"/>
  <c r="Q5" i="7"/>
  <c r="Y5" i="7"/>
  <c r="AG5" i="7"/>
  <c r="AO5" i="7"/>
  <c r="L6" i="7"/>
  <c r="T6" i="7"/>
  <c r="AB6" i="7"/>
  <c r="AJ6" i="7"/>
  <c r="AR6" i="7"/>
  <c r="O7" i="7"/>
  <c r="W7" i="7"/>
  <c r="AE7" i="7"/>
  <c r="AM7" i="7"/>
  <c r="AL8" i="7"/>
  <c r="I9" i="7"/>
  <c r="Z9" i="7"/>
  <c r="AH9" i="7"/>
  <c r="AP9" i="7"/>
  <c r="V1" i="7"/>
  <c r="AD1" i="7"/>
  <c r="AL1" i="7"/>
  <c r="I2" i="7"/>
  <c r="Q2" i="7"/>
  <c r="Y2" i="7"/>
  <c r="AG2" i="7"/>
  <c r="AO2" i="7"/>
  <c r="L3" i="7"/>
  <c r="T3" i="7"/>
  <c r="AB3" i="7"/>
  <c r="AJ3" i="7"/>
  <c r="AR3" i="7"/>
  <c r="O4" i="7"/>
  <c r="W4" i="7"/>
  <c r="AE4" i="7"/>
  <c r="AM4" i="7"/>
  <c r="R5" i="7"/>
  <c r="Z5" i="7"/>
  <c r="AH5" i="7"/>
  <c r="M6" i="7"/>
  <c r="AC6" i="7"/>
  <c r="AS6" i="7"/>
  <c r="X7" i="7"/>
  <c r="AN7" i="7"/>
  <c r="AM8" i="7"/>
  <c r="AI9" i="7"/>
  <c r="Q7" i="7"/>
  <c r="AF8" i="7"/>
  <c r="AB9" i="7"/>
  <c r="O6" i="7"/>
  <c r="R7" i="7"/>
  <c r="AG8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<sst xmlns="http://schemas.openxmlformats.org/spreadsheetml/2006/main" count="63" uniqueCount="14">
  <si>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</si>
  <si>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</si>
  <si>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</si>
  <si>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</si>
  <si>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</si>
  <si>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</si>
  <si>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</si>
  <si>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</si>
  <si>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</si>
  <si>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</si>
  <si>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</si>
  <si>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Observational study</t>
    <phoneticPr fontId="1" type="noConversion"/>
  </si>
  <si>
    <t>Systematic review</t>
    <phoneticPr fontId="1" type="noConversion"/>
  </si>
  <si>
    <t>HasPvalue same or lower than n=100 excluded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</si>
</sst>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43.70023419203747</c:v>
                </c:pt>
                <c:pt idx="1">
                  <c:v>44.970414201183431</c:v>
                </c:pt>
                <c:pt idx="2">
                  <c:v>45.630372492836671</c:v>
                </c:pt>
                <c:pt idx="3">
                  <c:v>47.247852370346806</c:v>
                </c:pt>
                <c:pt idx="4">
                  <c:v>45.669714900484131</c:v>
                </c:pt>
                <c:pt idx="5">
                  <c:v>47.10526315789474</c:v>
                </c:pt>
                <c:pt idx="6">
                  <c:v>49.592169657422517</c:v>
                </c:pt>
                <c:pt idx="7">
                  <c:v>49.846558526961857</c:v>
                </c:pt>
                <c:pt idx="8">
                  <c:v>49.012751953928422</c:v>
                </c:pt>
                <c:pt idx="9">
                  <c:v>51.83051477420554</c:v>
                </c:pt>
                <c:pt idx="10">
                  <c:v>51.959665144596656</c:v>
                </c:pt>
                <c:pt idx="11">
                  <c:v>50.18283127285391</c:v>
                </c:pt>
                <c:pt idx="12">
                  <c:v>50.660501981505945</c:v>
                </c:pt>
                <c:pt idx="13">
                  <c:v>50.391077636152957</c:v>
                </c:pt>
                <c:pt idx="14">
                  <c:v>50.57605177993527</c:v>
                </c:pt>
                <c:pt idx="15">
                  <c:v>50.454122030740564</c:v>
                </c:pt>
                <c:pt idx="16">
                  <c:v>49.874220715301327</c:v>
                </c:pt>
                <c:pt idx="17">
                  <c:v>50.169694549810337</c:v>
                </c:pt>
                <c:pt idx="18">
                  <c:v>51.067718353212776</c:v>
                </c:pt>
                <c:pt idx="19">
                  <c:v>50.364110401870001</c:v>
                </c:pt>
                <c:pt idx="20">
                  <c:v>49.605776412980326</c:v>
                </c:pt>
                <c:pt idx="21">
                  <c:v>50.9543692215926</c:v>
                </c:pt>
                <c:pt idx="22">
                  <c:v>50.965512568602215</c:v>
                </c:pt>
                <c:pt idx="23">
                  <c:v>50.675372895461237</c:v>
                </c:pt>
                <c:pt idx="24">
                  <c:v>50.580017462891355</c:v>
                </c:pt>
                <c:pt idx="25">
                  <c:v>50.866443866815203</c:v>
                </c:pt>
                <c:pt idx="26">
                  <c:v>51.276473222854946</c:v>
                </c:pt>
                <c:pt idx="27">
                  <c:v>50.869730827831383</c:v>
                </c:pt>
                <c:pt idx="28">
                  <c:v>51.115882620860177</c:v>
                </c:pt>
                <c:pt idx="29">
                  <c:v>51.419805470330957</c:v>
                </c:pt>
                <c:pt idx="30">
                  <c:v>50.951005176357292</c:v>
                </c:pt>
                <c:pt idx="31">
                  <c:v>50.735336859850023</c:v>
                </c:pt>
                <c:pt idx="32">
                  <c:v>50.678130297892956</c:v>
                </c:pt>
                <c:pt idx="33">
                  <c:v>51.980062815785878</c:v>
                </c:pt>
                <c:pt idx="34">
                  <c:v>52.484092021536952</c:v>
                </c:pt>
                <c:pt idx="35">
                  <c:v>52.772153119274904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49.674054758800523</c:v>
                </c:pt>
                <c:pt idx="1">
                  <c:v>52.721088435374156</c:v>
                </c:pt>
                <c:pt idx="2">
                  <c:v>51.304347826086961</c:v>
                </c:pt>
                <c:pt idx="3">
                  <c:v>52.828054298642535</c:v>
                </c:pt>
                <c:pt idx="4">
                  <c:v>51.595259799453054</c:v>
                </c:pt>
                <c:pt idx="5">
                  <c:v>52.401372212692962</c:v>
                </c:pt>
                <c:pt idx="6">
                  <c:v>52.78745644599303</c:v>
                </c:pt>
                <c:pt idx="7">
                  <c:v>53.854918344094195</c:v>
                </c:pt>
                <c:pt idx="8">
                  <c:v>53.773240977032444</c:v>
                </c:pt>
                <c:pt idx="9">
                  <c:v>55.573147561747938</c:v>
                </c:pt>
                <c:pt idx="10">
                  <c:v>57.551274083281548</c:v>
                </c:pt>
                <c:pt idx="11">
                  <c:v>55.909943714821765</c:v>
                </c:pt>
                <c:pt idx="12">
                  <c:v>55.805114029025574</c:v>
                </c:pt>
                <c:pt idx="13">
                  <c:v>55.896032831737344</c:v>
                </c:pt>
                <c:pt idx="14">
                  <c:v>54.798366513527306</c:v>
                </c:pt>
                <c:pt idx="15">
                  <c:v>55.26137135098439</c:v>
                </c:pt>
                <c:pt idx="16">
                  <c:v>56.004756242568376</c:v>
                </c:pt>
                <c:pt idx="17">
                  <c:v>55.714626580768311</c:v>
                </c:pt>
                <c:pt idx="18">
                  <c:v>55.16628585935517</c:v>
                </c:pt>
                <c:pt idx="19">
                  <c:v>56.251645169781519</c:v>
                </c:pt>
                <c:pt idx="20">
                  <c:v>55.051391326146906</c:v>
                </c:pt>
                <c:pt idx="21">
                  <c:v>55.340223944875113</c:v>
                </c:pt>
                <c:pt idx="22">
                  <c:v>55.566387209982452</c:v>
                </c:pt>
                <c:pt idx="23">
                  <c:v>57.085683099872654</c:v>
                </c:pt>
                <c:pt idx="24">
                  <c:v>57.843328775151392</c:v>
                </c:pt>
                <c:pt idx="25">
                  <c:v>58.87455045483393</c:v>
                </c:pt>
                <c:pt idx="26">
                  <c:v>58.315071828585339</c:v>
                </c:pt>
                <c:pt idx="27">
                  <c:v>57.782404997397187</c:v>
                </c:pt>
                <c:pt idx="28">
                  <c:v>58.520648196549921</c:v>
                </c:pt>
                <c:pt idx="29">
                  <c:v>58.4895695801426</c:v>
                </c:pt>
                <c:pt idx="30">
                  <c:v>58.589267634154574</c:v>
                </c:pt>
                <c:pt idx="31">
                  <c:v>58.712942877801879</c:v>
                </c:pt>
                <c:pt idx="32">
                  <c:v>61.016949152542374</c:v>
                </c:pt>
                <c:pt idx="33">
                  <c:v>59.017375674056318</c:v>
                </c:pt>
                <c:pt idx="34">
                  <c:v>58.580738595220851</c:v>
                </c:pt>
                <c:pt idx="35">
                  <c:v>60.31567080045096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60</c:v>
                </c:pt>
                <c:pt idx="1">
                  <c:v>54.054054054054056</c:v>
                </c:pt>
                <c:pt idx="2">
                  <c:v>68.181818181818173</c:v>
                </c:pt>
                <c:pt idx="3">
                  <c:v>59.016393442622949</c:v>
                </c:pt>
                <c:pt idx="4">
                  <c:v>64.615384615384613</c:v>
                </c:pt>
                <c:pt idx="5">
                  <c:v>56.666666666666664</c:v>
                </c:pt>
                <c:pt idx="6">
                  <c:v>53.125</c:v>
                </c:pt>
                <c:pt idx="7">
                  <c:v>61.157024793388423</c:v>
                </c:pt>
                <c:pt idx="8">
                  <c:v>63.793103448275865</c:v>
                </c:pt>
                <c:pt idx="9">
                  <c:v>65.116279069767444</c:v>
                </c:pt>
                <c:pt idx="10">
                  <c:v>66.666666666666657</c:v>
                </c:pt>
                <c:pt idx="11">
                  <c:v>61.676646706586823</c:v>
                </c:pt>
                <c:pt idx="12">
                  <c:v>61.502347417840376</c:v>
                </c:pt>
                <c:pt idx="13">
                  <c:v>57.777777777777771</c:v>
                </c:pt>
                <c:pt idx="14">
                  <c:v>59.248554913294797</c:v>
                </c:pt>
                <c:pt idx="15">
                  <c:v>63.157894736842103</c:v>
                </c:pt>
                <c:pt idx="16">
                  <c:v>59.454855195911414</c:v>
                </c:pt>
                <c:pt idx="17">
                  <c:v>64.886515353805081</c:v>
                </c:pt>
                <c:pt idx="18">
                  <c:v>64.759725400457668</c:v>
                </c:pt>
                <c:pt idx="19">
                  <c:v>64.588979223125563</c:v>
                </c:pt>
                <c:pt idx="20">
                  <c:v>62.62002743484225</c:v>
                </c:pt>
                <c:pt idx="21">
                  <c:v>63.46153846153846</c:v>
                </c:pt>
                <c:pt idx="22">
                  <c:v>63.522012578616348</c:v>
                </c:pt>
                <c:pt idx="23">
                  <c:v>65.168539325842701</c:v>
                </c:pt>
                <c:pt idx="24">
                  <c:v>64.913935392596088</c:v>
                </c:pt>
                <c:pt idx="25">
                  <c:v>64.673128480098981</c:v>
                </c:pt>
                <c:pt idx="26">
                  <c:v>66.772718234241395</c:v>
                </c:pt>
                <c:pt idx="27">
                  <c:v>65.966463976414218</c:v>
                </c:pt>
                <c:pt idx="28">
                  <c:v>64.117446227381365</c:v>
                </c:pt>
                <c:pt idx="29">
                  <c:v>64.798275331074834</c:v>
                </c:pt>
                <c:pt idx="30">
                  <c:v>65.153452685421996</c:v>
                </c:pt>
                <c:pt idx="31">
                  <c:v>64.659569749390116</c:v>
                </c:pt>
                <c:pt idx="32">
                  <c:v>64.348290598290603</c:v>
                </c:pt>
                <c:pt idx="33">
                  <c:v>64.16694196674375</c:v>
                </c:pt>
                <c:pt idx="34">
                  <c:v>63.253322344699704</c:v>
                </c:pt>
                <c:pt idx="35">
                  <c:v>61.920260374288041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51.612903225806448</c:v>
                </c:pt>
                <c:pt idx="1">
                  <c:v>55.555555555555557</c:v>
                </c:pt>
                <c:pt idx="2">
                  <c:v>55.217391304347828</c:v>
                </c:pt>
                <c:pt idx="3">
                  <c:v>49.769585253456221</c:v>
                </c:pt>
                <c:pt idx="4">
                  <c:v>55.76036866359447</c:v>
                </c:pt>
                <c:pt idx="5">
                  <c:v>53.903345724907062</c:v>
                </c:pt>
                <c:pt idx="6">
                  <c:v>54.374999999999993</c:v>
                </c:pt>
                <c:pt idx="7">
                  <c:v>52.698412698412703</c:v>
                </c:pt>
                <c:pt idx="8">
                  <c:v>56.351791530944631</c:v>
                </c:pt>
                <c:pt idx="9">
                  <c:v>55.000000000000007</c:v>
                </c:pt>
                <c:pt idx="10">
                  <c:v>54.421768707482997</c:v>
                </c:pt>
                <c:pt idx="11">
                  <c:v>52.411575562700961</c:v>
                </c:pt>
                <c:pt idx="12">
                  <c:v>54.624277456647398</c:v>
                </c:pt>
                <c:pt idx="13">
                  <c:v>53.543307086614178</c:v>
                </c:pt>
                <c:pt idx="14">
                  <c:v>56.742556917688269</c:v>
                </c:pt>
                <c:pt idx="15">
                  <c:v>59.578947368421055</c:v>
                </c:pt>
                <c:pt idx="16">
                  <c:v>57.305936073059357</c:v>
                </c:pt>
                <c:pt idx="17">
                  <c:v>56.224899598393577</c:v>
                </c:pt>
                <c:pt idx="18">
                  <c:v>58.248472505091655</c:v>
                </c:pt>
                <c:pt idx="19">
                  <c:v>55.882352941176471</c:v>
                </c:pt>
                <c:pt idx="20">
                  <c:v>59.968354430379748</c:v>
                </c:pt>
                <c:pt idx="21">
                  <c:v>61.142061281337043</c:v>
                </c:pt>
                <c:pt idx="22">
                  <c:v>58.412322274881511</c:v>
                </c:pt>
                <c:pt idx="23">
                  <c:v>56.127703398558182</c:v>
                </c:pt>
                <c:pt idx="24">
                  <c:v>55.2734375</c:v>
                </c:pt>
                <c:pt idx="25">
                  <c:v>56.828193832599119</c:v>
                </c:pt>
                <c:pt idx="26">
                  <c:v>56.992724333063862</c:v>
                </c:pt>
                <c:pt idx="27">
                  <c:v>54.604200323101779</c:v>
                </c:pt>
                <c:pt idx="28">
                  <c:v>54.136546184738954</c:v>
                </c:pt>
                <c:pt idx="29">
                  <c:v>54.656488549618324</c:v>
                </c:pt>
                <c:pt idx="30">
                  <c:v>51.651090342679126</c:v>
                </c:pt>
                <c:pt idx="31">
                  <c:v>51.857355126300156</c:v>
                </c:pt>
                <c:pt idx="32">
                  <c:v>55.039370078740156</c:v>
                </c:pt>
                <c:pt idx="33">
                  <c:v>56.827473426001639</c:v>
                </c:pt>
                <c:pt idx="34">
                  <c:v>56.685714285714283</c:v>
                </c:pt>
                <c:pt idx="35">
                  <c:v>52.291421856639253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Core clinical journal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55.074394847879191</c:v>
                </c:pt>
                <c:pt idx="1">
                  <c:v>55.775510204081634</c:v>
                </c:pt>
                <c:pt idx="2">
                  <c:v>56.458980449479256</c:v>
                </c:pt>
                <c:pt idx="3">
                  <c:v>57.204412271630467</c:v>
                </c:pt>
                <c:pt idx="4">
                  <c:v>57.475031210986273</c:v>
                </c:pt>
                <c:pt idx="5">
                  <c:v>57.449985070170193</c:v>
                </c:pt>
                <c:pt idx="6">
                  <c:v>57.275631716526284</c:v>
                </c:pt>
                <c:pt idx="7">
                  <c:v>58.554385964912278</c:v>
                </c:pt>
                <c:pt idx="8">
                  <c:v>59.461732548359969</c:v>
                </c:pt>
                <c:pt idx="9">
                  <c:v>61.269028694597871</c:v>
                </c:pt>
                <c:pt idx="10">
                  <c:v>63.570550471247103</c:v>
                </c:pt>
                <c:pt idx="11">
                  <c:v>61.252160042536218</c:v>
                </c:pt>
                <c:pt idx="12">
                  <c:v>60.983025082341015</c:v>
                </c:pt>
                <c:pt idx="13">
                  <c:v>61.594115519112499</c:v>
                </c:pt>
                <c:pt idx="14">
                  <c:v>62.324145030309964</c:v>
                </c:pt>
                <c:pt idx="15">
                  <c:v>63.350058716771642</c:v>
                </c:pt>
                <c:pt idx="16">
                  <c:v>62.605456338336808</c:v>
                </c:pt>
                <c:pt idx="17">
                  <c:v>63.859573551583026</c:v>
                </c:pt>
                <c:pt idx="18">
                  <c:v>63.948950532644233</c:v>
                </c:pt>
                <c:pt idx="19">
                  <c:v>62.904777172170569</c:v>
                </c:pt>
                <c:pt idx="20">
                  <c:v>64.17925278219397</c:v>
                </c:pt>
                <c:pt idx="21">
                  <c:v>64.571810032424182</c:v>
                </c:pt>
                <c:pt idx="22">
                  <c:v>65.353068728198366</c:v>
                </c:pt>
                <c:pt idx="23">
                  <c:v>64.894348050163202</c:v>
                </c:pt>
                <c:pt idx="24">
                  <c:v>65.062656641604008</c:v>
                </c:pt>
                <c:pt idx="25">
                  <c:v>65.826197272438947</c:v>
                </c:pt>
                <c:pt idx="26">
                  <c:v>65.927124258531705</c:v>
                </c:pt>
                <c:pt idx="27">
                  <c:v>64.26601784266019</c:v>
                </c:pt>
                <c:pt idx="28">
                  <c:v>64.159548884650462</c:v>
                </c:pt>
                <c:pt idx="29">
                  <c:v>64.983960830660138</c:v>
                </c:pt>
                <c:pt idx="30">
                  <c:v>64.284021799225968</c:v>
                </c:pt>
                <c:pt idx="31">
                  <c:v>64.861210530501864</c:v>
                </c:pt>
                <c:pt idx="32">
                  <c:v>64.801627670396741</c:v>
                </c:pt>
                <c:pt idx="33">
                  <c:v>64.899384360929886</c:v>
                </c:pt>
                <c:pt idx="34">
                  <c:v>63.933307332293289</c:v>
                </c:pt>
                <c:pt idx="35">
                  <c:v>63.697303739013854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48.442760942760941</c:v>
                </c:pt>
                <c:pt idx="1">
                  <c:v>48.330117899249728</c:v>
                </c:pt>
                <c:pt idx="2">
                  <c:v>49.186123305232897</c:v>
                </c:pt>
                <c:pt idx="3">
                  <c:v>50.094666523773803</c:v>
                </c:pt>
                <c:pt idx="4">
                  <c:v>50.326387973097717</c:v>
                </c:pt>
                <c:pt idx="5">
                  <c:v>50.421549231471616</c:v>
                </c:pt>
                <c:pt idx="6">
                  <c:v>51.182351108719658</c:v>
                </c:pt>
                <c:pt idx="7">
                  <c:v>51.958746402302523</c:v>
                </c:pt>
                <c:pt idx="8">
                  <c:v>52.01203174763662</c:v>
                </c:pt>
                <c:pt idx="9">
                  <c:v>53.573290365385532</c:v>
                </c:pt>
                <c:pt idx="10">
                  <c:v>54.30615489439019</c:v>
                </c:pt>
                <c:pt idx="11">
                  <c:v>52.385001275401756</c:v>
                </c:pt>
                <c:pt idx="12">
                  <c:v>52.303646286482639</c:v>
                </c:pt>
                <c:pt idx="13">
                  <c:v>52.035966374632004</c:v>
                </c:pt>
                <c:pt idx="14">
                  <c:v>52.321500120201932</c:v>
                </c:pt>
                <c:pt idx="15">
                  <c:v>52.507830444769269</c:v>
                </c:pt>
                <c:pt idx="16">
                  <c:v>52.890091846682743</c:v>
                </c:pt>
                <c:pt idx="17">
                  <c:v>53.430769771282016</c:v>
                </c:pt>
                <c:pt idx="18">
                  <c:v>53.355070664320181</c:v>
                </c:pt>
                <c:pt idx="19">
                  <c:v>53.447910250325656</c:v>
                </c:pt>
                <c:pt idx="20">
                  <c:v>53.512662887432818</c:v>
                </c:pt>
                <c:pt idx="21">
                  <c:v>54.046428748205713</c:v>
                </c:pt>
                <c:pt idx="22">
                  <c:v>54.205309573321593</c:v>
                </c:pt>
                <c:pt idx="23">
                  <c:v>54.841202380032449</c:v>
                </c:pt>
                <c:pt idx="24">
                  <c:v>55.430075288160438</c:v>
                </c:pt>
                <c:pt idx="25">
                  <c:v>55.722590463092082</c:v>
                </c:pt>
                <c:pt idx="26">
                  <c:v>56.111372992677786</c:v>
                </c:pt>
                <c:pt idx="27">
                  <c:v>55.908217307205057</c:v>
                </c:pt>
                <c:pt idx="28">
                  <c:v>55.85693710993759</c:v>
                </c:pt>
                <c:pt idx="29">
                  <c:v>56.220319615037873</c:v>
                </c:pt>
                <c:pt idx="30">
                  <c:v>56.685378404214205</c:v>
                </c:pt>
                <c:pt idx="31">
                  <c:v>57.390777158879928</c:v>
                </c:pt>
                <c:pt idx="32">
                  <c:v>56.978351448374617</c:v>
                </c:pt>
                <c:pt idx="33">
                  <c:v>57.570232047233283</c:v>
                </c:pt>
                <c:pt idx="34">
                  <c:v>57.276227705318774</c:v>
                </c:pt>
                <c:pt idx="35">
                  <c:v>57.850175999007583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ser>
          <c:idx val="6"/>
          <c:order val="6"/>
          <c:tx>
            <c:strRef>
              <c:f>Sheet1!$I$8</c:f>
              <c:strCache>
                <c:ptCount val="1"/>
                <c:pt idx="0">
                  <c:v>Observational study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Sheet1!$J$8:$AS$8</c:f>
              <c:numCache>
                <c:formatCode>General</c:formatCode>
                <c:ptCount val="36"/>
                <c:pt idx="22">
                  <c:v>68.686868686868678</c:v>
                </c:pt>
                <c:pt idx="23">
                  <c:v>64.158487822609956</c:v>
                </c:pt>
                <c:pt idx="24">
                  <c:v>65.08750220965176</c:v>
                </c:pt>
                <c:pt idx="25">
                  <c:v>64.391223289832212</c:v>
                </c:pt>
                <c:pt idx="26">
                  <c:v>65.012787723785166</c:v>
                </c:pt>
                <c:pt idx="27">
                  <c:v>64.718943554984222</c:v>
                </c:pt>
                <c:pt idx="28">
                  <c:v>63.658824793210869</c:v>
                </c:pt>
                <c:pt idx="29">
                  <c:v>63.402317061095161</c:v>
                </c:pt>
                <c:pt idx="30">
                  <c:v>63.829787234042556</c:v>
                </c:pt>
                <c:pt idx="31">
                  <c:v>64.944121591417087</c:v>
                </c:pt>
                <c:pt idx="32">
                  <c:v>64.544419134396364</c:v>
                </c:pt>
                <c:pt idx="33">
                  <c:v>64.035863114029539</c:v>
                </c:pt>
                <c:pt idx="34">
                  <c:v>62.862083873757022</c:v>
                </c:pt>
                <c:pt idx="35">
                  <c:v>64.419934640522882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8-4A64-981A-39E8AFE456FF}"/>
            </c:ext>
          </c:extLst>
        </c:ser>
        <c:ser>
          <c:idx val="7"/>
          <c:order val="7"/>
          <c:tx>
            <c:strRef>
              <c:f>Sheet1!$I$9</c:f>
              <c:strCache>
                <c:ptCount val="1"/>
                <c:pt idx="0">
                  <c:v>Systematic review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Sheet1!$J$9:$AS$9</c:f>
              <c:numCache>
                <c:formatCode>General</c:formatCode>
                <c:ptCount val="36"/>
                <c:pt idx="13">
                  <c:v>60.294117647058819</c:v>
                </c:pt>
                <c:pt idx="14">
                  <c:v>53.529411764705884</c:v>
                </c:pt>
                <c:pt idx="15">
                  <c:v>63.20754716981132</c:v>
                </c:pt>
                <c:pt idx="16">
                  <c:v>55.390334572490708</c:v>
                </c:pt>
                <c:pt idx="17">
                  <c:v>61.096605744125334</c:v>
                </c:pt>
                <c:pt idx="18">
                  <c:v>61.96868008948546</c:v>
                </c:pt>
                <c:pt idx="19">
                  <c:v>59.683098591549296</c:v>
                </c:pt>
                <c:pt idx="20">
                  <c:v>60.724233983286915</c:v>
                </c:pt>
                <c:pt idx="21">
                  <c:v>61.771300448430488</c:v>
                </c:pt>
                <c:pt idx="22">
                  <c:v>61.937984496124031</c:v>
                </c:pt>
                <c:pt idx="23">
                  <c:v>62.659698025551677</c:v>
                </c:pt>
                <c:pt idx="24">
                  <c:v>63.073286052009458</c:v>
                </c:pt>
                <c:pt idx="25">
                  <c:v>63.602391629297458</c:v>
                </c:pt>
                <c:pt idx="26">
                  <c:v>64.827127659574472</c:v>
                </c:pt>
                <c:pt idx="27">
                  <c:v>64.189189189189193</c:v>
                </c:pt>
                <c:pt idx="28">
                  <c:v>62.720763723150363</c:v>
                </c:pt>
                <c:pt idx="29">
                  <c:v>64.361394721633587</c:v>
                </c:pt>
                <c:pt idx="30">
                  <c:v>64.144115796098177</c:v>
                </c:pt>
                <c:pt idx="31">
                  <c:v>63.639973527465251</c:v>
                </c:pt>
                <c:pt idx="32">
                  <c:v>63.963730569948183</c:v>
                </c:pt>
                <c:pt idx="33">
                  <c:v>63.345242821225355</c:v>
                </c:pt>
                <c:pt idx="34">
                  <c:v>62.256218614971395</c:v>
                </c:pt>
                <c:pt idx="35">
                  <c:v>61.140876142451937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8-4A64-981A-39E8AFE4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Pubmed Abstracts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1419541081487368"/>
          <c:y val="9.7655360392195689E-2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440578</xdr:colOff>
      <xdr:row>9</xdr:row>
      <xdr:rowOff>168835</xdr:rowOff>
    </xdr:from>
    <xdr:to>
      <xdr:col>21</xdr:col>
      <xdr:colOff>288178</xdr:colOff>
      <xdr:row>37</xdr:row>
      <xdr:rowOff>14567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cuments\&#52852;&#52852;&#50724;&#53665;%20&#48155;&#51008;%20&#54028;&#51068;\20250923\20251128Fig1PubmedTotal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  <sheetName val="Sheet2"/>
      <sheetName val="Sheet1"/>
    </sheetNames>
    <sheetDataSet>
      <sheetData sheetId="0">
        <row r="1">
          <cell r="C1" t="str">
            <v>HasPvalue</v>
          </cell>
          <cell r="F1" t="str">
            <v>Pvalue0.005</v>
          </cell>
        </row>
        <row r="2">
          <cell r="C2">
            <v>2135</v>
          </cell>
          <cell r="F2">
            <v>933</v>
          </cell>
        </row>
        <row r="3">
          <cell r="C3">
            <v>2535</v>
          </cell>
          <cell r="F3">
            <v>1140</v>
          </cell>
        </row>
        <row r="4">
          <cell r="C4">
            <v>2792</v>
          </cell>
          <cell r="F4">
            <v>1274</v>
          </cell>
        </row>
        <row r="5">
          <cell r="C5">
            <v>3143</v>
          </cell>
          <cell r="F5">
            <v>1485</v>
          </cell>
        </row>
        <row r="6">
          <cell r="C6">
            <v>3718</v>
          </cell>
          <cell r="F6">
            <v>1698</v>
          </cell>
        </row>
        <row r="7">
          <cell r="C7">
            <v>4180</v>
          </cell>
          <cell r="F7">
            <v>1969</v>
          </cell>
        </row>
        <row r="8">
          <cell r="C8">
            <v>4291</v>
          </cell>
          <cell r="F8">
            <v>2128</v>
          </cell>
        </row>
        <row r="9">
          <cell r="C9">
            <v>4562</v>
          </cell>
          <cell r="F9">
            <v>2274</v>
          </cell>
        </row>
        <row r="10">
          <cell r="C10">
            <v>4862</v>
          </cell>
          <cell r="F10">
            <v>2383</v>
          </cell>
        </row>
        <row r="11">
          <cell r="C11">
            <v>5381</v>
          </cell>
          <cell r="F11">
            <v>2789</v>
          </cell>
        </row>
        <row r="12">
          <cell r="C12">
            <v>5256</v>
          </cell>
          <cell r="F12">
            <v>2731</v>
          </cell>
        </row>
        <row r="13">
          <cell r="C13">
            <v>5743</v>
          </cell>
          <cell r="F13">
            <v>2882</v>
          </cell>
        </row>
        <row r="14">
          <cell r="C14">
            <v>6056</v>
          </cell>
          <cell r="F14">
            <v>3068</v>
          </cell>
        </row>
        <row r="15">
          <cell r="C15">
            <v>6904</v>
          </cell>
          <cell r="F15">
            <v>3479</v>
          </cell>
        </row>
        <row r="16">
          <cell r="C16">
            <v>7725</v>
          </cell>
          <cell r="F16">
            <v>3907</v>
          </cell>
        </row>
        <row r="17">
          <cell r="C17">
            <v>8588</v>
          </cell>
          <cell r="F17">
            <v>4333</v>
          </cell>
        </row>
        <row r="18">
          <cell r="C18">
            <v>9143</v>
          </cell>
          <cell r="F18">
            <v>4560</v>
          </cell>
        </row>
        <row r="19">
          <cell r="C19">
            <v>10018</v>
          </cell>
          <cell r="F19">
            <v>5026</v>
          </cell>
        </row>
        <row r="20">
          <cell r="C20">
            <v>10396</v>
          </cell>
          <cell r="F20">
            <v>5309</v>
          </cell>
        </row>
        <row r="21">
          <cell r="C21">
            <v>11123</v>
          </cell>
          <cell r="F21">
            <v>5602</v>
          </cell>
        </row>
        <row r="22">
          <cell r="C22">
            <v>12049</v>
          </cell>
          <cell r="F22">
            <v>5977</v>
          </cell>
        </row>
        <row r="23">
          <cell r="C23">
            <v>13412</v>
          </cell>
          <cell r="F23">
            <v>6834</v>
          </cell>
        </row>
        <row r="24">
          <cell r="C24">
            <v>14759</v>
          </cell>
          <cell r="F24">
            <v>7522</v>
          </cell>
        </row>
        <row r="25">
          <cell r="C25">
            <v>15621</v>
          </cell>
          <cell r="F25">
            <v>7916</v>
          </cell>
        </row>
        <row r="26">
          <cell r="C26">
            <v>16034</v>
          </cell>
          <cell r="F26">
            <v>8110</v>
          </cell>
        </row>
        <row r="27">
          <cell r="C27">
            <v>16158</v>
          </cell>
          <cell r="F27">
            <v>8219</v>
          </cell>
        </row>
        <row r="28">
          <cell r="C28">
            <v>15629</v>
          </cell>
          <cell r="F28">
            <v>8014</v>
          </cell>
        </row>
        <row r="29">
          <cell r="C29">
            <v>15752</v>
          </cell>
          <cell r="F29">
            <v>8013</v>
          </cell>
        </row>
        <row r="30">
          <cell r="C30">
            <v>15369</v>
          </cell>
          <cell r="F30">
            <v>7856</v>
          </cell>
        </row>
        <row r="31">
          <cell r="C31">
            <v>15319</v>
          </cell>
          <cell r="F31">
            <v>7877</v>
          </cell>
        </row>
        <row r="32">
          <cell r="C32">
            <v>16614</v>
          </cell>
          <cell r="F32">
            <v>8465</v>
          </cell>
        </row>
        <row r="33">
          <cell r="C33">
            <v>17203</v>
          </cell>
          <cell r="F33">
            <v>8728</v>
          </cell>
        </row>
        <row r="34">
          <cell r="C34">
            <v>16516</v>
          </cell>
          <cell r="F34">
            <v>8370</v>
          </cell>
        </row>
        <row r="35">
          <cell r="C35">
            <v>14646</v>
          </cell>
          <cell r="F35">
            <v>7613</v>
          </cell>
        </row>
        <row r="36">
          <cell r="C36">
            <v>16344</v>
          </cell>
          <cell r="F36">
            <v>8578</v>
          </cell>
        </row>
        <row r="37">
          <cell r="C37">
            <v>10371</v>
          </cell>
          <cell r="F37">
            <v>5473</v>
          </cell>
        </row>
        <row r="38">
          <cell r="C38">
            <v>360347</v>
          </cell>
          <cell r="F38">
            <v>182535</v>
          </cell>
        </row>
        <row r="39">
          <cell r="C39">
            <v>17203</v>
          </cell>
          <cell r="F39">
            <v>8728</v>
          </cell>
        </row>
        <row r="40">
          <cell r="C40">
            <v>2135</v>
          </cell>
          <cell r="F40">
            <v>933</v>
          </cell>
        </row>
      </sheetData>
      <sheetData sheetId="1">
        <row r="1">
          <cell r="C1" t="str">
            <v>HasPvalue</v>
          </cell>
          <cell r="F1" t="str">
            <v>Pvalue0.005</v>
          </cell>
        </row>
        <row r="2">
          <cell r="C2">
            <v>767</v>
          </cell>
          <cell r="F2">
            <v>381</v>
          </cell>
        </row>
        <row r="3">
          <cell r="C3">
            <v>882</v>
          </cell>
          <cell r="F3">
            <v>465</v>
          </cell>
        </row>
        <row r="4">
          <cell r="C4">
            <v>805</v>
          </cell>
          <cell r="F4">
            <v>413</v>
          </cell>
        </row>
        <row r="5">
          <cell r="C5">
            <v>884</v>
          </cell>
          <cell r="F5">
            <v>467</v>
          </cell>
        </row>
        <row r="6">
          <cell r="C6">
            <v>2194</v>
          </cell>
          <cell r="F6">
            <v>1132</v>
          </cell>
        </row>
        <row r="7">
          <cell r="C7">
            <v>2332</v>
          </cell>
          <cell r="F7">
            <v>1222</v>
          </cell>
        </row>
        <row r="8">
          <cell r="C8">
            <v>2296</v>
          </cell>
          <cell r="F8">
            <v>1212</v>
          </cell>
        </row>
        <row r="9">
          <cell r="C9">
            <v>2633</v>
          </cell>
          <cell r="F9">
            <v>1418</v>
          </cell>
        </row>
        <row r="10">
          <cell r="C10">
            <v>2743</v>
          </cell>
          <cell r="F10">
            <v>1475</v>
          </cell>
        </row>
        <row r="11">
          <cell r="C11">
            <v>3158</v>
          </cell>
          <cell r="F11">
            <v>1755</v>
          </cell>
        </row>
        <row r="12">
          <cell r="C12">
            <v>3218</v>
          </cell>
          <cell r="F12">
            <v>1852</v>
          </cell>
        </row>
        <row r="13">
          <cell r="C13">
            <v>2665</v>
          </cell>
          <cell r="F13">
            <v>1490</v>
          </cell>
        </row>
        <row r="14">
          <cell r="C14">
            <v>2894</v>
          </cell>
          <cell r="F14">
            <v>1615</v>
          </cell>
        </row>
        <row r="15">
          <cell r="C15">
            <v>3655</v>
          </cell>
          <cell r="F15">
            <v>2043</v>
          </cell>
        </row>
        <row r="16">
          <cell r="C16">
            <v>3918</v>
          </cell>
          <cell r="F16">
            <v>2147</v>
          </cell>
        </row>
        <row r="17">
          <cell r="C17">
            <v>4419</v>
          </cell>
          <cell r="F17">
            <v>2442</v>
          </cell>
        </row>
        <row r="18">
          <cell r="C18">
            <v>4205</v>
          </cell>
          <cell r="F18">
            <v>2355</v>
          </cell>
        </row>
        <row r="19">
          <cell r="C19">
            <v>4191</v>
          </cell>
          <cell r="F19">
            <v>2335</v>
          </cell>
        </row>
        <row r="20">
          <cell r="C20">
            <v>3939</v>
          </cell>
          <cell r="F20">
            <v>2173</v>
          </cell>
        </row>
        <row r="21">
          <cell r="C21">
            <v>3799</v>
          </cell>
          <cell r="F21">
            <v>2137</v>
          </cell>
        </row>
        <row r="22">
          <cell r="C22">
            <v>3989</v>
          </cell>
          <cell r="F22">
            <v>2196</v>
          </cell>
        </row>
        <row r="23">
          <cell r="C23">
            <v>4644</v>
          </cell>
          <cell r="F23">
            <v>2570</v>
          </cell>
        </row>
        <row r="24">
          <cell r="C24">
            <v>5129</v>
          </cell>
          <cell r="F24">
            <v>2850</v>
          </cell>
        </row>
        <row r="25">
          <cell r="C25">
            <v>5497</v>
          </cell>
          <cell r="F25">
            <v>3138</v>
          </cell>
        </row>
        <row r="26">
          <cell r="C26">
            <v>5119</v>
          </cell>
          <cell r="F26">
            <v>2961</v>
          </cell>
        </row>
        <row r="27">
          <cell r="C27">
            <v>4727</v>
          </cell>
          <cell r="F27">
            <v>2783</v>
          </cell>
        </row>
        <row r="28">
          <cell r="C28">
            <v>4107</v>
          </cell>
          <cell r="F28">
            <v>2395</v>
          </cell>
        </row>
        <row r="29">
          <cell r="C29">
            <v>3842</v>
          </cell>
          <cell r="F29">
            <v>2220</v>
          </cell>
        </row>
        <row r="30">
          <cell r="C30">
            <v>3826</v>
          </cell>
          <cell r="F30">
            <v>2239</v>
          </cell>
        </row>
        <row r="31">
          <cell r="C31">
            <v>3787</v>
          </cell>
          <cell r="F31">
            <v>2215</v>
          </cell>
        </row>
        <row r="32">
          <cell r="C32">
            <v>2963</v>
          </cell>
          <cell r="F32">
            <v>1736</v>
          </cell>
        </row>
        <row r="33">
          <cell r="C33">
            <v>2766</v>
          </cell>
          <cell r="F33">
            <v>1624</v>
          </cell>
        </row>
        <row r="34">
          <cell r="C34">
            <v>2065</v>
          </cell>
          <cell r="F34">
            <v>1260</v>
          </cell>
        </row>
        <row r="35">
          <cell r="C35">
            <v>1669</v>
          </cell>
          <cell r="F35">
            <v>985</v>
          </cell>
        </row>
        <row r="36">
          <cell r="C36">
            <v>1381</v>
          </cell>
          <cell r="F36">
            <v>809</v>
          </cell>
        </row>
        <row r="37">
          <cell r="C37">
            <v>887</v>
          </cell>
          <cell r="F37">
            <v>535</v>
          </cell>
        </row>
        <row r="38">
          <cell r="C38">
            <v>111995</v>
          </cell>
          <cell r="F38">
            <v>63045</v>
          </cell>
        </row>
        <row r="39">
          <cell r="C39">
            <v>5497</v>
          </cell>
          <cell r="F39">
            <v>3138</v>
          </cell>
        </row>
        <row r="40">
          <cell r="C40">
            <v>767</v>
          </cell>
          <cell r="F40">
            <v>381</v>
          </cell>
        </row>
      </sheetData>
      <sheetData sheetId="2">
        <row r="1">
          <cell r="C1" t="str">
            <v>HasPvalue</v>
          </cell>
          <cell r="F1" t="str">
            <v>Pvalue0.005</v>
          </cell>
        </row>
        <row r="2">
          <cell r="C2">
            <v>30</v>
          </cell>
          <cell r="F2">
            <v>18</v>
          </cell>
        </row>
        <row r="3">
          <cell r="C3">
            <v>37</v>
          </cell>
          <cell r="F3">
            <v>20</v>
          </cell>
        </row>
        <row r="4">
          <cell r="C4">
            <v>44</v>
          </cell>
          <cell r="F4">
            <v>30</v>
          </cell>
        </row>
        <row r="5">
          <cell r="C5">
            <v>61</v>
          </cell>
          <cell r="F5">
            <v>36</v>
          </cell>
        </row>
        <row r="6">
          <cell r="C6">
            <v>65</v>
          </cell>
          <cell r="F6">
            <v>42</v>
          </cell>
        </row>
        <row r="7">
          <cell r="C7">
            <v>90</v>
          </cell>
          <cell r="F7">
            <v>51</v>
          </cell>
        </row>
        <row r="8">
          <cell r="C8">
            <v>96</v>
          </cell>
          <cell r="F8">
            <v>51</v>
          </cell>
        </row>
        <row r="9">
          <cell r="C9">
            <v>121</v>
          </cell>
          <cell r="F9">
            <v>74</v>
          </cell>
        </row>
        <row r="10">
          <cell r="C10">
            <v>116</v>
          </cell>
          <cell r="F10">
            <v>74</v>
          </cell>
        </row>
        <row r="11">
          <cell r="C11">
            <v>129</v>
          </cell>
          <cell r="F11">
            <v>84</v>
          </cell>
        </row>
        <row r="12">
          <cell r="C12">
            <v>177</v>
          </cell>
          <cell r="F12">
            <v>118</v>
          </cell>
        </row>
        <row r="13">
          <cell r="C13">
            <v>167</v>
          </cell>
          <cell r="F13">
            <v>103</v>
          </cell>
        </row>
        <row r="14">
          <cell r="C14">
            <v>213</v>
          </cell>
          <cell r="F14">
            <v>131</v>
          </cell>
        </row>
        <row r="15">
          <cell r="C15">
            <v>315</v>
          </cell>
          <cell r="F15">
            <v>182</v>
          </cell>
        </row>
        <row r="16">
          <cell r="C16">
            <v>346</v>
          </cell>
          <cell r="F16">
            <v>205</v>
          </cell>
        </row>
        <row r="17">
          <cell r="C17">
            <v>494</v>
          </cell>
          <cell r="F17">
            <v>312</v>
          </cell>
        </row>
        <row r="18">
          <cell r="C18">
            <v>587</v>
          </cell>
          <cell r="F18">
            <v>349</v>
          </cell>
        </row>
        <row r="19">
          <cell r="C19">
            <v>749</v>
          </cell>
          <cell r="F19">
            <v>486</v>
          </cell>
        </row>
        <row r="20">
          <cell r="C20">
            <v>874</v>
          </cell>
          <cell r="F20">
            <v>566</v>
          </cell>
        </row>
        <row r="21">
          <cell r="C21">
            <v>1107</v>
          </cell>
          <cell r="F21">
            <v>715</v>
          </cell>
        </row>
        <row r="22">
          <cell r="C22">
            <v>1458</v>
          </cell>
          <cell r="F22">
            <v>913</v>
          </cell>
        </row>
        <row r="23">
          <cell r="C23">
            <v>1976</v>
          </cell>
          <cell r="F23">
            <v>1254</v>
          </cell>
        </row>
        <row r="24">
          <cell r="C24">
            <v>2703</v>
          </cell>
          <cell r="F24">
            <v>1717</v>
          </cell>
        </row>
        <row r="25">
          <cell r="C25">
            <v>3560</v>
          </cell>
          <cell r="F25">
            <v>2320</v>
          </cell>
        </row>
        <row r="26">
          <cell r="C26">
            <v>4241</v>
          </cell>
          <cell r="F26">
            <v>2753</v>
          </cell>
        </row>
        <row r="27">
          <cell r="C27">
            <v>4849</v>
          </cell>
          <cell r="F27">
            <v>3136</v>
          </cell>
        </row>
        <row r="28">
          <cell r="C28">
            <v>5029</v>
          </cell>
          <cell r="F28">
            <v>3358</v>
          </cell>
        </row>
        <row r="29">
          <cell r="C29">
            <v>5427</v>
          </cell>
          <cell r="F29">
            <v>3580</v>
          </cell>
        </row>
        <row r="30">
          <cell r="C30">
            <v>5858</v>
          </cell>
          <cell r="F30">
            <v>3756</v>
          </cell>
        </row>
        <row r="31">
          <cell r="C31">
            <v>6494</v>
          </cell>
          <cell r="F31">
            <v>4208</v>
          </cell>
        </row>
        <row r="32">
          <cell r="C32">
            <v>7820</v>
          </cell>
          <cell r="F32">
            <v>5095</v>
          </cell>
        </row>
        <row r="33">
          <cell r="C33">
            <v>9018</v>
          </cell>
          <cell r="F33">
            <v>5831</v>
          </cell>
        </row>
        <row r="34">
          <cell r="C34">
            <v>9360</v>
          </cell>
          <cell r="F34">
            <v>6023</v>
          </cell>
        </row>
        <row r="35">
          <cell r="C35">
            <v>9081</v>
          </cell>
          <cell r="F35">
            <v>5827</v>
          </cell>
        </row>
        <row r="36">
          <cell r="C36">
            <v>9707</v>
          </cell>
          <cell r="F36">
            <v>6140</v>
          </cell>
        </row>
        <row r="37">
          <cell r="C37">
            <v>6145</v>
          </cell>
          <cell r="F37">
            <v>3805</v>
          </cell>
        </row>
        <row r="38">
          <cell r="C38">
            <v>98544</v>
          </cell>
          <cell r="F38">
            <v>63363</v>
          </cell>
        </row>
        <row r="39">
          <cell r="C39">
            <v>9707</v>
          </cell>
          <cell r="F39">
            <v>6140</v>
          </cell>
        </row>
        <row r="40">
          <cell r="C40">
            <v>30</v>
          </cell>
          <cell r="F40">
            <v>18</v>
          </cell>
        </row>
      </sheetData>
      <sheetData sheetId="3">
        <row r="1">
          <cell r="C1" t="str">
            <v>HasPvalue</v>
          </cell>
          <cell r="F1" t="str">
            <v>Pvalue0.005</v>
          </cell>
        </row>
        <row r="2">
          <cell r="C2">
            <v>186</v>
          </cell>
          <cell r="F2">
            <v>96</v>
          </cell>
        </row>
        <row r="3">
          <cell r="C3">
            <v>207</v>
          </cell>
          <cell r="F3">
            <v>115</v>
          </cell>
        </row>
        <row r="4">
          <cell r="C4">
            <v>230</v>
          </cell>
          <cell r="F4">
            <v>127</v>
          </cell>
        </row>
        <row r="5">
          <cell r="C5">
            <v>217</v>
          </cell>
          <cell r="F5">
            <v>108</v>
          </cell>
        </row>
        <row r="6">
          <cell r="C6">
            <v>217</v>
          </cell>
          <cell r="F6">
            <v>121</v>
          </cell>
        </row>
        <row r="7">
          <cell r="C7">
            <v>269</v>
          </cell>
          <cell r="F7">
            <v>145</v>
          </cell>
        </row>
        <row r="8">
          <cell r="C8">
            <v>320</v>
          </cell>
          <cell r="F8">
            <v>174</v>
          </cell>
        </row>
        <row r="9">
          <cell r="C9">
            <v>315</v>
          </cell>
          <cell r="F9">
            <v>166</v>
          </cell>
        </row>
        <row r="10">
          <cell r="C10">
            <v>307</v>
          </cell>
          <cell r="F10">
            <v>173</v>
          </cell>
        </row>
        <row r="11">
          <cell r="C11">
            <v>260</v>
          </cell>
          <cell r="F11">
            <v>143</v>
          </cell>
        </row>
        <row r="12">
          <cell r="C12">
            <v>294</v>
          </cell>
          <cell r="F12">
            <v>160</v>
          </cell>
        </row>
        <row r="13">
          <cell r="C13">
            <v>311</v>
          </cell>
          <cell r="F13">
            <v>163</v>
          </cell>
        </row>
        <row r="14">
          <cell r="C14">
            <v>346</v>
          </cell>
          <cell r="F14">
            <v>189</v>
          </cell>
        </row>
        <row r="15">
          <cell r="C15">
            <v>508</v>
          </cell>
          <cell r="F15">
            <v>272</v>
          </cell>
        </row>
        <row r="16">
          <cell r="C16">
            <v>571</v>
          </cell>
          <cell r="F16">
            <v>324</v>
          </cell>
        </row>
        <row r="17">
          <cell r="C17">
            <v>475</v>
          </cell>
          <cell r="F17">
            <v>283</v>
          </cell>
        </row>
        <row r="18">
          <cell r="C18">
            <v>438</v>
          </cell>
          <cell r="F18">
            <v>251</v>
          </cell>
        </row>
        <row r="19">
          <cell r="C19">
            <v>498</v>
          </cell>
          <cell r="F19">
            <v>280</v>
          </cell>
        </row>
        <row r="20">
          <cell r="C20">
            <v>491</v>
          </cell>
          <cell r="F20">
            <v>286</v>
          </cell>
        </row>
        <row r="21">
          <cell r="C21">
            <v>544</v>
          </cell>
          <cell r="F21">
            <v>304</v>
          </cell>
        </row>
        <row r="22">
          <cell r="C22">
            <v>632</v>
          </cell>
          <cell r="F22">
            <v>379</v>
          </cell>
        </row>
        <row r="23">
          <cell r="C23">
            <v>718</v>
          </cell>
          <cell r="F23">
            <v>439</v>
          </cell>
        </row>
        <row r="24">
          <cell r="C24">
            <v>844</v>
          </cell>
          <cell r="F24">
            <v>493</v>
          </cell>
        </row>
        <row r="25">
          <cell r="C25">
            <v>971</v>
          </cell>
          <cell r="F25">
            <v>545</v>
          </cell>
        </row>
        <row r="26">
          <cell r="C26">
            <v>1024</v>
          </cell>
          <cell r="F26">
            <v>566</v>
          </cell>
        </row>
        <row r="27">
          <cell r="C27">
            <v>1135</v>
          </cell>
          <cell r="F27">
            <v>645</v>
          </cell>
        </row>
        <row r="28">
          <cell r="C28">
            <v>1237</v>
          </cell>
          <cell r="F28">
            <v>705</v>
          </cell>
        </row>
        <row r="29">
          <cell r="C29">
            <v>1238</v>
          </cell>
          <cell r="F29">
            <v>676</v>
          </cell>
        </row>
        <row r="30">
          <cell r="C30">
            <v>1245</v>
          </cell>
          <cell r="F30">
            <v>674</v>
          </cell>
        </row>
        <row r="31">
          <cell r="C31">
            <v>1310</v>
          </cell>
          <cell r="F31">
            <v>716</v>
          </cell>
        </row>
        <row r="32">
          <cell r="C32">
            <v>1605</v>
          </cell>
          <cell r="F32">
            <v>829</v>
          </cell>
        </row>
        <row r="33">
          <cell r="C33">
            <v>2019</v>
          </cell>
          <cell r="F33">
            <v>1047</v>
          </cell>
        </row>
        <row r="34">
          <cell r="C34">
            <v>2540</v>
          </cell>
          <cell r="F34">
            <v>1398</v>
          </cell>
        </row>
        <row r="35">
          <cell r="C35">
            <v>2446</v>
          </cell>
          <cell r="F35">
            <v>1390</v>
          </cell>
        </row>
        <row r="36">
          <cell r="C36">
            <v>1750</v>
          </cell>
          <cell r="F36">
            <v>992</v>
          </cell>
        </row>
        <row r="37">
          <cell r="C37">
            <v>851</v>
          </cell>
          <cell r="F37">
            <v>445</v>
          </cell>
        </row>
        <row r="38">
          <cell r="C38">
            <v>28569</v>
          </cell>
          <cell r="F38">
            <v>15819</v>
          </cell>
        </row>
        <row r="39">
          <cell r="C39">
            <v>2540</v>
          </cell>
          <cell r="F39">
            <v>1398</v>
          </cell>
        </row>
        <row r="40">
          <cell r="C40">
            <v>186</v>
          </cell>
          <cell r="F40">
            <v>96</v>
          </cell>
        </row>
      </sheetData>
      <sheetData sheetId="4">
        <row r="1">
          <cell r="C1" t="str">
            <v>HasPvalue</v>
          </cell>
          <cell r="F1" t="str">
            <v>Pvalue0.005</v>
          </cell>
        </row>
        <row r="2">
          <cell r="C2">
            <v>4503</v>
          </cell>
          <cell r="F2">
            <v>2480</v>
          </cell>
        </row>
        <row r="3">
          <cell r="C3">
            <v>4900</v>
          </cell>
          <cell r="F3">
            <v>2733</v>
          </cell>
        </row>
        <row r="4">
          <cell r="C4">
            <v>5473</v>
          </cell>
          <cell r="F4">
            <v>3090</v>
          </cell>
        </row>
        <row r="5">
          <cell r="C5">
            <v>5802</v>
          </cell>
          <cell r="F5">
            <v>3319</v>
          </cell>
        </row>
        <row r="6">
          <cell r="C6">
            <v>6408</v>
          </cell>
          <cell r="F6">
            <v>3683</v>
          </cell>
        </row>
        <row r="7">
          <cell r="C7">
            <v>6698</v>
          </cell>
          <cell r="F7">
            <v>3848</v>
          </cell>
        </row>
        <row r="8">
          <cell r="C8">
            <v>6886</v>
          </cell>
          <cell r="F8">
            <v>3944</v>
          </cell>
        </row>
        <row r="9">
          <cell r="C9">
            <v>7125</v>
          </cell>
          <cell r="F9">
            <v>4172</v>
          </cell>
        </row>
        <row r="10">
          <cell r="C10">
            <v>7134</v>
          </cell>
          <cell r="F10">
            <v>4242</v>
          </cell>
        </row>
        <row r="11">
          <cell r="C11">
            <v>7423</v>
          </cell>
          <cell r="F11">
            <v>4548</v>
          </cell>
        </row>
        <row r="12">
          <cell r="C12">
            <v>7321</v>
          </cell>
          <cell r="F12">
            <v>4654</v>
          </cell>
        </row>
        <row r="13">
          <cell r="C13">
            <v>7523</v>
          </cell>
          <cell r="F13">
            <v>4608</v>
          </cell>
        </row>
        <row r="14">
          <cell r="C14">
            <v>7894</v>
          </cell>
          <cell r="F14">
            <v>4814</v>
          </cell>
        </row>
        <row r="15">
          <cell r="C15">
            <v>8293</v>
          </cell>
          <cell r="F15">
            <v>5108</v>
          </cell>
        </row>
        <row r="16">
          <cell r="C16">
            <v>8743</v>
          </cell>
          <cell r="F16">
            <v>5449</v>
          </cell>
        </row>
        <row r="17">
          <cell r="C17">
            <v>9367</v>
          </cell>
          <cell r="F17">
            <v>5934</v>
          </cell>
        </row>
        <row r="18">
          <cell r="C18">
            <v>9127</v>
          </cell>
          <cell r="F18">
            <v>5714</v>
          </cell>
        </row>
        <row r="19">
          <cell r="C19">
            <v>9286</v>
          </cell>
          <cell r="F19">
            <v>5930</v>
          </cell>
        </row>
        <row r="20">
          <cell r="C20">
            <v>9481</v>
          </cell>
          <cell r="F20">
            <v>6063</v>
          </cell>
        </row>
        <row r="21">
          <cell r="C21">
            <v>9357</v>
          </cell>
          <cell r="F21">
            <v>5886</v>
          </cell>
        </row>
        <row r="22">
          <cell r="C22">
            <v>10064</v>
          </cell>
          <cell r="F22">
            <v>6459</v>
          </cell>
        </row>
        <row r="23">
          <cell r="C23">
            <v>10486</v>
          </cell>
          <cell r="F23">
            <v>6771</v>
          </cell>
        </row>
        <row r="24">
          <cell r="C24">
            <v>10607</v>
          </cell>
          <cell r="F24">
            <v>6932</v>
          </cell>
        </row>
        <row r="25">
          <cell r="C25">
            <v>11642</v>
          </cell>
          <cell r="F25">
            <v>7555</v>
          </cell>
        </row>
        <row r="26">
          <cell r="C26">
            <v>11970</v>
          </cell>
          <cell r="F26">
            <v>7788</v>
          </cell>
        </row>
        <row r="27">
          <cell r="C27">
            <v>12612</v>
          </cell>
          <cell r="F27">
            <v>8302</v>
          </cell>
        </row>
        <row r="28">
          <cell r="C28">
            <v>12981</v>
          </cell>
          <cell r="F28">
            <v>8558</v>
          </cell>
        </row>
        <row r="29">
          <cell r="C29">
            <v>12330</v>
          </cell>
          <cell r="F29">
            <v>7924</v>
          </cell>
        </row>
        <row r="30">
          <cell r="C30">
            <v>12059</v>
          </cell>
          <cell r="F30">
            <v>7737</v>
          </cell>
        </row>
        <row r="31">
          <cell r="C31">
            <v>11846</v>
          </cell>
          <cell r="F31">
            <v>7698</v>
          </cell>
        </row>
        <row r="32">
          <cell r="C32">
            <v>12661</v>
          </cell>
          <cell r="F32">
            <v>8139</v>
          </cell>
        </row>
        <row r="33">
          <cell r="C33">
            <v>12573</v>
          </cell>
          <cell r="F33">
            <v>8155</v>
          </cell>
        </row>
        <row r="34">
          <cell r="C34">
            <v>11796</v>
          </cell>
          <cell r="F34">
            <v>7644</v>
          </cell>
        </row>
        <row r="35">
          <cell r="C35">
            <v>10883</v>
          </cell>
          <cell r="F35">
            <v>7063</v>
          </cell>
        </row>
        <row r="36">
          <cell r="C36">
            <v>10256</v>
          </cell>
          <cell r="F36">
            <v>6557</v>
          </cell>
        </row>
        <row r="37">
          <cell r="C37">
            <v>6713</v>
          </cell>
          <cell r="F37">
            <v>4276</v>
          </cell>
        </row>
        <row r="38">
          <cell r="C38">
            <v>330223</v>
          </cell>
          <cell r="F38">
            <v>207777</v>
          </cell>
        </row>
        <row r="39">
          <cell r="C39">
            <v>12981</v>
          </cell>
          <cell r="F39">
            <v>8558</v>
          </cell>
        </row>
        <row r="40">
          <cell r="C40">
            <v>4503</v>
          </cell>
          <cell r="F40">
            <v>2480</v>
          </cell>
        </row>
      </sheetData>
      <sheetData sheetId="5">
        <row r="1">
          <cell r="C1" t="str">
            <v>HasPvalue</v>
          </cell>
          <cell r="F1" t="str">
            <v>Pvalue0.005</v>
          </cell>
        </row>
        <row r="2">
          <cell r="C2">
            <v>21384</v>
          </cell>
          <cell r="F2">
            <v>10359</v>
          </cell>
        </row>
        <row r="3">
          <cell r="C3">
            <v>23325</v>
          </cell>
          <cell r="F3">
            <v>11273</v>
          </cell>
        </row>
        <row r="4">
          <cell r="C4">
            <v>25741</v>
          </cell>
          <cell r="F4">
            <v>12661</v>
          </cell>
        </row>
        <row r="5">
          <cell r="C5">
            <v>27993</v>
          </cell>
          <cell r="F5">
            <v>14023</v>
          </cell>
        </row>
        <row r="6">
          <cell r="C6">
            <v>30332</v>
          </cell>
          <cell r="F6">
            <v>15265</v>
          </cell>
        </row>
        <row r="7">
          <cell r="C7">
            <v>32855</v>
          </cell>
          <cell r="F7">
            <v>16566</v>
          </cell>
        </row>
        <row r="8">
          <cell r="C8">
            <v>35311</v>
          </cell>
          <cell r="F8">
            <v>18073</v>
          </cell>
        </row>
        <row r="9">
          <cell r="C9">
            <v>37524</v>
          </cell>
          <cell r="F9">
            <v>19497</v>
          </cell>
        </row>
        <row r="10">
          <cell r="C10">
            <v>39562</v>
          </cell>
          <cell r="F10">
            <v>20577</v>
          </cell>
        </row>
        <row r="11">
          <cell r="C11">
            <v>42202</v>
          </cell>
          <cell r="F11">
            <v>22609</v>
          </cell>
        </row>
        <row r="12">
          <cell r="C12">
            <v>44030</v>
          </cell>
          <cell r="F12">
            <v>23911</v>
          </cell>
        </row>
        <row r="13">
          <cell r="C13">
            <v>47044</v>
          </cell>
          <cell r="F13">
            <v>24644</v>
          </cell>
        </row>
        <row r="14">
          <cell r="C14">
            <v>50572</v>
          </cell>
          <cell r="F14">
            <v>26451</v>
          </cell>
        </row>
        <row r="15">
          <cell r="C15">
            <v>56386</v>
          </cell>
          <cell r="F15">
            <v>29341</v>
          </cell>
        </row>
        <row r="16">
          <cell r="C16">
            <v>62395</v>
          </cell>
          <cell r="F16">
            <v>32646</v>
          </cell>
        </row>
        <row r="17">
          <cell r="C17">
            <v>71835</v>
          </cell>
          <cell r="F17">
            <v>37719</v>
          </cell>
        </row>
        <row r="18">
          <cell r="C18">
            <v>77956</v>
          </cell>
          <cell r="F18">
            <v>41231</v>
          </cell>
        </row>
        <row r="19">
          <cell r="C19">
            <v>85389</v>
          </cell>
          <cell r="F19">
            <v>45624</v>
          </cell>
        </row>
        <row r="20">
          <cell r="C20">
            <v>92621</v>
          </cell>
          <cell r="F20">
            <v>49418</v>
          </cell>
        </row>
        <row r="21">
          <cell r="C21">
            <v>99031</v>
          </cell>
          <cell r="F21">
            <v>52930</v>
          </cell>
        </row>
        <row r="22">
          <cell r="C22">
            <v>108664</v>
          </cell>
          <cell r="F22">
            <v>58149</v>
          </cell>
        </row>
        <row r="23">
          <cell r="C23">
            <v>121218</v>
          </cell>
          <cell r="F23">
            <v>65514</v>
          </cell>
        </row>
        <row r="24">
          <cell r="C24">
            <v>131762</v>
          </cell>
          <cell r="F24">
            <v>71422</v>
          </cell>
        </row>
        <row r="25">
          <cell r="C25">
            <v>142351</v>
          </cell>
          <cell r="F25">
            <v>78067</v>
          </cell>
        </row>
        <row r="26">
          <cell r="C26">
            <v>150090</v>
          </cell>
          <cell r="F26">
            <v>83195</v>
          </cell>
        </row>
        <row r="27">
          <cell r="C27">
            <v>157053</v>
          </cell>
          <cell r="F27">
            <v>87514</v>
          </cell>
        </row>
        <row r="28">
          <cell r="C28">
            <v>159105</v>
          </cell>
          <cell r="F28">
            <v>89276</v>
          </cell>
        </row>
        <row r="29">
          <cell r="C29">
            <v>161817</v>
          </cell>
          <cell r="F29">
            <v>90469</v>
          </cell>
        </row>
        <row r="30">
          <cell r="C30">
            <v>166640</v>
          </cell>
          <cell r="F30">
            <v>93080</v>
          </cell>
        </row>
        <row r="31">
          <cell r="C31">
            <v>174147</v>
          </cell>
          <cell r="F31">
            <v>97906</v>
          </cell>
        </row>
        <row r="32">
          <cell r="C32">
            <v>196668</v>
          </cell>
          <cell r="F32">
            <v>111482</v>
          </cell>
        </row>
        <row r="33">
          <cell r="C33">
            <v>211128</v>
          </cell>
          <cell r="F33">
            <v>121168</v>
          </cell>
        </row>
        <row r="34">
          <cell r="C34">
            <v>201122</v>
          </cell>
          <cell r="F34">
            <v>114596</v>
          </cell>
        </row>
        <row r="35">
          <cell r="C35">
            <v>182075</v>
          </cell>
          <cell r="F35">
            <v>104821</v>
          </cell>
        </row>
        <row r="36">
          <cell r="C36">
            <v>187769</v>
          </cell>
          <cell r="F36">
            <v>107547</v>
          </cell>
        </row>
        <row r="37">
          <cell r="C37">
            <v>128978</v>
          </cell>
          <cell r="F37">
            <v>74614</v>
          </cell>
        </row>
        <row r="38">
          <cell r="C38">
            <v>3584075</v>
          </cell>
          <cell r="F38">
            <v>1973638</v>
          </cell>
        </row>
        <row r="39">
          <cell r="C39">
            <v>211128</v>
          </cell>
          <cell r="F39">
            <v>121168</v>
          </cell>
        </row>
        <row r="40">
          <cell r="C40">
            <v>21384</v>
          </cell>
          <cell r="F40">
            <v>10359</v>
          </cell>
        </row>
      </sheetData>
      <sheetData sheetId="6">
        <row r="1">
          <cell r="C1" t="str">
            <v>HasPvalue</v>
          </cell>
          <cell r="F1" t="str">
            <v>Pvalue0.005</v>
          </cell>
        </row>
        <row r="2">
          <cell r="C2">
            <v>0</v>
          </cell>
          <cell r="F2">
            <v>0</v>
          </cell>
        </row>
        <row r="3">
          <cell r="C3">
            <v>0</v>
          </cell>
          <cell r="F3">
            <v>0</v>
          </cell>
        </row>
        <row r="4">
          <cell r="C4">
            <v>0</v>
          </cell>
          <cell r="F4">
            <v>0</v>
          </cell>
        </row>
        <row r="5">
          <cell r="C5">
            <v>0</v>
          </cell>
          <cell r="F5">
            <v>0</v>
          </cell>
        </row>
        <row r="6">
          <cell r="C6">
            <v>0</v>
          </cell>
          <cell r="F6">
            <v>0</v>
          </cell>
        </row>
        <row r="7">
          <cell r="C7">
            <v>0</v>
          </cell>
          <cell r="F7">
            <v>0</v>
          </cell>
        </row>
        <row r="8">
          <cell r="C8">
            <v>0</v>
          </cell>
          <cell r="F8">
            <v>0</v>
          </cell>
        </row>
        <row r="9">
          <cell r="C9">
            <v>0</v>
          </cell>
          <cell r="F9">
            <v>0</v>
          </cell>
        </row>
        <row r="10">
          <cell r="C10">
            <v>0</v>
          </cell>
          <cell r="F10">
            <v>0</v>
          </cell>
        </row>
        <row r="11">
          <cell r="C11">
            <v>0</v>
          </cell>
          <cell r="F11">
            <v>0</v>
          </cell>
        </row>
        <row r="12">
          <cell r="C12">
            <v>0</v>
          </cell>
          <cell r="F12">
            <v>0</v>
          </cell>
        </row>
        <row r="13">
          <cell r="C13">
            <v>0</v>
          </cell>
          <cell r="F13">
            <v>0</v>
          </cell>
        </row>
        <row r="14">
          <cell r="C14">
            <v>1</v>
          </cell>
          <cell r="F14">
            <v>1</v>
          </cell>
        </row>
        <row r="15">
          <cell r="C15">
            <v>0</v>
          </cell>
          <cell r="F15">
            <v>0</v>
          </cell>
        </row>
        <row r="16">
          <cell r="C16">
            <v>0</v>
          </cell>
          <cell r="F16">
            <v>0</v>
          </cell>
        </row>
        <row r="17">
          <cell r="C17">
            <v>0</v>
          </cell>
          <cell r="F17">
            <v>0</v>
          </cell>
        </row>
        <row r="18">
          <cell r="C18">
            <v>0</v>
          </cell>
          <cell r="F18">
            <v>0</v>
          </cell>
        </row>
        <row r="19">
          <cell r="C19">
            <v>0</v>
          </cell>
          <cell r="F19">
            <v>0</v>
          </cell>
        </row>
        <row r="20">
          <cell r="C20">
            <v>0</v>
          </cell>
          <cell r="F20">
            <v>0</v>
          </cell>
        </row>
        <row r="21">
          <cell r="C21">
            <v>2</v>
          </cell>
          <cell r="F21">
            <v>2</v>
          </cell>
        </row>
        <row r="22">
          <cell r="C22">
            <v>19</v>
          </cell>
          <cell r="F22">
            <v>11</v>
          </cell>
        </row>
        <row r="23">
          <cell r="C23">
            <v>42</v>
          </cell>
          <cell r="F23">
            <v>31</v>
          </cell>
        </row>
        <row r="24">
          <cell r="C24">
            <v>297</v>
          </cell>
          <cell r="F24">
            <v>204</v>
          </cell>
        </row>
        <row r="25">
          <cell r="C25">
            <v>2751</v>
          </cell>
          <cell r="F25">
            <v>1765</v>
          </cell>
        </row>
        <row r="26">
          <cell r="C26">
            <v>5657</v>
          </cell>
          <cell r="F26">
            <v>3682</v>
          </cell>
        </row>
        <row r="27">
          <cell r="C27">
            <v>6973</v>
          </cell>
          <cell r="F27">
            <v>4490</v>
          </cell>
        </row>
        <row r="28">
          <cell r="C28">
            <v>7820</v>
          </cell>
          <cell r="F28">
            <v>5084</v>
          </cell>
        </row>
        <row r="29">
          <cell r="C29">
            <v>8557</v>
          </cell>
          <cell r="F29">
            <v>5538</v>
          </cell>
        </row>
        <row r="30">
          <cell r="C30">
            <v>9309</v>
          </cell>
          <cell r="F30">
            <v>5926</v>
          </cell>
        </row>
        <row r="31">
          <cell r="C31">
            <v>10099</v>
          </cell>
          <cell r="F31">
            <v>6403</v>
          </cell>
        </row>
        <row r="32">
          <cell r="C32">
            <v>11186</v>
          </cell>
          <cell r="F32">
            <v>7140</v>
          </cell>
        </row>
        <row r="33">
          <cell r="C33">
            <v>11185</v>
          </cell>
          <cell r="F33">
            <v>7264</v>
          </cell>
        </row>
        <row r="34">
          <cell r="C34">
            <v>8780</v>
          </cell>
          <cell r="F34">
            <v>5667</v>
          </cell>
        </row>
        <row r="35">
          <cell r="C35">
            <v>7919</v>
          </cell>
          <cell r="F35">
            <v>5071</v>
          </cell>
        </row>
        <row r="36">
          <cell r="C36">
            <v>9252</v>
          </cell>
          <cell r="F36">
            <v>5816</v>
          </cell>
        </row>
        <row r="37">
          <cell r="C37">
            <v>7344</v>
          </cell>
          <cell r="F37">
            <v>4731</v>
          </cell>
        </row>
        <row r="38">
          <cell r="C38">
            <v>107193</v>
          </cell>
          <cell r="F38">
            <v>68826</v>
          </cell>
        </row>
        <row r="39">
          <cell r="C39">
            <v>11186</v>
          </cell>
          <cell r="F39">
            <v>7264</v>
          </cell>
        </row>
        <row r="40">
          <cell r="C40">
            <v>0</v>
          </cell>
          <cell r="F40">
            <v>0</v>
          </cell>
        </row>
      </sheetData>
      <sheetData sheetId="7">
        <row r="1">
          <cell r="C1" t="str">
            <v>HasPvalue</v>
          </cell>
          <cell r="F1" t="str">
            <v>Pvalue0.005</v>
          </cell>
        </row>
        <row r="2">
          <cell r="C2">
            <v>0</v>
          </cell>
          <cell r="F2">
            <v>0</v>
          </cell>
        </row>
        <row r="3">
          <cell r="C3">
            <v>0</v>
          </cell>
          <cell r="F3">
            <v>0</v>
          </cell>
        </row>
        <row r="4">
          <cell r="C4">
            <v>0</v>
          </cell>
          <cell r="F4">
            <v>0</v>
          </cell>
        </row>
        <row r="5">
          <cell r="C5">
            <v>0</v>
          </cell>
          <cell r="F5">
            <v>0</v>
          </cell>
        </row>
        <row r="6">
          <cell r="C6">
            <v>0</v>
          </cell>
          <cell r="F6">
            <v>0</v>
          </cell>
        </row>
        <row r="7">
          <cell r="C7">
            <v>3</v>
          </cell>
          <cell r="F7">
            <v>2</v>
          </cell>
        </row>
        <row r="8">
          <cell r="C8">
            <v>4</v>
          </cell>
          <cell r="F8">
            <v>3</v>
          </cell>
        </row>
        <row r="9">
          <cell r="C9">
            <v>9</v>
          </cell>
          <cell r="F9">
            <v>4</v>
          </cell>
        </row>
        <row r="10">
          <cell r="C10">
            <v>8</v>
          </cell>
          <cell r="F10">
            <v>5</v>
          </cell>
        </row>
        <row r="11">
          <cell r="C11">
            <v>17</v>
          </cell>
          <cell r="F11">
            <v>7</v>
          </cell>
        </row>
        <row r="12">
          <cell r="C12">
            <v>74</v>
          </cell>
          <cell r="F12">
            <v>41</v>
          </cell>
        </row>
        <row r="13">
          <cell r="C13">
            <v>70</v>
          </cell>
          <cell r="F13">
            <v>31</v>
          </cell>
        </row>
        <row r="14">
          <cell r="C14">
            <v>92</v>
          </cell>
          <cell r="F14">
            <v>60</v>
          </cell>
        </row>
        <row r="15">
          <cell r="C15">
            <v>136</v>
          </cell>
          <cell r="F15">
            <v>82</v>
          </cell>
        </row>
        <row r="16">
          <cell r="C16">
            <v>170</v>
          </cell>
          <cell r="F16">
            <v>91</v>
          </cell>
        </row>
        <row r="17">
          <cell r="C17">
            <v>212</v>
          </cell>
          <cell r="F17">
            <v>134</v>
          </cell>
        </row>
        <row r="18">
          <cell r="C18">
            <v>269</v>
          </cell>
          <cell r="F18">
            <v>149</v>
          </cell>
        </row>
        <row r="19">
          <cell r="C19">
            <v>383</v>
          </cell>
          <cell r="F19">
            <v>234</v>
          </cell>
        </row>
        <row r="20">
          <cell r="C20">
            <v>447</v>
          </cell>
          <cell r="F20">
            <v>277</v>
          </cell>
        </row>
        <row r="21">
          <cell r="C21">
            <v>568</v>
          </cell>
          <cell r="F21">
            <v>339</v>
          </cell>
        </row>
        <row r="22">
          <cell r="C22">
            <v>718</v>
          </cell>
          <cell r="F22">
            <v>436</v>
          </cell>
        </row>
        <row r="23">
          <cell r="C23">
            <v>892</v>
          </cell>
          <cell r="F23">
            <v>551</v>
          </cell>
        </row>
        <row r="24">
          <cell r="C24">
            <v>1290</v>
          </cell>
          <cell r="F24">
            <v>799</v>
          </cell>
        </row>
        <row r="25">
          <cell r="C25">
            <v>1722</v>
          </cell>
          <cell r="F25">
            <v>1079</v>
          </cell>
        </row>
        <row r="26">
          <cell r="C26">
            <v>2115</v>
          </cell>
          <cell r="F26">
            <v>1334</v>
          </cell>
        </row>
        <row r="27">
          <cell r="C27">
            <v>2676</v>
          </cell>
          <cell r="F27">
            <v>1702</v>
          </cell>
        </row>
        <row r="28">
          <cell r="C28">
            <v>3008</v>
          </cell>
          <cell r="F28">
            <v>1950</v>
          </cell>
        </row>
        <row r="29">
          <cell r="C29">
            <v>3552</v>
          </cell>
          <cell r="F29">
            <v>2280</v>
          </cell>
        </row>
        <row r="30">
          <cell r="C30">
            <v>4190</v>
          </cell>
          <cell r="F30">
            <v>2628</v>
          </cell>
        </row>
        <row r="31">
          <cell r="C31">
            <v>5191</v>
          </cell>
          <cell r="F31">
            <v>3341</v>
          </cell>
        </row>
        <row r="32">
          <cell r="C32">
            <v>6356</v>
          </cell>
          <cell r="F32">
            <v>4077</v>
          </cell>
        </row>
        <row r="33">
          <cell r="C33">
            <v>7555</v>
          </cell>
          <cell r="F33">
            <v>4808</v>
          </cell>
        </row>
        <row r="34">
          <cell r="C34">
            <v>7720</v>
          </cell>
          <cell r="F34">
            <v>4938</v>
          </cell>
        </row>
        <row r="35">
          <cell r="C35">
            <v>7557</v>
          </cell>
          <cell r="F35">
            <v>4787</v>
          </cell>
        </row>
        <row r="36">
          <cell r="C36">
            <v>8563</v>
          </cell>
          <cell r="F36">
            <v>5331</v>
          </cell>
        </row>
        <row r="37">
          <cell r="C37">
            <v>6346</v>
          </cell>
          <cell r="F37">
            <v>3880</v>
          </cell>
        </row>
        <row r="38">
          <cell r="C38">
            <v>71913</v>
          </cell>
          <cell r="F38">
            <v>45380</v>
          </cell>
        </row>
        <row r="39">
          <cell r="C39">
            <v>8563</v>
          </cell>
          <cell r="F39">
            <v>5331</v>
          </cell>
        </row>
        <row r="40">
          <cell r="C40">
            <v>0</v>
          </cell>
          <cell r="F40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zoomScale="70" zoomScaleNormal="70" workbookViewId="0">
      <selection activeCell="C11" sqref="C11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[1]RCT!C1</f>
        <v>HasPvalue</v>
      </c>
      <c r="C1" t="str">
        <f>[1]RCT!F1</f>
        <v>Pvalue0.005</v>
      </c>
      <c r="D1" t="s">
        <v>1</v>
      </c>
    </row>
    <row r="2" spans="1:4" x14ac:dyDescent="0.3">
      <c r="A2">
        <v>1990</v>
      </c>
      <c r="B2">
        <f>[1]RCT!C2</f>
        <v>2135</v>
      </c>
      <c r="C2">
        <f>[1]RCT!F2</f>
        <v>933</v>
      </c>
      <c r="D2">
        <f>C2/B2*100</f>
        <v>43.70023419203747</v>
      </c>
    </row>
    <row r="3" spans="1:4" x14ac:dyDescent="0.3">
      <c r="A3">
        <v>1991</v>
      </c>
      <c r="B3">
        <f>[1]RCT!C3</f>
        <v>2535</v>
      </c>
      <c r="C3">
        <f>[1]RCT!F3</f>
        <v>1140</v>
      </c>
      <c r="D3">
        <f t="shared" ref="D3:D37" si="0">C3/B3*100</f>
        <v>44.970414201183431</v>
      </c>
    </row>
    <row r="4" spans="1:4" x14ac:dyDescent="0.3">
      <c r="A4">
        <f>A2+2</f>
        <v>1992</v>
      </c>
      <c r="B4">
        <f>[1]RCT!C4</f>
        <v>2792</v>
      </c>
      <c r="C4">
        <f>[1]RCT!F4</f>
        <v>1274</v>
      </c>
      <c r="D4">
        <f t="shared" si="0"/>
        <v>45.630372492836671</v>
      </c>
    </row>
    <row r="5" spans="1:4" x14ac:dyDescent="0.3">
      <c r="A5">
        <f t="shared" ref="A5:A36" si="1">A3+2</f>
        <v>1993</v>
      </c>
      <c r="B5">
        <f>[1]RCT!C5</f>
        <v>3143</v>
      </c>
      <c r="C5">
        <f>[1]RCT!F5</f>
        <v>1485</v>
      </c>
      <c r="D5">
        <f t="shared" si="0"/>
        <v>47.247852370346806</v>
      </c>
    </row>
    <row r="6" spans="1:4" x14ac:dyDescent="0.3">
      <c r="A6">
        <f t="shared" si="1"/>
        <v>1994</v>
      </c>
      <c r="B6">
        <f>[1]RCT!C6</f>
        <v>3718</v>
      </c>
      <c r="C6">
        <f>[1]RCT!F6</f>
        <v>1698</v>
      </c>
      <c r="D6">
        <f t="shared" si="0"/>
        <v>45.669714900484131</v>
      </c>
    </row>
    <row r="7" spans="1:4" x14ac:dyDescent="0.3">
      <c r="A7">
        <f t="shared" si="1"/>
        <v>1995</v>
      </c>
      <c r="B7">
        <f>[1]RCT!C7</f>
        <v>4180</v>
      </c>
      <c r="C7">
        <f>[1]RCT!F7</f>
        <v>1969</v>
      </c>
      <c r="D7">
        <f t="shared" si="0"/>
        <v>47.10526315789474</v>
      </c>
    </row>
    <row r="8" spans="1:4" x14ac:dyDescent="0.3">
      <c r="A8">
        <f t="shared" si="1"/>
        <v>1996</v>
      </c>
      <c r="B8">
        <f>[1]RCT!C8</f>
        <v>4291</v>
      </c>
      <c r="C8">
        <f>[1]RCT!F8</f>
        <v>2128</v>
      </c>
      <c r="D8">
        <f t="shared" si="0"/>
        <v>49.592169657422517</v>
      </c>
    </row>
    <row r="9" spans="1:4" x14ac:dyDescent="0.3">
      <c r="A9">
        <f t="shared" si="1"/>
        <v>1997</v>
      </c>
      <c r="B9">
        <f>[1]RCT!C9</f>
        <v>4562</v>
      </c>
      <c r="C9">
        <f>[1]RCT!F9</f>
        <v>2274</v>
      </c>
      <c r="D9">
        <f t="shared" si="0"/>
        <v>49.846558526961857</v>
      </c>
    </row>
    <row r="10" spans="1:4" x14ac:dyDescent="0.3">
      <c r="A10">
        <f t="shared" si="1"/>
        <v>1998</v>
      </c>
      <c r="B10">
        <f>[1]RCT!C10</f>
        <v>4862</v>
      </c>
      <c r="C10">
        <f>[1]RCT!F10</f>
        <v>2383</v>
      </c>
      <c r="D10">
        <f t="shared" si="0"/>
        <v>49.012751953928422</v>
      </c>
    </row>
    <row r="11" spans="1:4" x14ac:dyDescent="0.3">
      <c r="A11">
        <f t="shared" si="1"/>
        <v>1999</v>
      </c>
      <c r="B11">
        <f>[1]RCT!C11</f>
        <v>5381</v>
      </c>
      <c r="C11">
        <f>[1]RCT!F11</f>
        <v>2789</v>
      </c>
      <c r="D11">
        <f t="shared" si="0"/>
        <v>51.83051477420554</v>
      </c>
    </row>
    <row r="12" spans="1:4" x14ac:dyDescent="0.3">
      <c r="A12">
        <f t="shared" si="1"/>
        <v>2000</v>
      </c>
      <c r="B12">
        <f>[1]RCT!C12</f>
        <v>5256</v>
      </c>
      <c r="C12">
        <f>[1]RCT!F12</f>
        <v>2731</v>
      </c>
      <c r="D12">
        <f t="shared" si="0"/>
        <v>51.959665144596656</v>
      </c>
    </row>
    <row r="13" spans="1:4" x14ac:dyDescent="0.3">
      <c r="A13">
        <f t="shared" si="1"/>
        <v>2001</v>
      </c>
      <c r="B13">
        <f>[1]RCT!C13</f>
        <v>5743</v>
      </c>
      <c r="C13">
        <f>[1]RCT!F13</f>
        <v>2882</v>
      </c>
      <c r="D13">
        <f t="shared" si="0"/>
        <v>50.18283127285391</v>
      </c>
    </row>
    <row r="14" spans="1:4" x14ac:dyDescent="0.3">
      <c r="A14">
        <f t="shared" si="1"/>
        <v>2002</v>
      </c>
      <c r="B14">
        <f>[1]RCT!C14</f>
        <v>6056</v>
      </c>
      <c r="C14">
        <f>[1]RCT!F14</f>
        <v>3068</v>
      </c>
      <c r="D14">
        <f t="shared" si="0"/>
        <v>50.660501981505945</v>
      </c>
    </row>
    <row r="15" spans="1:4" x14ac:dyDescent="0.3">
      <c r="A15">
        <f t="shared" si="1"/>
        <v>2003</v>
      </c>
      <c r="B15">
        <f>[1]RCT!C15</f>
        <v>6904</v>
      </c>
      <c r="C15">
        <f>[1]RCT!F15</f>
        <v>3479</v>
      </c>
      <c r="D15">
        <f t="shared" si="0"/>
        <v>50.391077636152957</v>
      </c>
    </row>
    <row r="16" spans="1:4" x14ac:dyDescent="0.3">
      <c r="A16">
        <f t="shared" si="1"/>
        <v>2004</v>
      </c>
      <c r="B16">
        <f>[1]RCT!C16</f>
        <v>7725</v>
      </c>
      <c r="C16">
        <f>[1]RCT!F16</f>
        <v>3907</v>
      </c>
      <c r="D16">
        <f t="shared" si="0"/>
        <v>50.57605177993527</v>
      </c>
    </row>
    <row r="17" spans="1:4" x14ac:dyDescent="0.3">
      <c r="A17">
        <f t="shared" si="1"/>
        <v>2005</v>
      </c>
      <c r="B17">
        <f>[1]RCT!C17</f>
        <v>8588</v>
      </c>
      <c r="C17">
        <f>[1]RCT!F17</f>
        <v>4333</v>
      </c>
      <c r="D17">
        <f t="shared" si="0"/>
        <v>50.454122030740564</v>
      </c>
    </row>
    <row r="18" spans="1:4" x14ac:dyDescent="0.3">
      <c r="A18">
        <f t="shared" si="1"/>
        <v>2006</v>
      </c>
      <c r="B18">
        <f>[1]RCT!C18</f>
        <v>9143</v>
      </c>
      <c r="C18">
        <f>[1]RCT!F18</f>
        <v>4560</v>
      </c>
      <c r="D18">
        <f t="shared" si="0"/>
        <v>49.874220715301327</v>
      </c>
    </row>
    <row r="19" spans="1:4" x14ac:dyDescent="0.3">
      <c r="A19">
        <f t="shared" si="1"/>
        <v>2007</v>
      </c>
      <c r="B19">
        <f>[1]RCT!C19</f>
        <v>10018</v>
      </c>
      <c r="C19">
        <f>[1]RCT!F19</f>
        <v>5026</v>
      </c>
      <c r="D19">
        <f t="shared" si="0"/>
        <v>50.169694549810337</v>
      </c>
    </row>
    <row r="20" spans="1:4" x14ac:dyDescent="0.3">
      <c r="A20">
        <f t="shared" si="1"/>
        <v>2008</v>
      </c>
      <c r="B20">
        <f>[1]RCT!C20</f>
        <v>10396</v>
      </c>
      <c r="C20">
        <f>[1]RCT!F20</f>
        <v>5309</v>
      </c>
      <c r="D20">
        <f t="shared" si="0"/>
        <v>51.067718353212776</v>
      </c>
    </row>
    <row r="21" spans="1:4" x14ac:dyDescent="0.3">
      <c r="A21">
        <f t="shared" si="1"/>
        <v>2009</v>
      </c>
      <c r="B21">
        <f>[1]RCT!C21</f>
        <v>11123</v>
      </c>
      <c r="C21">
        <f>[1]RCT!F21</f>
        <v>5602</v>
      </c>
      <c r="D21">
        <f t="shared" si="0"/>
        <v>50.364110401870001</v>
      </c>
    </row>
    <row r="22" spans="1:4" x14ac:dyDescent="0.3">
      <c r="A22">
        <f t="shared" si="1"/>
        <v>2010</v>
      </c>
      <c r="B22">
        <f>[1]RCT!C22</f>
        <v>12049</v>
      </c>
      <c r="C22">
        <f>[1]RCT!F22</f>
        <v>5977</v>
      </c>
      <c r="D22">
        <f t="shared" si="0"/>
        <v>49.605776412980326</v>
      </c>
    </row>
    <row r="23" spans="1:4" x14ac:dyDescent="0.3">
      <c r="A23">
        <f t="shared" si="1"/>
        <v>2011</v>
      </c>
      <c r="B23">
        <f>[1]RCT!C23</f>
        <v>13412</v>
      </c>
      <c r="C23">
        <f>[1]RCT!F23</f>
        <v>6834</v>
      </c>
      <c r="D23">
        <f t="shared" si="0"/>
        <v>50.9543692215926</v>
      </c>
    </row>
    <row r="24" spans="1:4" x14ac:dyDescent="0.3">
      <c r="A24">
        <f>A22+2</f>
        <v>2012</v>
      </c>
      <c r="B24">
        <f>[1]RCT!C24</f>
        <v>14759</v>
      </c>
      <c r="C24">
        <f>[1]RCT!F24</f>
        <v>7522</v>
      </c>
      <c r="D24">
        <f t="shared" si="0"/>
        <v>50.965512568602215</v>
      </c>
    </row>
    <row r="25" spans="1:4" x14ac:dyDescent="0.3">
      <c r="A25">
        <f t="shared" si="1"/>
        <v>2013</v>
      </c>
      <c r="B25">
        <f>[1]RCT!C25</f>
        <v>15621</v>
      </c>
      <c r="C25">
        <f>[1]RCT!F25</f>
        <v>7916</v>
      </c>
      <c r="D25">
        <f t="shared" si="0"/>
        <v>50.675372895461237</v>
      </c>
    </row>
    <row r="26" spans="1:4" x14ac:dyDescent="0.3">
      <c r="A26">
        <f t="shared" si="1"/>
        <v>2014</v>
      </c>
      <c r="B26">
        <f>[1]RCT!C26</f>
        <v>16034</v>
      </c>
      <c r="C26">
        <f>[1]RCT!F26</f>
        <v>8110</v>
      </c>
      <c r="D26">
        <f t="shared" si="0"/>
        <v>50.580017462891355</v>
      </c>
    </row>
    <row r="27" spans="1:4" x14ac:dyDescent="0.3">
      <c r="A27">
        <f t="shared" si="1"/>
        <v>2015</v>
      </c>
      <c r="B27">
        <f>[1]RCT!C27</f>
        <v>16158</v>
      </c>
      <c r="C27">
        <f>[1]RCT!F27</f>
        <v>8219</v>
      </c>
      <c r="D27">
        <f t="shared" si="0"/>
        <v>50.866443866815203</v>
      </c>
    </row>
    <row r="28" spans="1:4" x14ac:dyDescent="0.3">
      <c r="A28">
        <f t="shared" si="1"/>
        <v>2016</v>
      </c>
      <c r="B28">
        <f>[1]RCT!C28</f>
        <v>15629</v>
      </c>
      <c r="C28">
        <f>[1]RCT!F28</f>
        <v>8014</v>
      </c>
      <c r="D28">
        <f t="shared" si="0"/>
        <v>51.276473222854946</v>
      </c>
    </row>
    <row r="29" spans="1:4" x14ac:dyDescent="0.3">
      <c r="A29">
        <f t="shared" si="1"/>
        <v>2017</v>
      </c>
      <c r="B29">
        <f>[1]RCT!C29</f>
        <v>15752</v>
      </c>
      <c r="C29">
        <f>[1]RCT!F29</f>
        <v>8013</v>
      </c>
      <c r="D29">
        <f t="shared" si="0"/>
        <v>50.869730827831383</v>
      </c>
    </row>
    <row r="30" spans="1:4" x14ac:dyDescent="0.3">
      <c r="A30">
        <f t="shared" si="1"/>
        <v>2018</v>
      </c>
      <c r="B30">
        <f>[1]RCT!C30</f>
        <v>15369</v>
      </c>
      <c r="C30">
        <f>[1]RCT!F30</f>
        <v>7856</v>
      </c>
      <c r="D30">
        <f t="shared" si="0"/>
        <v>51.115882620860177</v>
      </c>
    </row>
    <row r="31" spans="1:4" x14ac:dyDescent="0.3">
      <c r="A31">
        <f t="shared" si="1"/>
        <v>2019</v>
      </c>
      <c r="B31">
        <f>[1]RCT!C31</f>
        <v>15319</v>
      </c>
      <c r="C31">
        <f>[1]RCT!F31</f>
        <v>7877</v>
      </c>
      <c r="D31">
        <f t="shared" si="0"/>
        <v>51.419805470330957</v>
      </c>
    </row>
    <row r="32" spans="1:4" x14ac:dyDescent="0.3">
      <c r="A32">
        <f t="shared" si="1"/>
        <v>2020</v>
      </c>
      <c r="B32">
        <f>[1]RCT!C32</f>
        <v>16614</v>
      </c>
      <c r="C32">
        <f>[1]RCT!F32</f>
        <v>8465</v>
      </c>
      <c r="D32">
        <f t="shared" si="0"/>
        <v>50.951005176357292</v>
      </c>
    </row>
    <row r="33" spans="1:4" x14ac:dyDescent="0.3">
      <c r="A33">
        <f t="shared" si="1"/>
        <v>2021</v>
      </c>
      <c r="B33">
        <f>[1]RCT!C33</f>
        <v>17203</v>
      </c>
      <c r="C33">
        <f>[1]RCT!F33</f>
        <v>8728</v>
      </c>
      <c r="D33">
        <f t="shared" si="0"/>
        <v>50.735336859850023</v>
      </c>
    </row>
    <row r="34" spans="1:4" x14ac:dyDescent="0.3">
      <c r="A34">
        <f t="shared" si="1"/>
        <v>2022</v>
      </c>
      <c r="B34">
        <f>[1]RCT!C34</f>
        <v>16516</v>
      </c>
      <c r="C34">
        <f>[1]RCT!F34</f>
        <v>8370</v>
      </c>
      <c r="D34">
        <f t="shared" si="0"/>
        <v>50.678130297892956</v>
      </c>
    </row>
    <row r="35" spans="1:4" x14ac:dyDescent="0.3">
      <c r="A35">
        <f t="shared" si="1"/>
        <v>2023</v>
      </c>
      <c r="B35">
        <f>[1]RCT!C35</f>
        <v>14646</v>
      </c>
      <c r="C35">
        <f>[1]RCT!F35</f>
        <v>7613</v>
      </c>
      <c r="D35">
        <f t="shared" si="0"/>
        <v>51.980062815785878</v>
      </c>
    </row>
    <row r="36" spans="1:4" x14ac:dyDescent="0.3">
      <c r="A36">
        <f t="shared" si="1"/>
        <v>2024</v>
      </c>
      <c r="B36">
        <f>[1]RCT!C36</f>
        <v>16344</v>
      </c>
      <c r="C36">
        <f>[1]RCT!F36</f>
        <v>8578</v>
      </c>
      <c r="D36">
        <f t="shared" si="0"/>
        <v>52.484092021536952</v>
      </c>
    </row>
    <row r="37" spans="1:4" x14ac:dyDescent="0.3">
      <c r="A37">
        <v>2025</v>
      </c>
      <c r="B37">
        <f>[1]RCT!C37</f>
        <v>10371</v>
      </c>
      <c r="C37">
        <f>[1]RCT!F37</f>
        <v>5473</v>
      </c>
      <c r="D37">
        <f t="shared" si="0"/>
        <v>52.772153119274904</v>
      </c>
    </row>
    <row r="38" spans="1:4" x14ac:dyDescent="0.3">
      <c r="A38" t="s">
        <v>9</v>
      </c>
      <c r="B38">
        <f>[1]RCT!C38</f>
        <v>360347</v>
      </c>
      <c r="C38">
        <f>[1]RCT!F38</f>
        <v>182535</v>
      </c>
    </row>
    <row r="39" spans="1:4" x14ac:dyDescent="0.3">
      <c r="A39" t="s">
        <v>7</v>
      </c>
      <c r="B39">
        <f>[1]RCT!C39</f>
        <v>17203</v>
      </c>
      <c r="C39">
        <f>[1]RCT!F39</f>
        <v>8728</v>
      </c>
      <c r="D39">
        <f>MAX(D2:D37)</f>
        <v>52.772153119274904</v>
      </c>
    </row>
    <row r="40" spans="1:4" x14ac:dyDescent="0.3">
      <c r="A40" t="s">
        <v>8</v>
      </c>
      <c r="B40">
        <f>[1]RCT!C40</f>
        <v>2135</v>
      </c>
      <c r="C40">
        <f>[1]RCT!F40</f>
        <v>933</v>
      </c>
      <c r="D40">
        <f>MIN(D2:D37)</f>
        <v>43.70023419203747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topLeftCell="A7" zoomScale="85" zoomScaleNormal="85" workbookViewId="0">
      <selection activeCell="C39" sqref="C39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[1]CT!C1</f>
        <v>HasPvalue</v>
      </c>
      <c r="C1" t="str">
        <f>[1]CT!F1</f>
        <v>Pvalue0.005</v>
      </c>
      <c r="D1" t="s">
        <v>1</v>
      </c>
    </row>
    <row r="2" spans="1:4" x14ac:dyDescent="0.3">
      <c r="A2">
        <v>1990</v>
      </c>
      <c r="B2">
        <f>[1]CT!C2</f>
        <v>767</v>
      </c>
      <c r="C2">
        <f>[1]CT!F2</f>
        <v>381</v>
      </c>
      <c r="D2">
        <f>C2/B2*100</f>
        <v>49.674054758800523</v>
      </c>
    </row>
    <row r="3" spans="1:4" x14ac:dyDescent="0.3">
      <c r="A3">
        <v>1991</v>
      </c>
      <c r="B3">
        <f>[1]CT!C3</f>
        <v>882</v>
      </c>
      <c r="C3">
        <f>[1]CT!F3</f>
        <v>465</v>
      </c>
      <c r="D3">
        <f t="shared" ref="D3:D37" si="0">C3/B3*100</f>
        <v>52.721088435374156</v>
      </c>
    </row>
    <row r="4" spans="1:4" x14ac:dyDescent="0.3">
      <c r="A4">
        <f>A2+2</f>
        <v>1992</v>
      </c>
      <c r="B4">
        <f>[1]CT!C4</f>
        <v>805</v>
      </c>
      <c r="C4">
        <f>[1]CT!F4</f>
        <v>413</v>
      </c>
      <c r="D4">
        <f t="shared" si="0"/>
        <v>51.304347826086961</v>
      </c>
    </row>
    <row r="5" spans="1:4" x14ac:dyDescent="0.3">
      <c r="A5">
        <f t="shared" ref="A5:A36" si="1">A3+2</f>
        <v>1993</v>
      </c>
      <c r="B5">
        <f>[1]CT!C5</f>
        <v>884</v>
      </c>
      <c r="C5">
        <f>[1]CT!F5</f>
        <v>467</v>
      </c>
      <c r="D5">
        <f t="shared" si="0"/>
        <v>52.828054298642535</v>
      </c>
    </row>
    <row r="6" spans="1:4" x14ac:dyDescent="0.3">
      <c r="A6">
        <f t="shared" si="1"/>
        <v>1994</v>
      </c>
      <c r="B6">
        <f>[1]CT!C6</f>
        <v>2194</v>
      </c>
      <c r="C6">
        <f>[1]CT!F6</f>
        <v>1132</v>
      </c>
      <c r="D6">
        <f t="shared" si="0"/>
        <v>51.595259799453054</v>
      </c>
    </row>
    <row r="7" spans="1:4" x14ac:dyDescent="0.3">
      <c r="A7">
        <f t="shared" si="1"/>
        <v>1995</v>
      </c>
      <c r="B7">
        <f>[1]CT!C7</f>
        <v>2332</v>
      </c>
      <c r="C7">
        <f>[1]CT!F7</f>
        <v>1222</v>
      </c>
      <c r="D7">
        <f t="shared" si="0"/>
        <v>52.401372212692962</v>
      </c>
    </row>
    <row r="8" spans="1:4" x14ac:dyDescent="0.3">
      <c r="A8">
        <f t="shared" si="1"/>
        <v>1996</v>
      </c>
      <c r="B8">
        <f>[1]CT!C8</f>
        <v>2296</v>
      </c>
      <c r="C8">
        <f>[1]CT!F8</f>
        <v>1212</v>
      </c>
      <c r="D8">
        <f t="shared" si="0"/>
        <v>52.78745644599303</v>
      </c>
    </row>
    <row r="9" spans="1:4" x14ac:dyDescent="0.3">
      <c r="A9">
        <f t="shared" si="1"/>
        <v>1997</v>
      </c>
      <c r="B9">
        <f>[1]CT!C9</f>
        <v>2633</v>
      </c>
      <c r="C9">
        <f>[1]CT!F9</f>
        <v>1418</v>
      </c>
      <c r="D9">
        <f t="shared" si="0"/>
        <v>53.854918344094195</v>
      </c>
    </row>
    <row r="10" spans="1:4" x14ac:dyDescent="0.3">
      <c r="A10">
        <f t="shared" si="1"/>
        <v>1998</v>
      </c>
      <c r="B10">
        <f>[1]CT!C10</f>
        <v>2743</v>
      </c>
      <c r="C10">
        <f>[1]CT!F10</f>
        <v>1475</v>
      </c>
      <c r="D10">
        <f t="shared" si="0"/>
        <v>53.773240977032444</v>
      </c>
    </row>
    <row r="11" spans="1:4" x14ac:dyDescent="0.3">
      <c r="A11">
        <f t="shared" si="1"/>
        <v>1999</v>
      </c>
      <c r="B11">
        <f>[1]CT!C11</f>
        <v>3158</v>
      </c>
      <c r="C11">
        <f>[1]CT!F11</f>
        <v>1755</v>
      </c>
      <c r="D11">
        <f t="shared" si="0"/>
        <v>55.573147561747938</v>
      </c>
    </row>
    <row r="12" spans="1:4" x14ac:dyDescent="0.3">
      <c r="A12">
        <f t="shared" si="1"/>
        <v>2000</v>
      </c>
      <c r="B12">
        <f>[1]CT!C12</f>
        <v>3218</v>
      </c>
      <c r="C12">
        <f>[1]CT!F12</f>
        <v>1852</v>
      </c>
      <c r="D12">
        <f t="shared" si="0"/>
        <v>57.551274083281548</v>
      </c>
    </row>
    <row r="13" spans="1:4" x14ac:dyDescent="0.3">
      <c r="A13">
        <f t="shared" si="1"/>
        <v>2001</v>
      </c>
      <c r="B13">
        <f>[1]CT!C13</f>
        <v>2665</v>
      </c>
      <c r="C13">
        <f>[1]CT!F13</f>
        <v>1490</v>
      </c>
      <c r="D13">
        <f t="shared" si="0"/>
        <v>55.909943714821765</v>
      </c>
    </row>
    <row r="14" spans="1:4" x14ac:dyDescent="0.3">
      <c r="A14">
        <f t="shared" si="1"/>
        <v>2002</v>
      </c>
      <c r="B14">
        <f>[1]CT!C14</f>
        <v>2894</v>
      </c>
      <c r="C14">
        <f>[1]CT!F14</f>
        <v>1615</v>
      </c>
      <c r="D14">
        <f t="shared" si="0"/>
        <v>55.805114029025574</v>
      </c>
    </row>
    <row r="15" spans="1:4" x14ac:dyDescent="0.3">
      <c r="A15">
        <f t="shared" si="1"/>
        <v>2003</v>
      </c>
      <c r="B15">
        <f>[1]CT!C15</f>
        <v>3655</v>
      </c>
      <c r="C15">
        <f>[1]CT!F15</f>
        <v>2043</v>
      </c>
      <c r="D15">
        <f t="shared" si="0"/>
        <v>55.896032831737344</v>
      </c>
    </row>
    <row r="16" spans="1:4" x14ac:dyDescent="0.3">
      <c r="A16">
        <f t="shared" si="1"/>
        <v>2004</v>
      </c>
      <c r="B16">
        <f>[1]CT!C16</f>
        <v>3918</v>
      </c>
      <c r="C16">
        <f>[1]CT!F16</f>
        <v>2147</v>
      </c>
      <c r="D16">
        <f t="shared" si="0"/>
        <v>54.798366513527306</v>
      </c>
    </row>
    <row r="17" spans="1:4" x14ac:dyDescent="0.3">
      <c r="A17">
        <f t="shared" si="1"/>
        <v>2005</v>
      </c>
      <c r="B17">
        <f>[1]CT!C17</f>
        <v>4419</v>
      </c>
      <c r="C17">
        <f>[1]CT!F17</f>
        <v>2442</v>
      </c>
      <c r="D17">
        <f t="shared" si="0"/>
        <v>55.26137135098439</v>
      </c>
    </row>
    <row r="18" spans="1:4" x14ac:dyDescent="0.3">
      <c r="A18">
        <f t="shared" si="1"/>
        <v>2006</v>
      </c>
      <c r="B18">
        <f>[1]CT!C18</f>
        <v>4205</v>
      </c>
      <c r="C18">
        <f>[1]CT!F18</f>
        <v>2355</v>
      </c>
      <c r="D18">
        <f t="shared" si="0"/>
        <v>56.004756242568376</v>
      </c>
    </row>
    <row r="19" spans="1:4" x14ac:dyDescent="0.3">
      <c r="A19">
        <f t="shared" si="1"/>
        <v>2007</v>
      </c>
      <c r="B19">
        <f>[1]CT!C19</f>
        <v>4191</v>
      </c>
      <c r="C19">
        <f>[1]CT!F19</f>
        <v>2335</v>
      </c>
      <c r="D19">
        <f t="shared" si="0"/>
        <v>55.714626580768311</v>
      </c>
    </row>
    <row r="20" spans="1:4" x14ac:dyDescent="0.3">
      <c r="A20">
        <f t="shared" si="1"/>
        <v>2008</v>
      </c>
      <c r="B20">
        <f>[1]CT!C20</f>
        <v>3939</v>
      </c>
      <c r="C20">
        <f>[1]CT!F20</f>
        <v>2173</v>
      </c>
      <c r="D20">
        <f t="shared" si="0"/>
        <v>55.16628585935517</v>
      </c>
    </row>
    <row r="21" spans="1:4" x14ac:dyDescent="0.3">
      <c r="A21">
        <f t="shared" si="1"/>
        <v>2009</v>
      </c>
      <c r="B21">
        <f>[1]CT!C21</f>
        <v>3799</v>
      </c>
      <c r="C21">
        <f>[1]CT!F21</f>
        <v>2137</v>
      </c>
      <c r="D21">
        <f t="shared" si="0"/>
        <v>56.251645169781519</v>
      </c>
    </row>
    <row r="22" spans="1:4" x14ac:dyDescent="0.3">
      <c r="A22">
        <f t="shared" si="1"/>
        <v>2010</v>
      </c>
      <c r="B22">
        <f>[1]CT!C22</f>
        <v>3989</v>
      </c>
      <c r="C22">
        <f>[1]CT!F22</f>
        <v>2196</v>
      </c>
      <c r="D22">
        <f t="shared" si="0"/>
        <v>55.051391326146906</v>
      </c>
    </row>
    <row r="23" spans="1:4" x14ac:dyDescent="0.3">
      <c r="A23">
        <f t="shared" si="1"/>
        <v>2011</v>
      </c>
      <c r="B23">
        <f>[1]CT!C23</f>
        <v>4644</v>
      </c>
      <c r="C23">
        <f>[1]CT!F23</f>
        <v>2570</v>
      </c>
      <c r="D23">
        <f t="shared" si="0"/>
        <v>55.340223944875113</v>
      </c>
    </row>
    <row r="24" spans="1:4" x14ac:dyDescent="0.3">
      <c r="A24">
        <f>A22+2</f>
        <v>2012</v>
      </c>
      <c r="B24">
        <f>[1]CT!C24</f>
        <v>5129</v>
      </c>
      <c r="C24">
        <f>[1]CT!F24</f>
        <v>2850</v>
      </c>
      <c r="D24">
        <f t="shared" si="0"/>
        <v>55.566387209982452</v>
      </c>
    </row>
    <row r="25" spans="1:4" x14ac:dyDescent="0.3">
      <c r="A25">
        <f t="shared" si="1"/>
        <v>2013</v>
      </c>
      <c r="B25">
        <f>[1]CT!C25</f>
        <v>5497</v>
      </c>
      <c r="C25">
        <f>[1]CT!F25</f>
        <v>3138</v>
      </c>
      <c r="D25">
        <f t="shared" si="0"/>
        <v>57.085683099872654</v>
      </c>
    </row>
    <row r="26" spans="1:4" x14ac:dyDescent="0.3">
      <c r="A26">
        <f t="shared" si="1"/>
        <v>2014</v>
      </c>
      <c r="B26">
        <f>[1]CT!C26</f>
        <v>5119</v>
      </c>
      <c r="C26">
        <f>[1]CT!F26</f>
        <v>2961</v>
      </c>
      <c r="D26">
        <f t="shared" si="0"/>
        <v>57.843328775151392</v>
      </c>
    </row>
    <row r="27" spans="1:4" x14ac:dyDescent="0.3">
      <c r="A27">
        <f t="shared" si="1"/>
        <v>2015</v>
      </c>
      <c r="B27">
        <f>[1]CT!C27</f>
        <v>4727</v>
      </c>
      <c r="C27">
        <f>[1]CT!F27</f>
        <v>2783</v>
      </c>
      <c r="D27">
        <f t="shared" si="0"/>
        <v>58.87455045483393</v>
      </c>
    </row>
    <row r="28" spans="1:4" x14ac:dyDescent="0.3">
      <c r="A28">
        <f t="shared" si="1"/>
        <v>2016</v>
      </c>
      <c r="B28">
        <f>[1]CT!C28</f>
        <v>4107</v>
      </c>
      <c r="C28">
        <f>[1]CT!F28</f>
        <v>2395</v>
      </c>
      <c r="D28">
        <f t="shared" si="0"/>
        <v>58.315071828585339</v>
      </c>
    </row>
    <row r="29" spans="1:4" x14ac:dyDescent="0.3">
      <c r="A29">
        <f t="shared" si="1"/>
        <v>2017</v>
      </c>
      <c r="B29">
        <f>[1]CT!C29</f>
        <v>3842</v>
      </c>
      <c r="C29">
        <f>[1]CT!F29</f>
        <v>2220</v>
      </c>
      <c r="D29">
        <f t="shared" si="0"/>
        <v>57.782404997397187</v>
      </c>
    </row>
    <row r="30" spans="1:4" x14ac:dyDescent="0.3">
      <c r="A30">
        <f t="shared" si="1"/>
        <v>2018</v>
      </c>
      <c r="B30">
        <f>[1]CT!C30</f>
        <v>3826</v>
      </c>
      <c r="C30">
        <f>[1]CT!F30</f>
        <v>2239</v>
      </c>
      <c r="D30">
        <f t="shared" si="0"/>
        <v>58.520648196549921</v>
      </c>
    </row>
    <row r="31" spans="1:4" x14ac:dyDescent="0.3">
      <c r="A31">
        <f t="shared" si="1"/>
        <v>2019</v>
      </c>
      <c r="B31">
        <f>[1]CT!C31</f>
        <v>3787</v>
      </c>
      <c r="C31">
        <f>[1]CT!F31</f>
        <v>2215</v>
      </c>
      <c r="D31">
        <f t="shared" si="0"/>
        <v>58.4895695801426</v>
      </c>
    </row>
    <row r="32" spans="1:4" x14ac:dyDescent="0.3">
      <c r="A32">
        <f t="shared" si="1"/>
        <v>2020</v>
      </c>
      <c r="B32">
        <f>[1]CT!C32</f>
        <v>2963</v>
      </c>
      <c r="C32">
        <f>[1]CT!F32</f>
        <v>1736</v>
      </c>
      <c r="D32">
        <f t="shared" si="0"/>
        <v>58.589267634154574</v>
      </c>
    </row>
    <row r="33" spans="1:4" x14ac:dyDescent="0.3">
      <c r="A33">
        <f t="shared" si="1"/>
        <v>2021</v>
      </c>
      <c r="B33">
        <f>[1]CT!C33</f>
        <v>2766</v>
      </c>
      <c r="C33">
        <f>[1]CT!F33</f>
        <v>1624</v>
      </c>
      <c r="D33">
        <f t="shared" si="0"/>
        <v>58.712942877801879</v>
      </c>
    </row>
    <row r="34" spans="1:4" x14ac:dyDescent="0.3">
      <c r="A34">
        <f t="shared" si="1"/>
        <v>2022</v>
      </c>
      <c r="B34">
        <f>[1]CT!C34</f>
        <v>2065</v>
      </c>
      <c r="C34">
        <f>[1]CT!F34</f>
        <v>1260</v>
      </c>
      <c r="D34">
        <f t="shared" si="0"/>
        <v>61.016949152542374</v>
      </c>
    </row>
    <row r="35" spans="1:4" x14ac:dyDescent="0.3">
      <c r="A35">
        <f t="shared" si="1"/>
        <v>2023</v>
      </c>
      <c r="B35">
        <f>[1]CT!C35</f>
        <v>1669</v>
      </c>
      <c r="C35">
        <f>[1]CT!F35</f>
        <v>985</v>
      </c>
      <c r="D35">
        <f t="shared" si="0"/>
        <v>59.017375674056318</v>
      </c>
    </row>
    <row r="36" spans="1:4" x14ac:dyDescent="0.3">
      <c r="A36">
        <f t="shared" si="1"/>
        <v>2024</v>
      </c>
      <c r="B36">
        <f>[1]CT!C36</f>
        <v>1381</v>
      </c>
      <c r="C36">
        <f>[1]CT!F36</f>
        <v>809</v>
      </c>
      <c r="D36">
        <f t="shared" si="0"/>
        <v>58.580738595220851</v>
      </c>
    </row>
    <row r="37" spans="1:4" x14ac:dyDescent="0.3">
      <c r="A37">
        <v>2025</v>
      </c>
      <c r="B37">
        <f>[1]CT!C37</f>
        <v>887</v>
      </c>
      <c r="C37">
        <f>[1]CT!F37</f>
        <v>535</v>
      </c>
      <c r="D37">
        <f t="shared" si="0"/>
        <v>60.31567080045096</v>
      </c>
    </row>
    <row r="38" spans="1:4" x14ac:dyDescent="0.3">
      <c r="A38" t="s">
        <v>9</v>
      </c>
      <c r="B38">
        <f>[1]CT!C38</f>
        <v>111995</v>
      </c>
      <c r="C38">
        <f>[1]CT!F38</f>
        <v>63045</v>
      </c>
    </row>
    <row r="39" spans="1:4" x14ac:dyDescent="0.3">
      <c r="A39" t="s">
        <v>7</v>
      </c>
      <c r="B39">
        <f>[1]CT!C39</f>
        <v>5497</v>
      </c>
      <c r="C39">
        <f>[1]CT!F39</f>
        <v>3138</v>
      </c>
      <c r="D39">
        <f>MAX(D2:D37)</f>
        <v>61.016949152542374</v>
      </c>
    </row>
    <row r="40" spans="1:4" x14ac:dyDescent="0.3">
      <c r="A40" t="s">
        <v>8</v>
      </c>
      <c r="B40">
        <f>[1]CT!C40</f>
        <v>767</v>
      </c>
      <c r="C40">
        <f>[1]CT!F40</f>
        <v>381</v>
      </c>
      <c r="D40">
        <f>MIN(D2:D37)</f>
        <v>49.674054758800523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zoomScale="70" zoomScaleNormal="70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[1]META!C1</f>
        <v>HasPvalue</v>
      </c>
      <c r="C1" t="str">
        <f>[1]META!F1</f>
        <v>Pvalue0.005</v>
      </c>
      <c r="D1" t="s">
        <v>1</v>
      </c>
    </row>
    <row r="2" spans="1:4" x14ac:dyDescent="0.3">
      <c r="A2">
        <v>1990</v>
      </c>
      <c r="B2">
        <f>[1]META!C2</f>
        <v>30</v>
      </c>
      <c r="C2">
        <f>[1]META!F2</f>
        <v>18</v>
      </c>
      <c r="D2">
        <f>C2/B2*100</f>
        <v>60</v>
      </c>
    </row>
    <row r="3" spans="1:4" x14ac:dyDescent="0.3">
      <c r="A3">
        <v>1991</v>
      </c>
      <c r="B3">
        <f>[1]META!C3</f>
        <v>37</v>
      </c>
      <c r="C3">
        <f>[1]META!F3</f>
        <v>20</v>
      </c>
      <c r="D3">
        <f t="shared" ref="D3:D37" si="0">C3/B3*100</f>
        <v>54.054054054054056</v>
      </c>
    </row>
    <row r="4" spans="1:4" x14ac:dyDescent="0.3">
      <c r="A4">
        <f>A2+2</f>
        <v>1992</v>
      </c>
      <c r="B4">
        <f>[1]META!C4</f>
        <v>44</v>
      </c>
      <c r="C4">
        <f>[1]META!F4</f>
        <v>30</v>
      </c>
      <c r="D4">
        <f t="shared" si="0"/>
        <v>68.181818181818173</v>
      </c>
    </row>
    <row r="5" spans="1:4" x14ac:dyDescent="0.3">
      <c r="A5">
        <f t="shared" ref="A5:A20" si="1">A3+2</f>
        <v>1993</v>
      </c>
      <c r="B5">
        <f>[1]META!C5</f>
        <v>61</v>
      </c>
      <c r="C5">
        <f>[1]META!F5</f>
        <v>36</v>
      </c>
      <c r="D5">
        <f t="shared" si="0"/>
        <v>59.016393442622949</v>
      </c>
    </row>
    <row r="6" spans="1:4" x14ac:dyDescent="0.3">
      <c r="A6">
        <f t="shared" si="1"/>
        <v>1994</v>
      </c>
      <c r="B6">
        <f>[1]META!C6</f>
        <v>65</v>
      </c>
      <c r="C6">
        <f>[1]META!F6</f>
        <v>42</v>
      </c>
      <c r="D6">
        <f t="shared" si="0"/>
        <v>64.615384615384613</v>
      </c>
    </row>
    <row r="7" spans="1:4" x14ac:dyDescent="0.3">
      <c r="A7">
        <f t="shared" si="1"/>
        <v>1995</v>
      </c>
      <c r="B7">
        <f>[1]META!C7</f>
        <v>90</v>
      </c>
      <c r="C7">
        <f>[1]META!F7</f>
        <v>51</v>
      </c>
      <c r="D7">
        <f t="shared" si="0"/>
        <v>56.666666666666664</v>
      </c>
    </row>
    <row r="8" spans="1:4" x14ac:dyDescent="0.3">
      <c r="A8">
        <f t="shared" si="1"/>
        <v>1996</v>
      </c>
      <c r="B8">
        <f>[1]META!C8</f>
        <v>96</v>
      </c>
      <c r="C8">
        <f>[1]META!F8</f>
        <v>51</v>
      </c>
      <c r="D8">
        <f t="shared" si="0"/>
        <v>53.125</v>
      </c>
    </row>
    <row r="9" spans="1:4" x14ac:dyDescent="0.3">
      <c r="A9">
        <f t="shared" si="1"/>
        <v>1997</v>
      </c>
      <c r="B9">
        <f>[1]META!C9</f>
        <v>121</v>
      </c>
      <c r="C9">
        <f>[1]META!F9</f>
        <v>74</v>
      </c>
      <c r="D9">
        <f t="shared" si="0"/>
        <v>61.157024793388423</v>
      </c>
    </row>
    <row r="10" spans="1:4" x14ac:dyDescent="0.3">
      <c r="A10">
        <f t="shared" si="1"/>
        <v>1998</v>
      </c>
      <c r="B10">
        <f>[1]META!C10</f>
        <v>116</v>
      </c>
      <c r="C10">
        <f>[1]META!F10</f>
        <v>74</v>
      </c>
      <c r="D10">
        <f t="shared" si="0"/>
        <v>63.793103448275865</v>
      </c>
    </row>
    <row r="11" spans="1:4" x14ac:dyDescent="0.3">
      <c r="A11">
        <f t="shared" si="1"/>
        <v>1999</v>
      </c>
      <c r="B11">
        <f>[1]META!C11</f>
        <v>129</v>
      </c>
      <c r="C11">
        <f>[1]META!F11</f>
        <v>84</v>
      </c>
      <c r="D11">
        <f t="shared" si="0"/>
        <v>65.116279069767444</v>
      </c>
    </row>
    <row r="12" spans="1:4" x14ac:dyDescent="0.3">
      <c r="A12">
        <f t="shared" si="1"/>
        <v>2000</v>
      </c>
      <c r="B12">
        <f>[1]META!C12</f>
        <v>177</v>
      </c>
      <c r="C12">
        <f>[1]META!F12</f>
        <v>118</v>
      </c>
      <c r="D12">
        <f t="shared" si="0"/>
        <v>66.666666666666657</v>
      </c>
    </row>
    <row r="13" spans="1:4" x14ac:dyDescent="0.3">
      <c r="A13">
        <f t="shared" si="1"/>
        <v>2001</v>
      </c>
      <c r="B13">
        <f>[1]META!C13</f>
        <v>167</v>
      </c>
      <c r="C13">
        <f>[1]META!F13</f>
        <v>103</v>
      </c>
      <c r="D13">
        <f t="shared" si="0"/>
        <v>61.676646706586823</v>
      </c>
    </row>
    <row r="14" spans="1:4" x14ac:dyDescent="0.3">
      <c r="A14">
        <f t="shared" si="1"/>
        <v>2002</v>
      </c>
      <c r="B14">
        <f>[1]META!C14</f>
        <v>213</v>
      </c>
      <c r="C14">
        <f>[1]META!F14</f>
        <v>131</v>
      </c>
      <c r="D14">
        <f t="shared" si="0"/>
        <v>61.502347417840376</v>
      </c>
    </row>
    <row r="15" spans="1:4" x14ac:dyDescent="0.3">
      <c r="A15">
        <f t="shared" si="1"/>
        <v>2003</v>
      </c>
      <c r="B15">
        <f>[1]META!C15</f>
        <v>315</v>
      </c>
      <c r="C15">
        <f>[1]META!F15</f>
        <v>182</v>
      </c>
      <c r="D15">
        <f t="shared" si="0"/>
        <v>57.777777777777771</v>
      </c>
    </row>
    <row r="16" spans="1:4" x14ac:dyDescent="0.3">
      <c r="A16">
        <f t="shared" si="1"/>
        <v>2004</v>
      </c>
      <c r="B16">
        <f>[1]META!C16</f>
        <v>346</v>
      </c>
      <c r="C16">
        <f>[1]META!F16</f>
        <v>205</v>
      </c>
      <c r="D16">
        <f t="shared" si="0"/>
        <v>59.248554913294797</v>
      </c>
    </row>
    <row r="17" spans="1:4" x14ac:dyDescent="0.3">
      <c r="A17">
        <f t="shared" si="1"/>
        <v>2005</v>
      </c>
      <c r="B17">
        <f>[1]META!C17</f>
        <v>494</v>
      </c>
      <c r="C17">
        <f>[1]META!F17</f>
        <v>312</v>
      </c>
      <c r="D17">
        <f t="shared" si="0"/>
        <v>63.157894736842103</v>
      </c>
    </row>
    <row r="18" spans="1:4" x14ac:dyDescent="0.3">
      <c r="A18">
        <f t="shared" si="1"/>
        <v>2006</v>
      </c>
      <c r="B18">
        <f>[1]META!C18</f>
        <v>587</v>
      </c>
      <c r="C18">
        <f>[1]META!F18</f>
        <v>349</v>
      </c>
      <c r="D18">
        <f t="shared" si="0"/>
        <v>59.454855195911414</v>
      </c>
    </row>
    <row r="19" spans="1:4" x14ac:dyDescent="0.3">
      <c r="A19">
        <f t="shared" si="1"/>
        <v>2007</v>
      </c>
      <c r="B19">
        <f>[1]META!C19</f>
        <v>749</v>
      </c>
      <c r="C19">
        <f>[1]META!F19</f>
        <v>486</v>
      </c>
      <c r="D19">
        <f t="shared" si="0"/>
        <v>64.886515353805081</v>
      </c>
    </row>
    <row r="20" spans="1:4" x14ac:dyDescent="0.3">
      <c r="A20">
        <f t="shared" si="1"/>
        <v>2008</v>
      </c>
      <c r="B20">
        <f>[1]META!C20</f>
        <v>874</v>
      </c>
      <c r="C20">
        <f>[1]META!F20</f>
        <v>566</v>
      </c>
      <c r="D20">
        <f t="shared" si="0"/>
        <v>64.759725400457668</v>
      </c>
    </row>
    <row r="21" spans="1:4" x14ac:dyDescent="0.3">
      <c r="A21">
        <f t="shared" ref="A21:A36" si="2">A19+2</f>
        <v>2009</v>
      </c>
      <c r="B21">
        <f>[1]META!C21</f>
        <v>1107</v>
      </c>
      <c r="C21">
        <f>[1]META!F21</f>
        <v>715</v>
      </c>
      <c r="D21">
        <f t="shared" si="0"/>
        <v>64.588979223125563</v>
      </c>
    </row>
    <row r="22" spans="1:4" x14ac:dyDescent="0.3">
      <c r="A22">
        <f t="shared" si="2"/>
        <v>2010</v>
      </c>
      <c r="B22">
        <f>[1]META!C22</f>
        <v>1458</v>
      </c>
      <c r="C22">
        <f>[1]META!F22</f>
        <v>913</v>
      </c>
      <c r="D22">
        <f t="shared" si="0"/>
        <v>62.62002743484225</v>
      </c>
    </row>
    <row r="23" spans="1:4" x14ac:dyDescent="0.3">
      <c r="A23">
        <f t="shared" si="2"/>
        <v>2011</v>
      </c>
      <c r="B23">
        <f>[1]META!C23</f>
        <v>1976</v>
      </c>
      <c r="C23">
        <f>[1]META!F23</f>
        <v>1254</v>
      </c>
      <c r="D23">
        <f t="shared" si="0"/>
        <v>63.46153846153846</v>
      </c>
    </row>
    <row r="24" spans="1:4" x14ac:dyDescent="0.3">
      <c r="A24">
        <f>A22+2</f>
        <v>2012</v>
      </c>
      <c r="B24">
        <f>[1]META!C24</f>
        <v>2703</v>
      </c>
      <c r="C24">
        <f>[1]META!F24</f>
        <v>1717</v>
      </c>
      <c r="D24">
        <f t="shared" si="0"/>
        <v>63.522012578616348</v>
      </c>
    </row>
    <row r="25" spans="1:4" x14ac:dyDescent="0.3">
      <c r="A25">
        <f t="shared" si="2"/>
        <v>2013</v>
      </c>
      <c r="B25">
        <f>[1]META!C25</f>
        <v>3560</v>
      </c>
      <c r="C25">
        <f>[1]META!F25</f>
        <v>2320</v>
      </c>
      <c r="D25">
        <f t="shared" si="0"/>
        <v>65.168539325842701</v>
      </c>
    </row>
    <row r="26" spans="1:4" x14ac:dyDescent="0.3">
      <c r="A26">
        <f t="shared" si="2"/>
        <v>2014</v>
      </c>
      <c r="B26">
        <f>[1]META!C26</f>
        <v>4241</v>
      </c>
      <c r="C26">
        <f>[1]META!F26</f>
        <v>2753</v>
      </c>
      <c r="D26">
        <f t="shared" si="0"/>
        <v>64.913935392596088</v>
      </c>
    </row>
    <row r="27" spans="1:4" x14ac:dyDescent="0.3">
      <c r="A27">
        <f t="shared" si="2"/>
        <v>2015</v>
      </c>
      <c r="B27">
        <f>[1]META!C27</f>
        <v>4849</v>
      </c>
      <c r="C27">
        <f>[1]META!F27</f>
        <v>3136</v>
      </c>
      <c r="D27">
        <f t="shared" si="0"/>
        <v>64.673128480098981</v>
      </c>
    </row>
    <row r="28" spans="1:4" x14ac:dyDescent="0.3">
      <c r="A28">
        <f t="shared" si="2"/>
        <v>2016</v>
      </c>
      <c r="B28">
        <f>[1]META!C28</f>
        <v>5029</v>
      </c>
      <c r="C28">
        <f>[1]META!F28</f>
        <v>3358</v>
      </c>
      <c r="D28">
        <f t="shared" si="0"/>
        <v>66.772718234241395</v>
      </c>
    </row>
    <row r="29" spans="1:4" x14ac:dyDescent="0.3">
      <c r="A29">
        <f t="shared" si="2"/>
        <v>2017</v>
      </c>
      <c r="B29">
        <f>[1]META!C29</f>
        <v>5427</v>
      </c>
      <c r="C29">
        <f>[1]META!F29</f>
        <v>3580</v>
      </c>
      <c r="D29">
        <f t="shared" si="0"/>
        <v>65.966463976414218</v>
      </c>
    </row>
    <row r="30" spans="1:4" x14ac:dyDescent="0.3">
      <c r="A30">
        <f t="shared" si="2"/>
        <v>2018</v>
      </c>
      <c r="B30">
        <f>[1]META!C30</f>
        <v>5858</v>
      </c>
      <c r="C30">
        <f>[1]META!F30</f>
        <v>3756</v>
      </c>
      <c r="D30">
        <f t="shared" si="0"/>
        <v>64.117446227381365</v>
      </c>
    </row>
    <row r="31" spans="1:4" x14ac:dyDescent="0.3">
      <c r="A31">
        <f t="shared" si="2"/>
        <v>2019</v>
      </c>
      <c r="B31">
        <f>[1]META!C31</f>
        <v>6494</v>
      </c>
      <c r="C31">
        <f>[1]META!F31</f>
        <v>4208</v>
      </c>
      <c r="D31">
        <f t="shared" si="0"/>
        <v>64.798275331074834</v>
      </c>
    </row>
    <row r="32" spans="1:4" x14ac:dyDescent="0.3">
      <c r="A32">
        <f t="shared" si="2"/>
        <v>2020</v>
      </c>
      <c r="B32">
        <f>[1]META!C32</f>
        <v>7820</v>
      </c>
      <c r="C32">
        <f>[1]META!F32</f>
        <v>5095</v>
      </c>
      <c r="D32">
        <f t="shared" si="0"/>
        <v>65.153452685421996</v>
      </c>
    </row>
    <row r="33" spans="1:4" x14ac:dyDescent="0.3">
      <c r="A33">
        <f t="shared" si="2"/>
        <v>2021</v>
      </c>
      <c r="B33">
        <f>[1]META!C33</f>
        <v>9018</v>
      </c>
      <c r="C33">
        <f>[1]META!F33</f>
        <v>5831</v>
      </c>
      <c r="D33">
        <f t="shared" si="0"/>
        <v>64.659569749390116</v>
      </c>
    </row>
    <row r="34" spans="1:4" x14ac:dyDescent="0.3">
      <c r="A34">
        <f t="shared" si="2"/>
        <v>2022</v>
      </c>
      <c r="B34">
        <f>[1]META!C34</f>
        <v>9360</v>
      </c>
      <c r="C34">
        <f>[1]META!F34</f>
        <v>6023</v>
      </c>
      <c r="D34">
        <f t="shared" si="0"/>
        <v>64.348290598290603</v>
      </c>
    </row>
    <row r="35" spans="1:4" x14ac:dyDescent="0.3">
      <c r="A35">
        <f t="shared" si="2"/>
        <v>2023</v>
      </c>
      <c r="B35">
        <f>[1]META!C35</f>
        <v>9081</v>
      </c>
      <c r="C35">
        <f>[1]META!F35</f>
        <v>5827</v>
      </c>
      <c r="D35">
        <f t="shared" si="0"/>
        <v>64.16694196674375</v>
      </c>
    </row>
    <row r="36" spans="1:4" x14ac:dyDescent="0.3">
      <c r="A36">
        <f t="shared" si="2"/>
        <v>2024</v>
      </c>
      <c r="B36">
        <f>[1]META!C36</f>
        <v>9707</v>
      </c>
      <c r="C36">
        <f>[1]META!F36</f>
        <v>6140</v>
      </c>
      <c r="D36">
        <f t="shared" si="0"/>
        <v>63.253322344699704</v>
      </c>
    </row>
    <row r="37" spans="1:4" x14ac:dyDescent="0.3">
      <c r="A37">
        <v>2025</v>
      </c>
      <c r="B37">
        <f>[1]META!C37</f>
        <v>6145</v>
      </c>
      <c r="C37">
        <f>[1]META!F37</f>
        <v>3805</v>
      </c>
      <c r="D37">
        <f t="shared" si="0"/>
        <v>61.920260374288041</v>
      </c>
    </row>
    <row r="38" spans="1:4" x14ac:dyDescent="0.3">
      <c r="A38" t="s">
        <v>9</v>
      </c>
      <c r="B38">
        <f>[1]META!C38</f>
        <v>98544</v>
      </c>
      <c r="C38">
        <f>[1]META!F38</f>
        <v>63363</v>
      </c>
    </row>
    <row r="39" spans="1:4" x14ac:dyDescent="0.3">
      <c r="A39" t="s">
        <v>7</v>
      </c>
      <c r="B39">
        <f>[1]META!C39</f>
        <v>9707</v>
      </c>
      <c r="C39">
        <f>[1]META!F39</f>
        <v>6140</v>
      </c>
      <c r="D39">
        <f>MAX(D2:D37)</f>
        <v>68.181818181818173</v>
      </c>
    </row>
    <row r="40" spans="1:4" x14ac:dyDescent="0.3">
      <c r="A40" t="s">
        <v>8</v>
      </c>
      <c r="B40">
        <f>[1]META!C40</f>
        <v>30</v>
      </c>
      <c r="C40">
        <f>[1]META!F40</f>
        <v>18</v>
      </c>
      <c r="D40">
        <f>MIN(D2:D37)</f>
        <v>53.125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zoomScale="70" zoomScaleNormal="70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[1]REVIEW!C1</f>
        <v>HasPvalue</v>
      </c>
      <c r="C1" t="str">
        <f>[1]REVIEW!F1</f>
        <v>Pvalue0.005</v>
      </c>
      <c r="D1" t="s">
        <v>1</v>
      </c>
    </row>
    <row r="2" spans="1:4" x14ac:dyDescent="0.3">
      <c r="A2">
        <v>1990</v>
      </c>
      <c r="B2">
        <f>[1]REVIEW!C2</f>
        <v>186</v>
      </c>
      <c r="C2">
        <f>[1]REVIEW!F2</f>
        <v>96</v>
      </c>
      <c r="D2">
        <f>C2/B2*100</f>
        <v>51.612903225806448</v>
      </c>
    </row>
    <row r="3" spans="1:4" x14ac:dyDescent="0.3">
      <c r="A3">
        <v>1991</v>
      </c>
      <c r="B3">
        <f>[1]REVIEW!C3</f>
        <v>207</v>
      </c>
      <c r="C3">
        <f>[1]REVIEW!F3</f>
        <v>115</v>
      </c>
      <c r="D3">
        <f t="shared" ref="D3:D37" si="0">C3/B3*100</f>
        <v>55.555555555555557</v>
      </c>
    </row>
    <row r="4" spans="1:4" x14ac:dyDescent="0.3">
      <c r="A4">
        <f>A2+2</f>
        <v>1992</v>
      </c>
      <c r="B4">
        <f>[1]REVIEW!C4</f>
        <v>230</v>
      </c>
      <c r="C4">
        <f>[1]REVIEW!F4</f>
        <v>127</v>
      </c>
      <c r="D4">
        <f t="shared" si="0"/>
        <v>55.217391304347828</v>
      </c>
    </row>
    <row r="5" spans="1:4" x14ac:dyDescent="0.3">
      <c r="A5">
        <f t="shared" ref="A5:A20" si="1">A3+2</f>
        <v>1993</v>
      </c>
      <c r="B5">
        <f>[1]REVIEW!C5</f>
        <v>217</v>
      </c>
      <c r="C5">
        <f>[1]REVIEW!F5</f>
        <v>108</v>
      </c>
      <c r="D5">
        <f t="shared" si="0"/>
        <v>49.769585253456221</v>
      </c>
    </row>
    <row r="6" spans="1:4" x14ac:dyDescent="0.3">
      <c r="A6">
        <f t="shared" si="1"/>
        <v>1994</v>
      </c>
      <c r="B6">
        <f>[1]REVIEW!C6</f>
        <v>217</v>
      </c>
      <c r="C6">
        <f>[1]REVIEW!F6</f>
        <v>121</v>
      </c>
      <c r="D6">
        <f t="shared" si="0"/>
        <v>55.76036866359447</v>
      </c>
    </row>
    <row r="7" spans="1:4" x14ac:dyDescent="0.3">
      <c r="A7">
        <f t="shared" si="1"/>
        <v>1995</v>
      </c>
      <c r="B7">
        <f>[1]REVIEW!C7</f>
        <v>269</v>
      </c>
      <c r="C7">
        <f>[1]REVIEW!F7</f>
        <v>145</v>
      </c>
      <c r="D7">
        <f t="shared" si="0"/>
        <v>53.903345724907062</v>
      </c>
    </row>
    <row r="8" spans="1:4" x14ac:dyDescent="0.3">
      <c r="A8">
        <f t="shared" si="1"/>
        <v>1996</v>
      </c>
      <c r="B8">
        <f>[1]REVIEW!C8</f>
        <v>320</v>
      </c>
      <c r="C8">
        <f>[1]REVIEW!F8</f>
        <v>174</v>
      </c>
      <c r="D8">
        <f t="shared" si="0"/>
        <v>54.374999999999993</v>
      </c>
    </row>
    <row r="9" spans="1:4" x14ac:dyDescent="0.3">
      <c r="A9">
        <f t="shared" si="1"/>
        <v>1997</v>
      </c>
      <c r="B9">
        <f>[1]REVIEW!C9</f>
        <v>315</v>
      </c>
      <c r="C9">
        <f>[1]REVIEW!F9</f>
        <v>166</v>
      </c>
      <c r="D9">
        <f t="shared" si="0"/>
        <v>52.698412698412703</v>
      </c>
    </row>
    <row r="10" spans="1:4" x14ac:dyDescent="0.3">
      <c r="A10">
        <f t="shared" si="1"/>
        <v>1998</v>
      </c>
      <c r="B10">
        <f>[1]REVIEW!C10</f>
        <v>307</v>
      </c>
      <c r="C10">
        <f>[1]REVIEW!F10</f>
        <v>173</v>
      </c>
      <c r="D10">
        <f t="shared" si="0"/>
        <v>56.351791530944631</v>
      </c>
    </row>
    <row r="11" spans="1:4" x14ac:dyDescent="0.3">
      <c r="A11">
        <f t="shared" si="1"/>
        <v>1999</v>
      </c>
      <c r="B11">
        <f>[1]REVIEW!C11</f>
        <v>260</v>
      </c>
      <c r="C11">
        <f>[1]REVIEW!F11</f>
        <v>143</v>
      </c>
      <c r="D11">
        <f t="shared" si="0"/>
        <v>55.000000000000007</v>
      </c>
    </row>
    <row r="12" spans="1:4" x14ac:dyDescent="0.3">
      <c r="A12">
        <f t="shared" si="1"/>
        <v>2000</v>
      </c>
      <c r="B12">
        <f>[1]REVIEW!C12</f>
        <v>294</v>
      </c>
      <c r="C12">
        <f>[1]REVIEW!F12</f>
        <v>160</v>
      </c>
      <c r="D12">
        <f t="shared" si="0"/>
        <v>54.421768707482997</v>
      </c>
    </row>
    <row r="13" spans="1:4" x14ac:dyDescent="0.3">
      <c r="A13">
        <f t="shared" si="1"/>
        <v>2001</v>
      </c>
      <c r="B13">
        <f>[1]REVIEW!C13</f>
        <v>311</v>
      </c>
      <c r="C13">
        <f>[1]REVIEW!F13</f>
        <v>163</v>
      </c>
      <c r="D13">
        <f t="shared" si="0"/>
        <v>52.411575562700961</v>
      </c>
    </row>
    <row r="14" spans="1:4" x14ac:dyDescent="0.3">
      <c r="A14">
        <f t="shared" si="1"/>
        <v>2002</v>
      </c>
      <c r="B14">
        <f>[1]REVIEW!C14</f>
        <v>346</v>
      </c>
      <c r="C14">
        <f>[1]REVIEW!F14</f>
        <v>189</v>
      </c>
      <c r="D14">
        <f t="shared" si="0"/>
        <v>54.624277456647398</v>
      </c>
    </row>
    <row r="15" spans="1:4" x14ac:dyDescent="0.3">
      <c r="A15">
        <f t="shared" si="1"/>
        <v>2003</v>
      </c>
      <c r="B15">
        <f>[1]REVIEW!C15</f>
        <v>508</v>
      </c>
      <c r="C15">
        <f>[1]REVIEW!F15</f>
        <v>272</v>
      </c>
      <c r="D15">
        <f t="shared" si="0"/>
        <v>53.543307086614178</v>
      </c>
    </row>
    <row r="16" spans="1:4" x14ac:dyDescent="0.3">
      <c r="A16">
        <f t="shared" si="1"/>
        <v>2004</v>
      </c>
      <c r="B16">
        <f>[1]REVIEW!C16</f>
        <v>571</v>
      </c>
      <c r="C16">
        <f>[1]REVIEW!F16</f>
        <v>324</v>
      </c>
      <c r="D16">
        <f t="shared" si="0"/>
        <v>56.742556917688269</v>
      </c>
    </row>
    <row r="17" spans="1:4" x14ac:dyDescent="0.3">
      <c r="A17">
        <f t="shared" si="1"/>
        <v>2005</v>
      </c>
      <c r="B17">
        <f>[1]REVIEW!C17</f>
        <v>475</v>
      </c>
      <c r="C17">
        <f>[1]REVIEW!F17</f>
        <v>283</v>
      </c>
      <c r="D17">
        <f t="shared" si="0"/>
        <v>59.578947368421055</v>
      </c>
    </row>
    <row r="18" spans="1:4" x14ac:dyDescent="0.3">
      <c r="A18">
        <f t="shared" si="1"/>
        <v>2006</v>
      </c>
      <c r="B18">
        <f>[1]REVIEW!C18</f>
        <v>438</v>
      </c>
      <c r="C18">
        <f>[1]REVIEW!F18</f>
        <v>251</v>
      </c>
      <c r="D18">
        <f t="shared" si="0"/>
        <v>57.305936073059357</v>
      </c>
    </row>
    <row r="19" spans="1:4" x14ac:dyDescent="0.3">
      <c r="A19">
        <f t="shared" si="1"/>
        <v>2007</v>
      </c>
      <c r="B19">
        <f>[1]REVIEW!C19</f>
        <v>498</v>
      </c>
      <c r="C19">
        <f>[1]REVIEW!F19</f>
        <v>280</v>
      </c>
      <c r="D19">
        <f t="shared" si="0"/>
        <v>56.224899598393577</v>
      </c>
    </row>
    <row r="20" spans="1:4" x14ac:dyDescent="0.3">
      <c r="A20">
        <f t="shared" si="1"/>
        <v>2008</v>
      </c>
      <c r="B20">
        <f>[1]REVIEW!C20</f>
        <v>491</v>
      </c>
      <c r="C20">
        <f>[1]REVIEW!F20</f>
        <v>286</v>
      </c>
      <c r="D20">
        <f t="shared" si="0"/>
        <v>58.248472505091655</v>
      </c>
    </row>
    <row r="21" spans="1:4" x14ac:dyDescent="0.3">
      <c r="A21">
        <f t="shared" ref="A21:A36" si="2">A19+2</f>
        <v>2009</v>
      </c>
      <c r="B21">
        <f>[1]REVIEW!C21</f>
        <v>544</v>
      </c>
      <c r="C21">
        <f>[1]REVIEW!F21</f>
        <v>304</v>
      </c>
      <c r="D21">
        <f t="shared" si="0"/>
        <v>55.882352941176471</v>
      </c>
    </row>
    <row r="22" spans="1:4" x14ac:dyDescent="0.3">
      <c r="A22">
        <f t="shared" si="2"/>
        <v>2010</v>
      </c>
      <c r="B22">
        <f>[1]REVIEW!C22</f>
        <v>632</v>
      </c>
      <c r="C22">
        <f>[1]REVIEW!F22</f>
        <v>379</v>
      </c>
      <c r="D22">
        <f t="shared" si="0"/>
        <v>59.968354430379748</v>
      </c>
    </row>
    <row r="23" spans="1:4" x14ac:dyDescent="0.3">
      <c r="A23">
        <f t="shared" si="2"/>
        <v>2011</v>
      </c>
      <c r="B23">
        <f>[1]REVIEW!C23</f>
        <v>718</v>
      </c>
      <c r="C23">
        <f>[1]REVIEW!F23</f>
        <v>439</v>
      </c>
      <c r="D23">
        <f t="shared" si="0"/>
        <v>61.142061281337043</v>
      </c>
    </row>
    <row r="24" spans="1:4" x14ac:dyDescent="0.3">
      <c r="A24">
        <f>A22+2</f>
        <v>2012</v>
      </c>
      <c r="B24">
        <f>[1]REVIEW!C24</f>
        <v>844</v>
      </c>
      <c r="C24">
        <f>[1]REVIEW!F24</f>
        <v>493</v>
      </c>
      <c r="D24">
        <f t="shared" si="0"/>
        <v>58.412322274881511</v>
      </c>
    </row>
    <row r="25" spans="1:4" x14ac:dyDescent="0.3">
      <c r="A25">
        <f t="shared" si="2"/>
        <v>2013</v>
      </c>
      <c r="B25">
        <f>[1]REVIEW!C25</f>
        <v>971</v>
      </c>
      <c r="C25">
        <f>[1]REVIEW!F25</f>
        <v>545</v>
      </c>
      <c r="D25">
        <f t="shared" si="0"/>
        <v>56.127703398558182</v>
      </c>
    </row>
    <row r="26" spans="1:4" x14ac:dyDescent="0.3">
      <c r="A26">
        <f t="shared" si="2"/>
        <v>2014</v>
      </c>
      <c r="B26">
        <f>[1]REVIEW!C26</f>
        <v>1024</v>
      </c>
      <c r="C26">
        <f>[1]REVIEW!F26</f>
        <v>566</v>
      </c>
      <c r="D26">
        <f t="shared" si="0"/>
        <v>55.2734375</v>
      </c>
    </row>
    <row r="27" spans="1:4" x14ac:dyDescent="0.3">
      <c r="A27">
        <f t="shared" si="2"/>
        <v>2015</v>
      </c>
      <c r="B27">
        <f>[1]REVIEW!C27</f>
        <v>1135</v>
      </c>
      <c r="C27">
        <f>[1]REVIEW!F27</f>
        <v>645</v>
      </c>
      <c r="D27">
        <f t="shared" si="0"/>
        <v>56.828193832599119</v>
      </c>
    </row>
    <row r="28" spans="1:4" x14ac:dyDescent="0.3">
      <c r="A28">
        <f t="shared" si="2"/>
        <v>2016</v>
      </c>
      <c r="B28">
        <f>[1]REVIEW!C28</f>
        <v>1237</v>
      </c>
      <c r="C28">
        <f>[1]REVIEW!F28</f>
        <v>705</v>
      </c>
      <c r="D28">
        <f t="shared" si="0"/>
        <v>56.992724333063862</v>
      </c>
    </row>
    <row r="29" spans="1:4" x14ac:dyDescent="0.3">
      <c r="A29">
        <f t="shared" si="2"/>
        <v>2017</v>
      </c>
      <c r="B29">
        <f>[1]REVIEW!C29</f>
        <v>1238</v>
      </c>
      <c r="C29">
        <f>[1]REVIEW!F29</f>
        <v>676</v>
      </c>
      <c r="D29">
        <f t="shared" si="0"/>
        <v>54.604200323101779</v>
      </c>
    </row>
    <row r="30" spans="1:4" x14ac:dyDescent="0.3">
      <c r="A30">
        <f t="shared" si="2"/>
        <v>2018</v>
      </c>
      <c r="B30">
        <f>[1]REVIEW!C30</f>
        <v>1245</v>
      </c>
      <c r="C30">
        <f>[1]REVIEW!F30</f>
        <v>674</v>
      </c>
      <c r="D30">
        <f t="shared" si="0"/>
        <v>54.136546184738954</v>
      </c>
    </row>
    <row r="31" spans="1:4" x14ac:dyDescent="0.3">
      <c r="A31">
        <f t="shared" si="2"/>
        <v>2019</v>
      </c>
      <c r="B31">
        <f>[1]REVIEW!C31</f>
        <v>1310</v>
      </c>
      <c r="C31">
        <f>[1]REVIEW!F31</f>
        <v>716</v>
      </c>
      <c r="D31">
        <f t="shared" si="0"/>
        <v>54.656488549618324</v>
      </c>
    </row>
    <row r="32" spans="1:4" x14ac:dyDescent="0.3">
      <c r="A32">
        <f t="shared" si="2"/>
        <v>2020</v>
      </c>
      <c r="B32">
        <f>[1]REVIEW!C32</f>
        <v>1605</v>
      </c>
      <c r="C32">
        <f>[1]REVIEW!F32</f>
        <v>829</v>
      </c>
      <c r="D32">
        <f t="shared" si="0"/>
        <v>51.651090342679126</v>
      </c>
    </row>
    <row r="33" spans="1:4" x14ac:dyDescent="0.3">
      <c r="A33">
        <f t="shared" si="2"/>
        <v>2021</v>
      </c>
      <c r="B33">
        <f>[1]REVIEW!C33</f>
        <v>2019</v>
      </c>
      <c r="C33">
        <f>[1]REVIEW!F33</f>
        <v>1047</v>
      </c>
      <c r="D33">
        <f t="shared" si="0"/>
        <v>51.857355126300156</v>
      </c>
    </row>
    <row r="34" spans="1:4" x14ac:dyDescent="0.3">
      <c r="A34">
        <f t="shared" si="2"/>
        <v>2022</v>
      </c>
      <c r="B34">
        <f>[1]REVIEW!C34</f>
        <v>2540</v>
      </c>
      <c r="C34">
        <f>[1]REVIEW!F34</f>
        <v>1398</v>
      </c>
      <c r="D34">
        <f t="shared" si="0"/>
        <v>55.039370078740156</v>
      </c>
    </row>
    <row r="35" spans="1:4" x14ac:dyDescent="0.3">
      <c r="A35">
        <f t="shared" si="2"/>
        <v>2023</v>
      </c>
      <c r="B35">
        <f>[1]REVIEW!C35</f>
        <v>2446</v>
      </c>
      <c r="C35">
        <f>[1]REVIEW!F35</f>
        <v>1390</v>
      </c>
      <c r="D35">
        <f t="shared" si="0"/>
        <v>56.827473426001639</v>
      </c>
    </row>
    <row r="36" spans="1:4" x14ac:dyDescent="0.3">
      <c r="A36">
        <f t="shared" si="2"/>
        <v>2024</v>
      </c>
      <c r="B36">
        <f>[1]REVIEW!C36</f>
        <v>1750</v>
      </c>
      <c r="C36">
        <f>[1]REVIEW!F36</f>
        <v>992</v>
      </c>
      <c r="D36">
        <f t="shared" si="0"/>
        <v>56.685714285714283</v>
      </c>
    </row>
    <row r="37" spans="1:4" x14ac:dyDescent="0.3">
      <c r="A37">
        <v>2025</v>
      </c>
      <c r="B37">
        <f>[1]REVIEW!C37</f>
        <v>851</v>
      </c>
      <c r="C37">
        <f>[1]REVIEW!F37</f>
        <v>445</v>
      </c>
      <c r="D37">
        <f t="shared" si="0"/>
        <v>52.291421856639253</v>
      </c>
    </row>
    <row r="38" spans="1:4" x14ac:dyDescent="0.3">
      <c r="A38" t="s">
        <v>9</v>
      </c>
      <c r="B38">
        <f>[1]REVIEW!C38</f>
        <v>28569</v>
      </c>
      <c r="C38">
        <f>[1]REVIEW!F38</f>
        <v>15819</v>
      </c>
    </row>
    <row r="39" spans="1:4" x14ac:dyDescent="0.3">
      <c r="A39" t="s">
        <v>7</v>
      </c>
      <c r="B39">
        <f>[1]REVIEW!C39</f>
        <v>2540</v>
      </c>
      <c r="C39">
        <f>[1]REVIEW!F39</f>
        <v>1398</v>
      </c>
      <c r="D39">
        <f>MAX(D2:D37)</f>
        <v>61.142061281337043</v>
      </c>
    </row>
    <row r="40" spans="1:4" x14ac:dyDescent="0.3">
      <c r="A40" t="s">
        <v>8</v>
      </c>
      <c r="B40">
        <f>[1]REVIEW!C40</f>
        <v>186</v>
      </c>
      <c r="C40">
        <f>[1]REVIEW!F40</f>
        <v>96</v>
      </c>
      <c r="D40">
        <f>MIN(D2:D37)</f>
        <v>49.769585253456221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zoomScale="70" zoomScaleNormal="70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[1]CCJ!C1</f>
        <v>HasPvalue</v>
      </c>
      <c r="C1" t="str">
        <f>[1]CCJ!F1</f>
        <v>Pvalue0.005</v>
      </c>
      <c r="D1" t="s">
        <v>1</v>
      </c>
    </row>
    <row r="2" spans="1:4" x14ac:dyDescent="0.3">
      <c r="A2">
        <v>1990</v>
      </c>
      <c r="B2">
        <f>[1]CCJ!C2</f>
        <v>4503</v>
      </c>
      <c r="C2">
        <f>[1]CCJ!F2</f>
        <v>2480</v>
      </c>
      <c r="D2">
        <f>C2/B2*100</f>
        <v>55.074394847879191</v>
      </c>
    </row>
    <row r="3" spans="1:4" x14ac:dyDescent="0.3">
      <c r="A3">
        <v>1991</v>
      </c>
      <c r="B3">
        <f>[1]CCJ!C3</f>
        <v>4900</v>
      </c>
      <c r="C3">
        <f>[1]CCJ!F3</f>
        <v>2733</v>
      </c>
      <c r="D3">
        <f t="shared" ref="D3:D37" si="0">C3/B3*100</f>
        <v>55.775510204081634</v>
      </c>
    </row>
    <row r="4" spans="1:4" x14ac:dyDescent="0.3">
      <c r="A4">
        <f>A2+2</f>
        <v>1992</v>
      </c>
      <c r="B4">
        <f>[1]CCJ!C4</f>
        <v>5473</v>
      </c>
      <c r="C4">
        <f>[1]CCJ!F4</f>
        <v>3090</v>
      </c>
      <c r="D4">
        <f t="shared" si="0"/>
        <v>56.458980449479256</v>
      </c>
    </row>
    <row r="5" spans="1:4" x14ac:dyDescent="0.3">
      <c r="A5">
        <f t="shared" ref="A5:A20" si="1">A3+2</f>
        <v>1993</v>
      </c>
      <c r="B5">
        <f>[1]CCJ!C5</f>
        <v>5802</v>
      </c>
      <c r="C5">
        <f>[1]CCJ!F5</f>
        <v>3319</v>
      </c>
      <c r="D5">
        <f t="shared" si="0"/>
        <v>57.204412271630467</v>
      </c>
    </row>
    <row r="6" spans="1:4" x14ac:dyDescent="0.3">
      <c r="A6">
        <f t="shared" si="1"/>
        <v>1994</v>
      </c>
      <c r="B6">
        <f>[1]CCJ!C6</f>
        <v>6408</v>
      </c>
      <c r="C6">
        <f>[1]CCJ!F6</f>
        <v>3683</v>
      </c>
      <c r="D6">
        <f t="shared" si="0"/>
        <v>57.475031210986273</v>
      </c>
    </row>
    <row r="7" spans="1:4" x14ac:dyDescent="0.3">
      <c r="A7">
        <f t="shared" si="1"/>
        <v>1995</v>
      </c>
      <c r="B7">
        <f>[1]CCJ!C7</f>
        <v>6698</v>
      </c>
      <c r="C7">
        <f>[1]CCJ!F7</f>
        <v>3848</v>
      </c>
      <c r="D7">
        <f t="shared" si="0"/>
        <v>57.449985070170193</v>
      </c>
    </row>
    <row r="8" spans="1:4" x14ac:dyDescent="0.3">
      <c r="A8">
        <f t="shared" si="1"/>
        <v>1996</v>
      </c>
      <c r="B8">
        <f>[1]CCJ!C8</f>
        <v>6886</v>
      </c>
      <c r="C8">
        <f>[1]CCJ!F8</f>
        <v>3944</v>
      </c>
      <c r="D8">
        <f t="shared" si="0"/>
        <v>57.275631716526284</v>
      </c>
    </row>
    <row r="9" spans="1:4" x14ac:dyDescent="0.3">
      <c r="A9">
        <f t="shared" si="1"/>
        <v>1997</v>
      </c>
      <c r="B9">
        <f>[1]CCJ!C9</f>
        <v>7125</v>
      </c>
      <c r="C9">
        <f>[1]CCJ!F9</f>
        <v>4172</v>
      </c>
      <c r="D9">
        <f t="shared" si="0"/>
        <v>58.554385964912278</v>
      </c>
    </row>
    <row r="10" spans="1:4" x14ac:dyDescent="0.3">
      <c r="A10">
        <f t="shared" si="1"/>
        <v>1998</v>
      </c>
      <c r="B10">
        <f>[1]CCJ!C10</f>
        <v>7134</v>
      </c>
      <c r="C10">
        <f>[1]CCJ!F10</f>
        <v>4242</v>
      </c>
      <c r="D10">
        <f t="shared" si="0"/>
        <v>59.461732548359969</v>
      </c>
    </row>
    <row r="11" spans="1:4" x14ac:dyDescent="0.3">
      <c r="A11">
        <f t="shared" si="1"/>
        <v>1999</v>
      </c>
      <c r="B11">
        <f>[1]CCJ!C11</f>
        <v>7423</v>
      </c>
      <c r="C11">
        <f>[1]CCJ!F11</f>
        <v>4548</v>
      </c>
      <c r="D11">
        <f t="shared" si="0"/>
        <v>61.269028694597871</v>
      </c>
    </row>
    <row r="12" spans="1:4" x14ac:dyDescent="0.3">
      <c r="A12">
        <f t="shared" si="1"/>
        <v>2000</v>
      </c>
      <c r="B12">
        <f>[1]CCJ!C12</f>
        <v>7321</v>
      </c>
      <c r="C12">
        <f>[1]CCJ!F12</f>
        <v>4654</v>
      </c>
      <c r="D12">
        <f t="shared" si="0"/>
        <v>63.570550471247103</v>
      </c>
    </row>
    <row r="13" spans="1:4" x14ac:dyDescent="0.3">
      <c r="A13">
        <f t="shared" si="1"/>
        <v>2001</v>
      </c>
      <c r="B13">
        <f>[1]CCJ!C13</f>
        <v>7523</v>
      </c>
      <c r="C13">
        <f>[1]CCJ!F13</f>
        <v>4608</v>
      </c>
      <c r="D13">
        <f t="shared" si="0"/>
        <v>61.252160042536218</v>
      </c>
    </row>
    <row r="14" spans="1:4" x14ac:dyDescent="0.3">
      <c r="A14">
        <f t="shared" si="1"/>
        <v>2002</v>
      </c>
      <c r="B14">
        <f>[1]CCJ!C14</f>
        <v>7894</v>
      </c>
      <c r="C14">
        <f>[1]CCJ!F14</f>
        <v>4814</v>
      </c>
      <c r="D14">
        <f t="shared" si="0"/>
        <v>60.983025082341015</v>
      </c>
    </row>
    <row r="15" spans="1:4" x14ac:dyDescent="0.3">
      <c r="A15">
        <f t="shared" si="1"/>
        <v>2003</v>
      </c>
      <c r="B15">
        <f>[1]CCJ!C15</f>
        <v>8293</v>
      </c>
      <c r="C15">
        <f>[1]CCJ!F15</f>
        <v>5108</v>
      </c>
      <c r="D15">
        <f t="shared" si="0"/>
        <v>61.594115519112499</v>
      </c>
    </row>
    <row r="16" spans="1:4" x14ac:dyDescent="0.3">
      <c r="A16">
        <f t="shared" si="1"/>
        <v>2004</v>
      </c>
      <c r="B16">
        <f>[1]CCJ!C16</f>
        <v>8743</v>
      </c>
      <c r="C16">
        <f>[1]CCJ!F16</f>
        <v>5449</v>
      </c>
      <c r="D16">
        <f t="shared" si="0"/>
        <v>62.324145030309964</v>
      </c>
    </row>
    <row r="17" spans="1:4" x14ac:dyDescent="0.3">
      <c r="A17">
        <f t="shared" si="1"/>
        <v>2005</v>
      </c>
      <c r="B17">
        <f>[1]CCJ!C17</f>
        <v>9367</v>
      </c>
      <c r="C17">
        <f>[1]CCJ!F17</f>
        <v>5934</v>
      </c>
      <c r="D17">
        <f t="shared" si="0"/>
        <v>63.350058716771642</v>
      </c>
    </row>
    <row r="18" spans="1:4" x14ac:dyDescent="0.3">
      <c r="A18">
        <f t="shared" si="1"/>
        <v>2006</v>
      </c>
      <c r="B18">
        <f>[1]CCJ!C18</f>
        <v>9127</v>
      </c>
      <c r="C18">
        <f>[1]CCJ!F18</f>
        <v>5714</v>
      </c>
      <c r="D18">
        <f t="shared" si="0"/>
        <v>62.605456338336808</v>
      </c>
    </row>
    <row r="19" spans="1:4" x14ac:dyDescent="0.3">
      <c r="A19">
        <f t="shared" si="1"/>
        <v>2007</v>
      </c>
      <c r="B19">
        <f>[1]CCJ!C19</f>
        <v>9286</v>
      </c>
      <c r="C19">
        <f>[1]CCJ!F19</f>
        <v>5930</v>
      </c>
      <c r="D19">
        <f t="shared" si="0"/>
        <v>63.859573551583026</v>
      </c>
    </row>
    <row r="20" spans="1:4" x14ac:dyDescent="0.3">
      <c r="A20">
        <f t="shared" si="1"/>
        <v>2008</v>
      </c>
      <c r="B20">
        <f>[1]CCJ!C20</f>
        <v>9481</v>
      </c>
      <c r="C20">
        <f>[1]CCJ!F20</f>
        <v>6063</v>
      </c>
      <c r="D20">
        <f t="shared" si="0"/>
        <v>63.948950532644233</v>
      </c>
    </row>
    <row r="21" spans="1:4" x14ac:dyDescent="0.3">
      <c r="A21">
        <f t="shared" ref="A21:A36" si="2">A19+2</f>
        <v>2009</v>
      </c>
      <c r="B21">
        <f>[1]CCJ!C21</f>
        <v>9357</v>
      </c>
      <c r="C21">
        <f>[1]CCJ!F21</f>
        <v>5886</v>
      </c>
      <c r="D21">
        <f t="shared" si="0"/>
        <v>62.904777172170569</v>
      </c>
    </row>
    <row r="22" spans="1:4" x14ac:dyDescent="0.3">
      <c r="A22">
        <f t="shared" si="2"/>
        <v>2010</v>
      </c>
      <c r="B22">
        <f>[1]CCJ!C22</f>
        <v>10064</v>
      </c>
      <c r="C22">
        <f>[1]CCJ!F22</f>
        <v>6459</v>
      </c>
      <c r="D22">
        <f t="shared" si="0"/>
        <v>64.17925278219397</v>
      </c>
    </row>
    <row r="23" spans="1:4" x14ac:dyDescent="0.3">
      <c r="A23">
        <f t="shared" si="2"/>
        <v>2011</v>
      </c>
      <c r="B23">
        <f>[1]CCJ!C23</f>
        <v>10486</v>
      </c>
      <c r="C23">
        <f>[1]CCJ!F23</f>
        <v>6771</v>
      </c>
      <c r="D23">
        <f t="shared" si="0"/>
        <v>64.571810032424182</v>
      </c>
    </row>
    <row r="24" spans="1:4" x14ac:dyDescent="0.3">
      <c r="A24">
        <f>A22+2</f>
        <v>2012</v>
      </c>
      <c r="B24">
        <f>[1]CCJ!C24</f>
        <v>10607</v>
      </c>
      <c r="C24">
        <f>[1]CCJ!F24</f>
        <v>6932</v>
      </c>
      <c r="D24">
        <f t="shared" si="0"/>
        <v>65.353068728198366</v>
      </c>
    </row>
    <row r="25" spans="1:4" x14ac:dyDescent="0.3">
      <c r="A25">
        <f t="shared" si="2"/>
        <v>2013</v>
      </c>
      <c r="B25">
        <f>[1]CCJ!C25</f>
        <v>11642</v>
      </c>
      <c r="C25">
        <f>[1]CCJ!F25</f>
        <v>7555</v>
      </c>
      <c r="D25">
        <f t="shared" si="0"/>
        <v>64.894348050163202</v>
      </c>
    </row>
    <row r="26" spans="1:4" x14ac:dyDescent="0.3">
      <c r="A26">
        <f t="shared" si="2"/>
        <v>2014</v>
      </c>
      <c r="B26">
        <f>[1]CCJ!C26</f>
        <v>11970</v>
      </c>
      <c r="C26">
        <f>[1]CCJ!F26</f>
        <v>7788</v>
      </c>
      <c r="D26">
        <f t="shared" si="0"/>
        <v>65.062656641604008</v>
      </c>
    </row>
    <row r="27" spans="1:4" x14ac:dyDescent="0.3">
      <c r="A27">
        <f t="shared" si="2"/>
        <v>2015</v>
      </c>
      <c r="B27">
        <f>[1]CCJ!C27</f>
        <v>12612</v>
      </c>
      <c r="C27">
        <f>[1]CCJ!F27</f>
        <v>8302</v>
      </c>
      <c r="D27">
        <f t="shared" si="0"/>
        <v>65.826197272438947</v>
      </c>
    </row>
    <row r="28" spans="1:4" x14ac:dyDescent="0.3">
      <c r="A28">
        <f t="shared" si="2"/>
        <v>2016</v>
      </c>
      <c r="B28">
        <f>[1]CCJ!C28</f>
        <v>12981</v>
      </c>
      <c r="C28">
        <f>[1]CCJ!F28</f>
        <v>8558</v>
      </c>
      <c r="D28">
        <f t="shared" si="0"/>
        <v>65.927124258531705</v>
      </c>
    </row>
    <row r="29" spans="1:4" x14ac:dyDescent="0.3">
      <c r="A29">
        <f t="shared" si="2"/>
        <v>2017</v>
      </c>
      <c r="B29">
        <f>[1]CCJ!C29</f>
        <v>12330</v>
      </c>
      <c r="C29">
        <f>[1]CCJ!F29</f>
        <v>7924</v>
      </c>
      <c r="D29">
        <f t="shared" si="0"/>
        <v>64.26601784266019</v>
      </c>
    </row>
    <row r="30" spans="1:4" x14ac:dyDescent="0.3">
      <c r="A30">
        <f t="shared" si="2"/>
        <v>2018</v>
      </c>
      <c r="B30">
        <f>[1]CCJ!C30</f>
        <v>12059</v>
      </c>
      <c r="C30">
        <f>[1]CCJ!F30</f>
        <v>7737</v>
      </c>
      <c r="D30">
        <f t="shared" si="0"/>
        <v>64.159548884650462</v>
      </c>
    </row>
    <row r="31" spans="1:4" x14ac:dyDescent="0.3">
      <c r="A31">
        <f t="shared" si="2"/>
        <v>2019</v>
      </c>
      <c r="B31">
        <f>[1]CCJ!C31</f>
        <v>11846</v>
      </c>
      <c r="C31">
        <f>[1]CCJ!F31</f>
        <v>7698</v>
      </c>
      <c r="D31">
        <f t="shared" si="0"/>
        <v>64.983960830660138</v>
      </c>
    </row>
    <row r="32" spans="1:4" x14ac:dyDescent="0.3">
      <c r="A32">
        <f t="shared" si="2"/>
        <v>2020</v>
      </c>
      <c r="B32">
        <f>[1]CCJ!C32</f>
        <v>12661</v>
      </c>
      <c r="C32">
        <f>[1]CCJ!F32</f>
        <v>8139</v>
      </c>
      <c r="D32">
        <f t="shared" si="0"/>
        <v>64.284021799225968</v>
      </c>
    </row>
    <row r="33" spans="1:4" x14ac:dyDescent="0.3">
      <c r="A33">
        <f t="shared" si="2"/>
        <v>2021</v>
      </c>
      <c r="B33">
        <f>[1]CCJ!C33</f>
        <v>12573</v>
      </c>
      <c r="C33">
        <f>[1]CCJ!F33</f>
        <v>8155</v>
      </c>
      <c r="D33">
        <f t="shared" si="0"/>
        <v>64.861210530501864</v>
      </c>
    </row>
    <row r="34" spans="1:4" x14ac:dyDescent="0.3">
      <c r="A34">
        <f t="shared" si="2"/>
        <v>2022</v>
      </c>
      <c r="B34">
        <f>[1]CCJ!C34</f>
        <v>11796</v>
      </c>
      <c r="C34">
        <f>[1]CCJ!F34</f>
        <v>7644</v>
      </c>
      <c r="D34">
        <f t="shared" si="0"/>
        <v>64.801627670396741</v>
      </c>
    </row>
    <row r="35" spans="1:4" x14ac:dyDescent="0.3">
      <c r="A35">
        <f t="shared" si="2"/>
        <v>2023</v>
      </c>
      <c r="B35">
        <f>[1]CCJ!C35</f>
        <v>10883</v>
      </c>
      <c r="C35">
        <f>[1]CCJ!F35</f>
        <v>7063</v>
      </c>
      <c r="D35">
        <f t="shared" si="0"/>
        <v>64.899384360929886</v>
      </c>
    </row>
    <row r="36" spans="1:4" x14ac:dyDescent="0.3">
      <c r="A36">
        <f t="shared" si="2"/>
        <v>2024</v>
      </c>
      <c r="B36">
        <f>[1]CCJ!C36</f>
        <v>10256</v>
      </c>
      <c r="C36">
        <f>[1]CCJ!F36</f>
        <v>6557</v>
      </c>
      <c r="D36">
        <f t="shared" si="0"/>
        <v>63.933307332293289</v>
      </c>
    </row>
    <row r="37" spans="1:4" x14ac:dyDescent="0.3">
      <c r="A37">
        <v>2025</v>
      </c>
      <c r="B37">
        <f>[1]CCJ!C37</f>
        <v>6713</v>
      </c>
      <c r="C37">
        <f>[1]CCJ!F37</f>
        <v>4276</v>
      </c>
      <c r="D37">
        <f t="shared" si="0"/>
        <v>63.697303739013854</v>
      </c>
    </row>
    <row r="38" spans="1:4" x14ac:dyDescent="0.3">
      <c r="A38" t="s">
        <v>9</v>
      </c>
      <c r="B38">
        <f>[1]CCJ!C38</f>
        <v>330223</v>
      </c>
      <c r="C38">
        <f>[1]CCJ!F38</f>
        <v>207777</v>
      </c>
    </row>
    <row r="39" spans="1:4" x14ac:dyDescent="0.3">
      <c r="A39" t="s">
        <v>7</v>
      </c>
      <c r="B39">
        <f>[1]CCJ!C39</f>
        <v>12981</v>
      </c>
      <c r="C39">
        <f>[1]CCJ!F39</f>
        <v>8558</v>
      </c>
      <c r="D39">
        <f>MAX(D2:D37)</f>
        <v>65.927124258531705</v>
      </c>
    </row>
    <row r="40" spans="1:4" x14ac:dyDescent="0.3">
      <c r="A40" t="s">
        <v>8</v>
      </c>
      <c r="B40">
        <f>[1]CCJ!C40</f>
        <v>4503</v>
      </c>
      <c r="C40">
        <f>[1]CCJ!F40</f>
        <v>2480</v>
      </c>
      <c r="D40">
        <f>MIN(D2:D37)</f>
        <v>55.074394847879191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D40"/>
  <sheetViews>
    <sheetView zoomScale="70" zoomScaleNormal="70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[1]ALL!C1</f>
        <v>HasPvalue</v>
      </c>
      <c r="C1" t="str">
        <f>[1]ALL!F1</f>
        <v>Pvalue0.005</v>
      </c>
      <c r="D1" t="s">
        <v>1</v>
      </c>
    </row>
    <row r="2" spans="1:4" x14ac:dyDescent="0.3">
      <c r="A2">
        <v>1990</v>
      </c>
      <c r="B2">
        <f>[1]ALL!C2</f>
        <v>21384</v>
      </c>
      <c r="C2">
        <f>[1]ALL!F2</f>
        <v>10359</v>
      </c>
      <c r="D2">
        <f>C2/B2*100</f>
        <v>48.442760942760941</v>
      </c>
    </row>
    <row r="3" spans="1:4" x14ac:dyDescent="0.3">
      <c r="A3">
        <v>1991</v>
      </c>
      <c r="B3">
        <f>[1]ALL!C3</f>
        <v>23325</v>
      </c>
      <c r="C3">
        <f>[1]ALL!F3</f>
        <v>11273</v>
      </c>
      <c r="D3">
        <f t="shared" ref="D3:D37" si="0">C3/B3*100</f>
        <v>48.330117899249728</v>
      </c>
    </row>
    <row r="4" spans="1:4" x14ac:dyDescent="0.3">
      <c r="A4">
        <f>A2+2</f>
        <v>1992</v>
      </c>
      <c r="B4">
        <f>[1]ALL!C4</f>
        <v>25741</v>
      </c>
      <c r="C4">
        <f>[1]ALL!F4</f>
        <v>12661</v>
      </c>
      <c r="D4">
        <f t="shared" si="0"/>
        <v>49.186123305232897</v>
      </c>
    </row>
    <row r="5" spans="1:4" x14ac:dyDescent="0.3">
      <c r="A5">
        <f t="shared" ref="A5:A20" si="1">A3+2</f>
        <v>1993</v>
      </c>
      <c r="B5">
        <f>[1]ALL!C5</f>
        <v>27993</v>
      </c>
      <c r="C5">
        <f>[1]ALL!F5</f>
        <v>14023</v>
      </c>
      <c r="D5">
        <f t="shared" si="0"/>
        <v>50.094666523773803</v>
      </c>
    </row>
    <row r="6" spans="1:4" x14ac:dyDescent="0.3">
      <c r="A6">
        <f t="shared" si="1"/>
        <v>1994</v>
      </c>
      <c r="B6">
        <f>[1]ALL!C6</f>
        <v>30332</v>
      </c>
      <c r="C6">
        <f>[1]ALL!F6</f>
        <v>15265</v>
      </c>
      <c r="D6">
        <f t="shared" si="0"/>
        <v>50.326387973097717</v>
      </c>
    </row>
    <row r="7" spans="1:4" x14ac:dyDescent="0.3">
      <c r="A7">
        <f t="shared" si="1"/>
        <v>1995</v>
      </c>
      <c r="B7">
        <f>[1]ALL!C7</f>
        <v>32855</v>
      </c>
      <c r="C7">
        <f>[1]ALL!F7</f>
        <v>16566</v>
      </c>
      <c r="D7">
        <f t="shared" si="0"/>
        <v>50.421549231471616</v>
      </c>
    </row>
    <row r="8" spans="1:4" x14ac:dyDescent="0.3">
      <c r="A8">
        <f t="shared" si="1"/>
        <v>1996</v>
      </c>
      <c r="B8">
        <f>[1]ALL!C8</f>
        <v>35311</v>
      </c>
      <c r="C8">
        <f>[1]ALL!F8</f>
        <v>18073</v>
      </c>
      <c r="D8">
        <f t="shared" si="0"/>
        <v>51.182351108719658</v>
      </c>
    </row>
    <row r="9" spans="1:4" x14ac:dyDescent="0.3">
      <c r="A9">
        <f t="shared" si="1"/>
        <v>1997</v>
      </c>
      <c r="B9">
        <f>[1]ALL!C9</f>
        <v>37524</v>
      </c>
      <c r="C9">
        <f>[1]ALL!F9</f>
        <v>19497</v>
      </c>
      <c r="D9">
        <f t="shared" si="0"/>
        <v>51.958746402302523</v>
      </c>
    </row>
    <row r="10" spans="1:4" x14ac:dyDescent="0.3">
      <c r="A10">
        <f t="shared" si="1"/>
        <v>1998</v>
      </c>
      <c r="B10">
        <f>[1]ALL!C10</f>
        <v>39562</v>
      </c>
      <c r="C10">
        <f>[1]ALL!F10</f>
        <v>20577</v>
      </c>
      <c r="D10">
        <f t="shared" si="0"/>
        <v>52.01203174763662</v>
      </c>
    </row>
    <row r="11" spans="1:4" x14ac:dyDescent="0.3">
      <c r="A11">
        <f t="shared" si="1"/>
        <v>1999</v>
      </c>
      <c r="B11">
        <f>[1]ALL!C11</f>
        <v>42202</v>
      </c>
      <c r="C11">
        <f>[1]ALL!F11</f>
        <v>22609</v>
      </c>
      <c r="D11">
        <f t="shared" si="0"/>
        <v>53.573290365385532</v>
      </c>
    </row>
    <row r="12" spans="1:4" x14ac:dyDescent="0.3">
      <c r="A12">
        <f t="shared" si="1"/>
        <v>2000</v>
      </c>
      <c r="B12">
        <f>[1]ALL!C12</f>
        <v>44030</v>
      </c>
      <c r="C12">
        <f>[1]ALL!F12</f>
        <v>23911</v>
      </c>
      <c r="D12">
        <f t="shared" si="0"/>
        <v>54.30615489439019</v>
      </c>
    </row>
    <row r="13" spans="1:4" x14ac:dyDescent="0.3">
      <c r="A13">
        <f t="shared" si="1"/>
        <v>2001</v>
      </c>
      <c r="B13">
        <f>[1]ALL!C13</f>
        <v>47044</v>
      </c>
      <c r="C13">
        <f>[1]ALL!F13</f>
        <v>24644</v>
      </c>
      <c r="D13">
        <f t="shared" si="0"/>
        <v>52.385001275401756</v>
      </c>
    </row>
    <row r="14" spans="1:4" x14ac:dyDescent="0.3">
      <c r="A14">
        <f t="shared" si="1"/>
        <v>2002</v>
      </c>
      <c r="B14">
        <f>[1]ALL!C14</f>
        <v>50572</v>
      </c>
      <c r="C14">
        <f>[1]ALL!F14</f>
        <v>26451</v>
      </c>
      <c r="D14">
        <f t="shared" si="0"/>
        <v>52.303646286482639</v>
      </c>
    </row>
    <row r="15" spans="1:4" x14ac:dyDescent="0.3">
      <c r="A15">
        <f t="shared" si="1"/>
        <v>2003</v>
      </c>
      <c r="B15">
        <f>[1]ALL!C15</f>
        <v>56386</v>
      </c>
      <c r="C15">
        <f>[1]ALL!F15</f>
        <v>29341</v>
      </c>
      <c r="D15">
        <f t="shared" si="0"/>
        <v>52.035966374632004</v>
      </c>
    </row>
    <row r="16" spans="1:4" x14ac:dyDescent="0.3">
      <c r="A16">
        <f t="shared" si="1"/>
        <v>2004</v>
      </c>
      <c r="B16">
        <f>[1]ALL!C16</f>
        <v>62395</v>
      </c>
      <c r="C16">
        <f>[1]ALL!F16</f>
        <v>32646</v>
      </c>
      <c r="D16">
        <f t="shared" si="0"/>
        <v>52.321500120201932</v>
      </c>
    </row>
    <row r="17" spans="1:4" x14ac:dyDescent="0.3">
      <c r="A17">
        <f t="shared" si="1"/>
        <v>2005</v>
      </c>
      <c r="B17">
        <f>[1]ALL!C17</f>
        <v>71835</v>
      </c>
      <c r="C17">
        <f>[1]ALL!F17</f>
        <v>37719</v>
      </c>
      <c r="D17">
        <f t="shared" si="0"/>
        <v>52.507830444769269</v>
      </c>
    </row>
    <row r="18" spans="1:4" x14ac:dyDescent="0.3">
      <c r="A18">
        <f t="shared" si="1"/>
        <v>2006</v>
      </c>
      <c r="B18">
        <f>[1]ALL!C18</f>
        <v>77956</v>
      </c>
      <c r="C18">
        <f>[1]ALL!F18</f>
        <v>41231</v>
      </c>
      <c r="D18">
        <f t="shared" si="0"/>
        <v>52.890091846682743</v>
      </c>
    </row>
    <row r="19" spans="1:4" x14ac:dyDescent="0.3">
      <c r="A19">
        <f t="shared" si="1"/>
        <v>2007</v>
      </c>
      <c r="B19">
        <f>[1]ALL!C19</f>
        <v>85389</v>
      </c>
      <c r="C19">
        <f>[1]ALL!F19</f>
        <v>45624</v>
      </c>
      <c r="D19">
        <f t="shared" si="0"/>
        <v>53.430769771282016</v>
      </c>
    </row>
    <row r="20" spans="1:4" x14ac:dyDescent="0.3">
      <c r="A20">
        <f t="shared" si="1"/>
        <v>2008</v>
      </c>
      <c r="B20">
        <f>[1]ALL!C20</f>
        <v>92621</v>
      </c>
      <c r="C20">
        <f>[1]ALL!F20</f>
        <v>49418</v>
      </c>
      <c r="D20">
        <f t="shared" si="0"/>
        <v>53.355070664320181</v>
      </c>
    </row>
    <row r="21" spans="1:4" x14ac:dyDescent="0.3">
      <c r="A21">
        <f t="shared" ref="A21:A36" si="2">A19+2</f>
        <v>2009</v>
      </c>
      <c r="B21">
        <f>[1]ALL!C21</f>
        <v>99031</v>
      </c>
      <c r="C21">
        <f>[1]ALL!F21</f>
        <v>52930</v>
      </c>
      <c r="D21">
        <f t="shared" si="0"/>
        <v>53.447910250325656</v>
      </c>
    </row>
    <row r="22" spans="1:4" x14ac:dyDescent="0.3">
      <c r="A22">
        <f t="shared" si="2"/>
        <v>2010</v>
      </c>
      <c r="B22">
        <f>[1]ALL!C22</f>
        <v>108664</v>
      </c>
      <c r="C22">
        <f>[1]ALL!F22</f>
        <v>58149</v>
      </c>
      <c r="D22">
        <f t="shared" si="0"/>
        <v>53.512662887432818</v>
      </c>
    </row>
    <row r="23" spans="1:4" x14ac:dyDescent="0.3">
      <c r="A23">
        <f t="shared" si="2"/>
        <v>2011</v>
      </c>
      <c r="B23">
        <f>[1]ALL!C23</f>
        <v>121218</v>
      </c>
      <c r="C23">
        <f>[1]ALL!F23</f>
        <v>65514</v>
      </c>
      <c r="D23">
        <f t="shared" si="0"/>
        <v>54.046428748205713</v>
      </c>
    </row>
    <row r="24" spans="1:4" x14ac:dyDescent="0.3">
      <c r="A24">
        <f>A22+2</f>
        <v>2012</v>
      </c>
      <c r="B24">
        <f>[1]ALL!C24</f>
        <v>131762</v>
      </c>
      <c r="C24">
        <f>[1]ALL!F24</f>
        <v>71422</v>
      </c>
      <c r="D24">
        <f t="shared" si="0"/>
        <v>54.205309573321593</v>
      </c>
    </row>
    <row r="25" spans="1:4" x14ac:dyDescent="0.3">
      <c r="A25">
        <f t="shared" si="2"/>
        <v>2013</v>
      </c>
      <c r="B25">
        <f>[1]ALL!C25</f>
        <v>142351</v>
      </c>
      <c r="C25">
        <f>[1]ALL!F25</f>
        <v>78067</v>
      </c>
      <c r="D25">
        <f t="shared" si="0"/>
        <v>54.841202380032449</v>
      </c>
    </row>
    <row r="26" spans="1:4" x14ac:dyDescent="0.3">
      <c r="A26">
        <f t="shared" si="2"/>
        <v>2014</v>
      </c>
      <c r="B26">
        <f>[1]ALL!C26</f>
        <v>150090</v>
      </c>
      <c r="C26">
        <f>[1]ALL!F26</f>
        <v>83195</v>
      </c>
      <c r="D26">
        <f t="shared" si="0"/>
        <v>55.430075288160438</v>
      </c>
    </row>
    <row r="27" spans="1:4" x14ac:dyDescent="0.3">
      <c r="A27">
        <f t="shared" si="2"/>
        <v>2015</v>
      </c>
      <c r="B27">
        <f>[1]ALL!C27</f>
        <v>157053</v>
      </c>
      <c r="C27">
        <f>[1]ALL!F27</f>
        <v>87514</v>
      </c>
      <c r="D27">
        <f t="shared" si="0"/>
        <v>55.722590463092082</v>
      </c>
    </row>
    <row r="28" spans="1:4" x14ac:dyDescent="0.3">
      <c r="A28">
        <f t="shared" si="2"/>
        <v>2016</v>
      </c>
      <c r="B28">
        <f>[1]ALL!C28</f>
        <v>159105</v>
      </c>
      <c r="C28">
        <f>[1]ALL!F28</f>
        <v>89276</v>
      </c>
      <c r="D28">
        <f t="shared" si="0"/>
        <v>56.111372992677786</v>
      </c>
    </row>
    <row r="29" spans="1:4" x14ac:dyDescent="0.3">
      <c r="A29">
        <f t="shared" si="2"/>
        <v>2017</v>
      </c>
      <c r="B29">
        <f>[1]ALL!C29</f>
        <v>161817</v>
      </c>
      <c r="C29">
        <f>[1]ALL!F29</f>
        <v>90469</v>
      </c>
      <c r="D29">
        <f t="shared" si="0"/>
        <v>55.908217307205057</v>
      </c>
    </row>
    <row r="30" spans="1:4" x14ac:dyDescent="0.3">
      <c r="A30">
        <f t="shared" si="2"/>
        <v>2018</v>
      </c>
      <c r="B30">
        <f>[1]ALL!C30</f>
        <v>166640</v>
      </c>
      <c r="C30">
        <f>[1]ALL!F30</f>
        <v>93080</v>
      </c>
      <c r="D30">
        <f t="shared" si="0"/>
        <v>55.85693710993759</v>
      </c>
    </row>
    <row r="31" spans="1:4" x14ac:dyDescent="0.3">
      <c r="A31">
        <f t="shared" si="2"/>
        <v>2019</v>
      </c>
      <c r="B31">
        <f>[1]ALL!C31</f>
        <v>174147</v>
      </c>
      <c r="C31">
        <f>[1]ALL!F31</f>
        <v>97906</v>
      </c>
      <c r="D31">
        <f t="shared" si="0"/>
        <v>56.220319615037873</v>
      </c>
    </row>
    <row r="32" spans="1:4" x14ac:dyDescent="0.3">
      <c r="A32">
        <f t="shared" si="2"/>
        <v>2020</v>
      </c>
      <c r="B32">
        <f>[1]ALL!C32</f>
        <v>196668</v>
      </c>
      <c r="C32">
        <f>[1]ALL!F32</f>
        <v>111482</v>
      </c>
      <c r="D32">
        <f t="shared" si="0"/>
        <v>56.685378404214205</v>
      </c>
    </row>
    <row r="33" spans="1:4" x14ac:dyDescent="0.3">
      <c r="A33">
        <f t="shared" si="2"/>
        <v>2021</v>
      </c>
      <c r="B33">
        <f>[1]ALL!C33</f>
        <v>211128</v>
      </c>
      <c r="C33">
        <f>[1]ALL!F33</f>
        <v>121168</v>
      </c>
      <c r="D33">
        <f t="shared" si="0"/>
        <v>57.390777158879928</v>
      </c>
    </row>
    <row r="34" spans="1:4" x14ac:dyDescent="0.3">
      <c r="A34">
        <f t="shared" si="2"/>
        <v>2022</v>
      </c>
      <c r="B34">
        <f>[1]ALL!C34</f>
        <v>201122</v>
      </c>
      <c r="C34">
        <f>[1]ALL!F34</f>
        <v>114596</v>
      </c>
      <c r="D34">
        <f t="shared" si="0"/>
        <v>56.978351448374617</v>
      </c>
    </row>
    <row r="35" spans="1:4" x14ac:dyDescent="0.3">
      <c r="A35">
        <f t="shared" si="2"/>
        <v>2023</v>
      </c>
      <c r="B35">
        <f>[1]ALL!C35</f>
        <v>182075</v>
      </c>
      <c r="C35">
        <f>[1]ALL!F35</f>
        <v>104821</v>
      </c>
      <c r="D35">
        <f t="shared" si="0"/>
        <v>57.570232047233283</v>
      </c>
    </row>
    <row r="36" spans="1:4" x14ac:dyDescent="0.3">
      <c r="A36">
        <f t="shared" si="2"/>
        <v>2024</v>
      </c>
      <c r="B36">
        <f>[1]ALL!C36</f>
        <v>187769</v>
      </c>
      <c r="C36">
        <f>[1]ALL!F36</f>
        <v>107547</v>
      </c>
      <c r="D36">
        <f t="shared" si="0"/>
        <v>57.276227705318774</v>
      </c>
    </row>
    <row r="37" spans="1:4" x14ac:dyDescent="0.3">
      <c r="A37">
        <v>2025</v>
      </c>
      <c r="B37">
        <f>[1]ALL!C37</f>
        <v>128978</v>
      </c>
      <c r="C37">
        <f>[1]ALL!F37</f>
        <v>74614</v>
      </c>
      <c r="D37">
        <f t="shared" si="0"/>
        <v>57.850175999007583</v>
      </c>
    </row>
    <row r="38" spans="1:4" x14ac:dyDescent="0.3">
      <c r="A38" t="s">
        <v>9</v>
      </c>
      <c r="B38">
        <f>[1]ALL!C38</f>
        <v>3584075</v>
      </c>
      <c r="C38">
        <f>[1]ALL!F38</f>
        <v>1973638</v>
      </c>
    </row>
    <row r="39" spans="1:4" x14ac:dyDescent="0.3">
      <c r="A39" t="s">
        <v>7</v>
      </c>
      <c r="B39">
        <f>[1]ALL!C39</f>
        <v>211128</v>
      </c>
      <c r="C39">
        <f>[1]ALL!F39</f>
        <v>121168</v>
      </c>
      <c r="D39">
        <f>MAX(D2:D37)</f>
        <v>57.850175999007583</v>
      </c>
    </row>
    <row r="40" spans="1:4" x14ac:dyDescent="0.3">
      <c r="A40" t="s">
        <v>8</v>
      </c>
      <c r="B40">
        <f>[1]ALL!C40</f>
        <v>21384</v>
      </c>
      <c r="C40">
        <f>[1]ALL!F40</f>
        <v>10359</v>
      </c>
      <c r="D40">
        <f>MIN(D2:D37)</f>
        <v>48.330117899249728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zoomScale="70" zoomScaleNormal="70" workbookViewId="0">
      <selection activeCell="B23" sqref="B23"/>
    </sheetView>
  </sheetViews>
  <sheetFormatPr defaultRowHeight="17.25" x14ac:dyDescent="0.3"/>
  <sheetData>
    <row r="1" spans="1:4" x14ac:dyDescent="0.3">
      <c r="A1" t="s">
        <v>0</v>
      </c>
      <c r="B1" t="str">
        <f>[1]OBS!C1</f>
        <v>HasPvalue</v>
      </c>
      <c r="C1" t="str">
        <f>[1]OBS!F1</f>
        <v>Pvalue0.005</v>
      </c>
      <c r="D1" t="s">
        <v>1</v>
      </c>
    </row>
    <row r="2" spans="1:4" x14ac:dyDescent="0.3">
      <c r="A2">
        <v>1990</v>
      </c>
      <c r="B2">
        <f>[1]OBS!C2</f>
        <v>0</v>
      </c>
      <c r="C2">
        <f>[1]OBS!F2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[1]OBS!C3</f>
        <v>0</v>
      </c>
      <c r="C3">
        <f>[1]OBS!F3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[1]OBS!C4</f>
        <v>0</v>
      </c>
      <c r="C4">
        <f>[1]OBS!F4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[1]OBS!C5</f>
        <v>0</v>
      </c>
      <c r="C5">
        <f>[1]OBS!F5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[1]OBS!C6</f>
        <v>0</v>
      </c>
      <c r="C6">
        <f>[1]OBS!F6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[1]OBS!C7</f>
        <v>0</v>
      </c>
      <c r="C7">
        <f>[1]OBS!F7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[1]OBS!C8</f>
        <v>0</v>
      </c>
      <c r="C8">
        <f>[1]OBS!F8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[1]OBS!C9</f>
        <v>0</v>
      </c>
      <c r="C9">
        <f>[1]OBS!F9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[1]OBS!C10</f>
        <v>0</v>
      </c>
      <c r="C10">
        <f>[1]OBS!F10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[1]OBS!C11</f>
        <v>0</v>
      </c>
      <c r="C11">
        <f>[1]OBS!F11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[1]OBS!C12</f>
        <v>0</v>
      </c>
      <c r="C12">
        <f>[1]OBS!F12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[1]OBS!C13</f>
        <v>0</v>
      </c>
      <c r="C13">
        <f>[1]OBS!F13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[1]OBS!C14</f>
        <v>1</v>
      </c>
      <c r="C14">
        <f>[1]OBS!F14</f>
        <v>1</v>
      </c>
      <c r="D14">
        <f t="shared" si="0"/>
        <v>100</v>
      </c>
    </row>
    <row r="15" spans="1:4" x14ac:dyDescent="0.3">
      <c r="A15">
        <f t="shared" si="1"/>
        <v>2003</v>
      </c>
      <c r="B15">
        <f>[1]OBS!C15</f>
        <v>0</v>
      </c>
      <c r="C15">
        <f>[1]OBS!F15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[1]OBS!C16</f>
        <v>0</v>
      </c>
      <c r="C16">
        <f>[1]OBS!F16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[1]OBS!C17</f>
        <v>0</v>
      </c>
      <c r="C17">
        <f>[1]OBS!F17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[1]OBS!C18</f>
        <v>0</v>
      </c>
      <c r="C18">
        <f>[1]OBS!F18</f>
        <v>0</v>
      </c>
      <c r="D18" t="e">
        <f t="shared" si="0"/>
        <v>#DIV/0!</v>
      </c>
    </row>
    <row r="19" spans="1:4" x14ac:dyDescent="0.3">
      <c r="A19">
        <f t="shared" si="1"/>
        <v>2007</v>
      </c>
      <c r="B19">
        <f>[1]OBS!C19</f>
        <v>0</v>
      </c>
      <c r="C19">
        <f>[1]OBS!F19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[1]OBS!C20</f>
        <v>0</v>
      </c>
      <c r="C20">
        <f>[1]OBS!F20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[1]OBS!C21</f>
        <v>2</v>
      </c>
      <c r="C21">
        <f>[1]OBS!F21</f>
        <v>2</v>
      </c>
      <c r="D21">
        <f t="shared" si="0"/>
        <v>100</v>
      </c>
    </row>
    <row r="22" spans="1:4" x14ac:dyDescent="0.3">
      <c r="A22">
        <f t="shared" si="1"/>
        <v>2010</v>
      </c>
      <c r="B22">
        <f>[1]OBS!C22</f>
        <v>19</v>
      </c>
      <c r="C22">
        <f>[1]OBS!F22</f>
        <v>11</v>
      </c>
      <c r="D22">
        <f t="shared" si="0"/>
        <v>57.894736842105267</v>
      </c>
    </row>
    <row r="23" spans="1:4" x14ac:dyDescent="0.3">
      <c r="A23">
        <f t="shared" si="1"/>
        <v>2011</v>
      </c>
      <c r="B23">
        <f>[1]OBS!C23</f>
        <v>42</v>
      </c>
      <c r="C23">
        <f>[1]OBS!F23</f>
        <v>31</v>
      </c>
      <c r="D23">
        <f t="shared" si="0"/>
        <v>73.80952380952381</v>
      </c>
    </row>
    <row r="24" spans="1:4" x14ac:dyDescent="0.3">
      <c r="A24">
        <f t="shared" si="1"/>
        <v>2012</v>
      </c>
      <c r="B24">
        <f>[1]OBS!C24</f>
        <v>297</v>
      </c>
      <c r="C24">
        <f>[1]OBS!F24</f>
        <v>204</v>
      </c>
      <c r="D24">
        <f t="shared" si="0"/>
        <v>68.686868686868678</v>
      </c>
    </row>
    <row r="25" spans="1:4" x14ac:dyDescent="0.3">
      <c r="A25">
        <f t="shared" si="1"/>
        <v>2013</v>
      </c>
      <c r="B25">
        <f>[1]OBS!C25</f>
        <v>2751</v>
      </c>
      <c r="C25">
        <f>[1]OBS!F25</f>
        <v>1765</v>
      </c>
      <c r="D25">
        <f t="shared" si="0"/>
        <v>64.158487822609956</v>
      </c>
    </row>
    <row r="26" spans="1:4" x14ac:dyDescent="0.3">
      <c r="A26">
        <f t="shared" si="1"/>
        <v>2014</v>
      </c>
      <c r="B26">
        <f>[1]OBS!C26</f>
        <v>5657</v>
      </c>
      <c r="C26">
        <f>[1]OBS!F26</f>
        <v>3682</v>
      </c>
      <c r="D26">
        <f t="shared" si="0"/>
        <v>65.08750220965176</v>
      </c>
    </row>
    <row r="27" spans="1:4" x14ac:dyDescent="0.3">
      <c r="A27">
        <f t="shared" si="1"/>
        <v>2015</v>
      </c>
      <c r="B27">
        <f>[1]OBS!C27</f>
        <v>6973</v>
      </c>
      <c r="C27">
        <f>[1]OBS!F27</f>
        <v>4490</v>
      </c>
      <c r="D27">
        <f t="shared" si="0"/>
        <v>64.391223289832212</v>
      </c>
    </row>
    <row r="28" spans="1:4" x14ac:dyDescent="0.3">
      <c r="A28">
        <f t="shared" si="1"/>
        <v>2016</v>
      </c>
      <c r="B28">
        <f>[1]OBS!C28</f>
        <v>7820</v>
      </c>
      <c r="C28">
        <f>[1]OBS!F28</f>
        <v>5084</v>
      </c>
      <c r="D28">
        <f t="shared" si="0"/>
        <v>65.012787723785166</v>
      </c>
    </row>
    <row r="29" spans="1:4" x14ac:dyDescent="0.3">
      <c r="A29">
        <f t="shared" si="1"/>
        <v>2017</v>
      </c>
      <c r="B29">
        <f>[1]OBS!C29</f>
        <v>8557</v>
      </c>
      <c r="C29">
        <f>[1]OBS!F29</f>
        <v>5538</v>
      </c>
      <c r="D29">
        <f t="shared" si="0"/>
        <v>64.718943554984222</v>
      </c>
    </row>
    <row r="30" spans="1:4" x14ac:dyDescent="0.3">
      <c r="A30">
        <f t="shared" si="1"/>
        <v>2018</v>
      </c>
      <c r="B30">
        <f>[1]OBS!C30</f>
        <v>9309</v>
      </c>
      <c r="C30">
        <f>[1]OBS!F30</f>
        <v>5926</v>
      </c>
      <c r="D30">
        <f t="shared" si="0"/>
        <v>63.658824793210869</v>
      </c>
    </row>
    <row r="31" spans="1:4" x14ac:dyDescent="0.3">
      <c r="A31">
        <f t="shared" si="1"/>
        <v>2019</v>
      </c>
      <c r="B31">
        <f>[1]OBS!C31</f>
        <v>10099</v>
      </c>
      <c r="C31">
        <f>[1]OBS!F31</f>
        <v>6403</v>
      </c>
      <c r="D31">
        <f t="shared" si="0"/>
        <v>63.402317061095161</v>
      </c>
    </row>
    <row r="32" spans="1:4" x14ac:dyDescent="0.3">
      <c r="A32">
        <f t="shared" si="1"/>
        <v>2020</v>
      </c>
      <c r="B32">
        <f>[1]OBS!C32</f>
        <v>11186</v>
      </c>
      <c r="C32">
        <f>[1]OBS!F32</f>
        <v>7140</v>
      </c>
      <c r="D32">
        <f t="shared" si="0"/>
        <v>63.829787234042556</v>
      </c>
    </row>
    <row r="33" spans="1:4" x14ac:dyDescent="0.3">
      <c r="A33">
        <f t="shared" si="1"/>
        <v>2021</v>
      </c>
      <c r="B33">
        <f>[1]OBS!C33</f>
        <v>11185</v>
      </c>
      <c r="C33">
        <f>[1]OBS!F33</f>
        <v>7264</v>
      </c>
      <c r="D33">
        <f t="shared" si="0"/>
        <v>64.944121591417087</v>
      </c>
    </row>
    <row r="34" spans="1:4" x14ac:dyDescent="0.3">
      <c r="A34">
        <f t="shared" si="1"/>
        <v>2022</v>
      </c>
      <c r="B34">
        <f>[1]OBS!C34</f>
        <v>8780</v>
      </c>
      <c r="C34">
        <f>[1]OBS!F34</f>
        <v>5667</v>
      </c>
      <c r="D34">
        <f t="shared" si="0"/>
        <v>64.544419134396364</v>
      </c>
    </row>
    <row r="35" spans="1:4" x14ac:dyDescent="0.3">
      <c r="A35">
        <f t="shared" si="1"/>
        <v>2023</v>
      </c>
      <c r="B35">
        <f>[1]OBS!C35</f>
        <v>7919</v>
      </c>
      <c r="C35">
        <f>[1]OBS!F35</f>
        <v>5071</v>
      </c>
      <c r="D35">
        <f t="shared" si="0"/>
        <v>64.035863114029539</v>
      </c>
    </row>
    <row r="36" spans="1:4" x14ac:dyDescent="0.3">
      <c r="A36">
        <f t="shared" si="1"/>
        <v>2024</v>
      </c>
      <c r="B36">
        <f>[1]OBS!C36</f>
        <v>9252</v>
      </c>
      <c r="C36">
        <f>[1]OBS!F36</f>
        <v>5816</v>
      </c>
      <c r="D36">
        <f t="shared" si="0"/>
        <v>62.862083873757022</v>
      </c>
    </row>
    <row r="37" spans="1:4" x14ac:dyDescent="0.3">
      <c r="A37">
        <f t="shared" si="1"/>
        <v>2025</v>
      </c>
      <c r="B37">
        <f>[1]OBS!C37</f>
        <v>7344</v>
      </c>
      <c r="C37">
        <f>[1]OBS!F37</f>
        <v>4731</v>
      </c>
      <c r="D37">
        <f t="shared" si="0"/>
        <v>64.419934640522882</v>
      </c>
    </row>
    <row r="38" spans="1:4" x14ac:dyDescent="0.3">
      <c r="A38" t="s">
        <v>9</v>
      </c>
      <c r="B38">
        <f>[1]OBS!C38</f>
        <v>107193</v>
      </c>
      <c r="C38">
        <f>[1]OBS!F38</f>
        <v>68826</v>
      </c>
      <c r="D38">
        <f t="shared" si="0"/>
        <v>64.207550866194623</v>
      </c>
    </row>
    <row r="39" spans="1:4" x14ac:dyDescent="0.3">
      <c r="A39" t="s">
        <v>7</v>
      </c>
      <c r="B39">
        <f>[1]OBS!C39</f>
        <v>11186</v>
      </c>
      <c r="C39">
        <f>[1]OBS!F39</f>
        <v>7264</v>
      </c>
      <c r="D39">
        <f t="shared" si="0"/>
        <v>64.938315751832647</v>
      </c>
    </row>
    <row r="40" spans="1:4" x14ac:dyDescent="0.3">
      <c r="A40" t="s">
        <v>8</v>
      </c>
      <c r="B40">
        <f>[1]OBS!C40</f>
        <v>0</v>
      </c>
      <c r="C40">
        <f>[1]OBS!F40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zoomScale="70" zoomScaleNormal="70" workbookViewId="0">
      <selection activeCell="B12" sqref="B12"/>
    </sheetView>
  </sheetViews>
  <sheetFormatPr defaultRowHeight="17.25" x14ac:dyDescent="0.3"/>
  <sheetData>
    <row r="1" spans="1:4" x14ac:dyDescent="0.3">
      <c r="A1" t="s">
        <v>0</v>
      </c>
      <c r="B1" t="str">
        <f>[1]SYSREV!C1</f>
        <v>HasPvalue</v>
      </c>
      <c r="C1" t="str">
        <f>[1]SYSREV!F1</f>
        <v>Pvalue0.005</v>
      </c>
      <c r="D1" t="s">
        <v>1</v>
      </c>
    </row>
    <row r="2" spans="1:4" x14ac:dyDescent="0.3">
      <c r="A2">
        <v>1990</v>
      </c>
      <c r="B2">
        <f>[1]SYSREV!C2</f>
        <v>0</v>
      </c>
      <c r="C2">
        <f>[1]SYSREV!F2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[1]SYSREV!C3</f>
        <v>0</v>
      </c>
      <c r="C3">
        <f>[1]SYSREV!F3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[1]SYSREV!C4</f>
        <v>0</v>
      </c>
      <c r="C4">
        <f>[1]SYSREV!F4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[1]SYSREV!C5</f>
        <v>0</v>
      </c>
      <c r="C5">
        <f>[1]SYSREV!F5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[1]SYSREV!C6</f>
        <v>0</v>
      </c>
      <c r="C6">
        <f>[1]SYSREV!F6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[1]SYSREV!C7</f>
        <v>3</v>
      </c>
      <c r="C7">
        <f>[1]SYSREV!F7</f>
        <v>2</v>
      </c>
      <c r="D7">
        <f t="shared" si="0"/>
        <v>66.666666666666657</v>
      </c>
    </row>
    <row r="8" spans="1:4" x14ac:dyDescent="0.3">
      <c r="A8">
        <f t="shared" si="1"/>
        <v>1996</v>
      </c>
      <c r="B8">
        <f>[1]SYSREV!C8</f>
        <v>4</v>
      </c>
      <c r="C8">
        <f>[1]SYSREV!F8</f>
        <v>3</v>
      </c>
      <c r="D8">
        <f t="shared" si="0"/>
        <v>75</v>
      </c>
    </row>
    <row r="9" spans="1:4" x14ac:dyDescent="0.3">
      <c r="A9">
        <f t="shared" si="1"/>
        <v>1997</v>
      </c>
      <c r="B9">
        <f>[1]SYSREV!C9</f>
        <v>9</v>
      </c>
      <c r="C9">
        <f>[1]SYSREV!F9</f>
        <v>4</v>
      </c>
      <c r="D9">
        <f t="shared" si="0"/>
        <v>44.444444444444443</v>
      </c>
    </row>
    <row r="10" spans="1:4" x14ac:dyDescent="0.3">
      <c r="A10">
        <f t="shared" si="1"/>
        <v>1998</v>
      </c>
      <c r="B10">
        <f>[1]SYSREV!C10</f>
        <v>8</v>
      </c>
      <c r="C10">
        <f>[1]SYSREV!F10</f>
        <v>5</v>
      </c>
      <c r="D10">
        <f t="shared" si="0"/>
        <v>62.5</v>
      </c>
    </row>
    <row r="11" spans="1:4" x14ac:dyDescent="0.3">
      <c r="A11">
        <f t="shared" si="1"/>
        <v>1999</v>
      </c>
      <c r="B11">
        <f>[1]SYSREV!C11</f>
        <v>17</v>
      </c>
      <c r="C11">
        <f>[1]SYSREV!F11</f>
        <v>7</v>
      </c>
      <c r="D11">
        <f t="shared" si="0"/>
        <v>41.17647058823529</v>
      </c>
    </row>
    <row r="12" spans="1:4" x14ac:dyDescent="0.3">
      <c r="A12">
        <f t="shared" si="1"/>
        <v>2000</v>
      </c>
      <c r="B12">
        <f>[1]SYSREV!C12</f>
        <v>74</v>
      </c>
      <c r="C12">
        <f>[1]SYSREV!F12</f>
        <v>41</v>
      </c>
      <c r="D12">
        <f t="shared" si="0"/>
        <v>55.405405405405403</v>
      </c>
    </row>
    <row r="13" spans="1:4" x14ac:dyDescent="0.3">
      <c r="A13">
        <f t="shared" si="1"/>
        <v>2001</v>
      </c>
      <c r="B13">
        <f>[1]SYSREV!C13</f>
        <v>70</v>
      </c>
      <c r="C13">
        <f>[1]SYSREV!F13</f>
        <v>31</v>
      </c>
      <c r="D13">
        <f t="shared" si="0"/>
        <v>44.285714285714285</v>
      </c>
    </row>
    <row r="14" spans="1:4" x14ac:dyDescent="0.3">
      <c r="A14">
        <f t="shared" si="1"/>
        <v>2002</v>
      </c>
      <c r="B14">
        <f>[1]SYSREV!C14</f>
        <v>92</v>
      </c>
      <c r="C14">
        <f>[1]SYSREV!F14</f>
        <v>60</v>
      </c>
      <c r="D14">
        <f t="shared" si="0"/>
        <v>65.217391304347828</v>
      </c>
    </row>
    <row r="15" spans="1:4" x14ac:dyDescent="0.3">
      <c r="A15">
        <f t="shared" si="1"/>
        <v>2003</v>
      </c>
      <c r="B15">
        <f>[1]SYSREV!C15</f>
        <v>136</v>
      </c>
      <c r="C15">
        <f>[1]SYSREV!F15</f>
        <v>82</v>
      </c>
      <c r="D15">
        <f t="shared" si="0"/>
        <v>60.294117647058819</v>
      </c>
    </row>
    <row r="16" spans="1:4" x14ac:dyDescent="0.3">
      <c r="A16">
        <f t="shared" si="1"/>
        <v>2004</v>
      </c>
      <c r="B16">
        <f>[1]SYSREV!C16</f>
        <v>170</v>
      </c>
      <c r="C16">
        <f>[1]SYSREV!F16</f>
        <v>91</v>
      </c>
      <c r="D16">
        <f t="shared" si="0"/>
        <v>53.529411764705884</v>
      </c>
    </row>
    <row r="17" spans="1:4" x14ac:dyDescent="0.3">
      <c r="A17">
        <f t="shared" si="1"/>
        <v>2005</v>
      </c>
      <c r="B17">
        <f>[1]SYSREV!C17</f>
        <v>212</v>
      </c>
      <c r="C17">
        <f>[1]SYSREV!F17</f>
        <v>134</v>
      </c>
      <c r="D17">
        <f t="shared" si="0"/>
        <v>63.20754716981132</v>
      </c>
    </row>
    <row r="18" spans="1:4" x14ac:dyDescent="0.3">
      <c r="A18">
        <f t="shared" si="1"/>
        <v>2006</v>
      </c>
      <c r="B18">
        <f>[1]SYSREV!C18</f>
        <v>269</v>
      </c>
      <c r="C18">
        <f>[1]SYSREV!F18</f>
        <v>149</v>
      </c>
      <c r="D18">
        <f t="shared" si="0"/>
        <v>55.390334572490708</v>
      </c>
    </row>
    <row r="19" spans="1:4" x14ac:dyDescent="0.3">
      <c r="A19">
        <f t="shared" si="1"/>
        <v>2007</v>
      </c>
      <c r="B19">
        <f>[1]SYSREV!C19</f>
        <v>383</v>
      </c>
      <c r="C19">
        <f>[1]SYSREV!F19</f>
        <v>234</v>
      </c>
      <c r="D19">
        <f t="shared" si="0"/>
        <v>61.096605744125334</v>
      </c>
    </row>
    <row r="20" spans="1:4" x14ac:dyDescent="0.3">
      <c r="A20">
        <f t="shared" si="1"/>
        <v>2008</v>
      </c>
      <c r="B20">
        <f>[1]SYSREV!C20</f>
        <v>447</v>
      </c>
      <c r="C20">
        <f>[1]SYSREV!F20</f>
        <v>277</v>
      </c>
      <c r="D20">
        <f t="shared" si="0"/>
        <v>61.96868008948546</v>
      </c>
    </row>
    <row r="21" spans="1:4" x14ac:dyDescent="0.3">
      <c r="A21">
        <f t="shared" si="1"/>
        <v>2009</v>
      </c>
      <c r="B21">
        <f>[1]SYSREV!C21</f>
        <v>568</v>
      </c>
      <c r="C21">
        <f>[1]SYSREV!F21</f>
        <v>339</v>
      </c>
      <c r="D21">
        <f t="shared" si="0"/>
        <v>59.683098591549296</v>
      </c>
    </row>
    <row r="22" spans="1:4" x14ac:dyDescent="0.3">
      <c r="A22">
        <f t="shared" si="1"/>
        <v>2010</v>
      </c>
      <c r="B22">
        <f>[1]SYSREV!C22</f>
        <v>718</v>
      </c>
      <c r="C22">
        <f>[1]SYSREV!F22</f>
        <v>436</v>
      </c>
      <c r="D22">
        <f t="shared" si="0"/>
        <v>60.724233983286915</v>
      </c>
    </row>
    <row r="23" spans="1:4" x14ac:dyDescent="0.3">
      <c r="A23">
        <f t="shared" si="1"/>
        <v>2011</v>
      </c>
      <c r="B23">
        <f>[1]SYSREV!C23</f>
        <v>892</v>
      </c>
      <c r="C23">
        <f>[1]SYSREV!F23</f>
        <v>551</v>
      </c>
      <c r="D23">
        <f t="shared" si="0"/>
        <v>61.771300448430488</v>
      </c>
    </row>
    <row r="24" spans="1:4" x14ac:dyDescent="0.3">
      <c r="A24">
        <f t="shared" si="1"/>
        <v>2012</v>
      </c>
      <c r="B24">
        <f>[1]SYSREV!C24</f>
        <v>1290</v>
      </c>
      <c r="C24">
        <f>[1]SYSREV!F24</f>
        <v>799</v>
      </c>
      <c r="D24">
        <f t="shared" si="0"/>
        <v>61.937984496124031</v>
      </c>
    </row>
    <row r="25" spans="1:4" x14ac:dyDescent="0.3">
      <c r="A25">
        <f t="shared" si="1"/>
        <v>2013</v>
      </c>
      <c r="B25">
        <f>[1]SYSREV!C25</f>
        <v>1722</v>
      </c>
      <c r="C25">
        <f>[1]SYSREV!F25</f>
        <v>1079</v>
      </c>
      <c r="D25">
        <f t="shared" si="0"/>
        <v>62.659698025551677</v>
      </c>
    </row>
    <row r="26" spans="1:4" x14ac:dyDescent="0.3">
      <c r="A26">
        <f t="shared" si="1"/>
        <v>2014</v>
      </c>
      <c r="B26">
        <f>[1]SYSREV!C26</f>
        <v>2115</v>
      </c>
      <c r="C26">
        <f>[1]SYSREV!F26</f>
        <v>1334</v>
      </c>
      <c r="D26">
        <f t="shared" si="0"/>
        <v>63.073286052009458</v>
      </c>
    </row>
    <row r="27" spans="1:4" x14ac:dyDescent="0.3">
      <c r="A27">
        <f t="shared" si="1"/>
        <v>2015</v>
      </c>
      <c r="B27">
        <f>[1]SYSREV!C27</f>
        <v>2676</v>
      </c>
      <c r="C27">
        <f>[1]SYSREV!F27</f>
        <v>1702</v>
      </c>
      <c r="D27">
        <f t="shared" si="0"/>
        <v>63.602391629297458</v>
      </c>
    </row>
    <row r="28" spans="1:4" x14ac:dyDescent="0.3">
      <c r="A28">
        <f t="shared" si="1"/>
        <v>2016</v>
      </c>
      <c r="B28">
        <f>[1]SYSREV!C28</f>
        <v>3008</v>
      </c>
      <c r="C28">
        <f>[1]SYSREV!F28</f>
        <v>1950</v>
      </c>
      <c r="D28">
        <f t="shared" si="0"/>
        <v>64.827127659574472</v>
      </c>
    </row>
    <row r="29" spans="1:4" x14ac:dyDescent="0.3">
      <c r="A29">
        <f t="shared" si="1"/>
        <v>2017</v>
      </c>
      <c r="B29">
        <f>[1]SYSREV!C29</f>
        <v>3552</v>
      </c>
      <c r="C29">
        <f>[1]SYSREV!F29</f>
        <v>2280</v>
      </c>
      <c r="D29">
        <f t="shared" si="0"/>
        <v>64.189189189189193</v>
      </c>
    </row>
    <row r="30" spans="1:4" x14ac:dyDescent="0.3">
      <c r="A30">
        <f t="shared" si="1"/>
        <v>2018</v>
      </c>
      <c r="B30">
        <f>[1]SYSREV!C30</f>
        <v>4190</v>
      </c>
      <c r="C30">
        <f>[1]SYSREV!F30</f>
        <v>2628</v>
      </c>
      <c r="D30">
        <f t="shared" si="0"/>
        <v>62.720763723150363</v>
      </c>
    </row>
    <row r="31" spans="1:4" x14ac:dyDescent="0.3">
      <c r="A31">
        <f t="shared" si="1"/>
        <v>2019</v>
      </c>
      <c r="B31">
        <f>[1]SYSREV!C31</f>
        <v>5191</v>
      </c>
      <c r="C31">
        <f>[1]SYSREV!F31</f>
        <v>3341</v>
      </c>
      <c r="D31">
        <f t="shared" si="0"/>
        <v>64.361394721633587</v>
      </c>
    </row>
    <row r="32" spans="1:4" x14ac:dyDescent="0.3">
      <c r="A32">
        <f t="shared" si="1"/>
        <v>2020</v>
      </c>
      <c r="B32">
        <f>[1]SYSREV!C32</f>
        <v>6356</v>
      </c>
      <c r="C32">
        <f>[1]SYSREV!F32</f>
        <v>4077</v>
      </c>
      <c r="D32">
        <f t="shared" si="0"/>
        <v>64.144115796098177</v>
      </c>
    </row>
    <row r="33" spans="1:4" x14ac:dyDescent="0.3">
      <c r="A33">
        <f t="shared" si="1"/>
        <v>2021</v>
      </c>
      <c r="B33">
        <f>[1]SYSREV!C33</f>
        <v>7555</v>
      </c>
      <c r="C33">
        <f>[1]SYSREV!F33</f>
        <v>4808</v>
      </c>
      <c r="D33">
        <f t="shared" si="0"/>
        <v>63.639973527465251</v>
      </c>
    </row>
    <row r="34" spans="1:4" x14ac:dyDescent="0.3">
      <c r="A34">
        <f t="shared" si="1"/>
        <v>2022</v>
      </c>
      <c r="B34">
        <f>[1]SYSREV!C34</f>
        <v>7720</v>
      </c>
      <c r="C34">
        <f>[1]SYSREV!F34</f>
        <v>4938</v>
      </c>
      <c r="D34">
        <f t="shared" si="0"/>
        <v>63.963730569948183</v>
      </c>
    </row>
    <row r="35" spans="1:4" x14ac:dyDescent="0.3">
      <c r="A35">
        <f t="shared" si="1"/>
        <v>2023</v>
      </c>
      <c r="B35">
        <f>[1]SYSREV!C35</f>
        <v>7557</v>
      </c>
      <c r="C35">
        <f>[1]SYSREV!F35</f>
        <v>4787</v>
      </c>
      <c r="D35">
        <f t="shared" si="0"/>
        <v>63.345242821225355</v>
      </c>
    </row>
    <row r="36" spans="1:4" x14ac:dyDescent="0.3">
      <c r="A36">
        <f t="shared" si="1"/>
        <v>2024</v>
      </c>
      <c r="B36">
        <f>[1]SYSREV!C36</f>
        <v>8563</v>
      </c>
      <c r="C36">
        <f>[1]SYSREV!F36</f>
        <v>5331</v>
      </c>
      <c r="D36">
        <f t="shared" si="0"/>
        <v>62.256218614971395</v>
      </c>
    </row>
    <row r="37" spans="1:4" x14ac:dyDescent="0.3">
      <c r="A37">
        <f t="shared" si="1"/>
        <v>2025</v>
      </c>
      <c r="B37">
        <f>[1]SYSREV!C37</f>
        <v>6346</v>
      </c>
      <c r="C37">
        <f>[1]SYSREV!F37</f>
        <v>3880</v>
      </c>
      <c r="D37">
        <f t="shared" si="0"/>
        <v>61.140876142451937</v>
      </c>
    </row>
    <row r="38" spans="1:4" x14ac:dyDescent="0.3">
      <c r="A38" t="s">
        <v>9</v>
      </c>
      <c r="B38">
        <f>[1]SYSREV!C38</f>
        <v>71913</v>
      </c>
      <c r="C38">
        <f>[1]SYSREV!F38</f>
        <v>45380</v>
      </c>
      <c r="D38">
        <f t="shared" si="0"/>
        <v>63.104028478856399</v>
      </c>
    </row>
    <row r="39" spans="1:4" x14ac:dyDescent="0.3">
      <c r="A39" t="s">
        <v>7</v>
      </c>
      <c r="B39">
        <f>[1]SYSREV!C39</f>
        <v>8563</v>
      </c>
      <c r="C39">
        <f>[1]SYSREV!F39</f>
        <v>5331</v>
      </c>
      <c r="D39">
        <f t="shared" si="0"/>
        <v>62.256218614971395</v>
      </c>
    </row>
    <row r="40" spans="1:4" x14ac:dyDescent="0.3">
      <c r="A40" t="s">
        <v>8</v>
      </c>
      <c r="B40">
        <f>[1]SYSREV!C40</f>
        <v>0</v>
      </c>
      <c r="C40">
        <f>[1]SYSREV!F40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43.70023419203747</v>
      </c>
      <c r="C2">
        <f>CT!D2</f>
        <v>49.674054758800523</v>
      </c>
      <c r="D2">
        <f>META!D2</f>
        <v>60</v>
      </c>
      <c r="E2">
        <f>REVIEW!D2</f>
        <v>51.612903225806448</v>
      </c>
      <c r="F2">
        <f>CCJ!D2</f>
        <v>55.074394847879191</v>
      </c>
      <c r="G2">
        <f>ALL!D2</f>
        <v>48.442760942760941</v>
      </c>
      <c r="I2" t="str">
        <v>Randomized controlled trial</v>
      </c>
      <c r="J2">
        <v>43.70023419203747</v>
      </c>
      <c r="K2">
        <v>44.970414201183431</v>
      </c>
      <c r="L2">
        <v>45.630372492836671</v>
      </c>
      <c r="M2">
        <v>47.247852370346806</v>
      </c>
      <c r="N2">
        <v>45.669714900484131</v>
      </c>
      <c r="O2">
        <v>47.10526315789474</v>
      </c>
      <c r="P2">
        <v>49.592169657422517</v>
      </c>
      <c r="Q2">
        <v>49.846558526961857</v>
      </c>
      <c r="R2">
        <v>49.012751953928422</v>
      </c>
      <c r="S2">
        <v>51.83051477420554</v>
      </c>
      <c r="T2">
        <v>51.959665144596656</v>
      </c>
      <c r="U2">
        <v>50.18283127285391</v>
      </c>
      <c r="V2">
        <v>50.660501981505945</v>
      </c>
      <c r="W2">
        <v>50.391077636152957</v>
      </c>
      <c r="X2">
        <v>50.57605177993527</v>
      </c>
      <c r="Y2">
        <v>50.454122030740564</v>
      </c>
      <c r="Z2">
        <v>49.874220715301327</v>
      </c>
      <c r="AA2">
        <v>50.169694549810337</v>
      </c>
      <c r="AB2">
        <v>51.067718353212776</v>
      </c>
      <c r="AC2">
        <v>50.364110401870001</v>
      </c>
      <c r="AD2">
        <v>49.605776412980326</v>
      </c>
      <c r="AE2">
        <v>50.9543692215926</v>
      </c>
      <c r="AF2">
        <v>50.965512568602215</v>
      </c>
      <c r="AG2">
        <v>50.675372895461237</v>
      </c>
      <c r="AH2">
        <v>50.580017462891355</v>
      </c>
      <c r="AI2">
        <v>50.866443866815203</v>
      </c>
      <c r="AJ2">
        <v>51.276473222854946</v>
      </c>
      <c r="AK2">
        <v>50.869730827831383</v>
      </c>
      <c r="AL2">
        <v>51.115882620860177</v>
      </c>
      <c r="AM2">
        <v>51.419805470330957</v>
      </c>
      <c r="AN2">
        <v>50.951005176357292</v>
      </c>
      <c r="AO2">
        <v>50.735336859850023</v>
      </c>
      <c r="AP2">
        <v>50.678130297892956</v>
      </c>
      <c r="AQ2">
        <v>51.980062815785878</v>
      </c>
      <c r="AR2">
        <v>52.484092021536952</v>
      </c>
      <c r="AS2">
        <v>52.772153119274904</v>
      </c>
    </row>
    <row r="3" spans="1:45" x14ac:dyDescent="0.3">
      <c r="A3">
        <v>1991</v>
      </c>
      <c r="B3">
        <f>RCT!D3</f>
        <v>44.970414201183431</v>
      </c>
      <c r="C3">
        <f>CT!D3</f>
        <v>52.721088435374156</v>
      </c>
      <c r="D3">
        <f>META!D3</f>
        <v>54.054054054054056</v>
      </c>
      <c r="E3">
        <f>REVIEW!D3</f>
        <v>55.555555555555557</v>
      </c>
      <c r="F3">
        <f>CCJ!D3</f>
        <v>55.775510204081634</v>
      </c>
      <c r="G3">
        <f>ALL!D3</f>
        <v>48.330117899249728</v>
      </c>
      <c r="I3" t="str">
        <v>Clinical trial</v>
      </c>
      <c r="J3">
        <v>49.674054758800523</v>
      </c>
      <c r="K3">
        <v>52.721088435374156</v>
      </c>
      <c r="L3">
        <v>51.304347826086961</v>
      </c>
      <c r="M3">
        <v>52.828054298642535</v>
      </c>
      <c r="N3">
        <v>51.595259799453054</v>
      </c>
      <c r="O3">
        <v>52.401372212692962</v>
      </c>
      <c r="P3">
        <v>52.78745644599303</v>
      </c>
      <c r="Q3">
        <v>53.854918344094195</v>
      </c>
      <c r="R3">
        <v>53.773240977032444</v>
      </c>
      <c r="S3">
        <v>55.573147561747938</v>
      </c>
      <c r="T3">
        <v>57.551274083281548</v>
      </c>
      <c r="U3">
        <v>55.909943714821765</v>
      </c>
      <c r="V3">
        <v>55.805114029025574</v>
      </c>
      <c r="W3">
        <v>55.896032831737344</v>
      </c>
      <c r="X3">
        <v>54.798366513527306</v>
      </c>
      <c r="Y3">
        <v>55.26137135098439</v>
      </c>
      <c r="Z3">
        <v>56.004756242568376</v>
      </c>
      <c r="AA3">
        <v>55.714626580768311</v>
      </c>
      <c r="AB3">
        <v>55.16628585935517</v>
      </c>
      <c r="AC3">
        <v>56.251645169781519</v>
      </c>
      <c r="AD3">
        <v>55.051391326146906</v>
      </c>
      <c r="AE3">
        <v>55.340223944875113</v>
      </c>
      <c r="AF3">
        <v>55.566387209982452</v>
      </c>
      <c r="AG3">
        <v>57.085683099872654</v>
      </c>
      <c r="AH3">
        <v>57.843328775151392</v>
      </c>
      <c r="AI3">
        <v>58.87455045483393</v>
      </c>
      <c r="AJ3">
        <v>58.315071828585339</v>
      </c>
      <c r="AK3">
        <v>57.782404997397187</v>
      </c>
      <c r="AL3">
        <v>58.520648196549921</v>
      </c>
      <c r="AM3">
        <v>58.4895695801426</v>
      </c>
      <c r="AN3">
        <v>58.589267634154574</v>
      </c>
      <c r="AO3">
        <v>58.712942877801879</v>
      </c>
      <c r="AP3">
        <v>61.016949152542374</v>
      </c>
      <c r="AQ3">
        <v>59.017375674056318</v>
      </c>
      <c r="AR3">
        <v>58.580738595220851</v>
      </c>
      <c r="AS3">
        <v>60.31567080045096</v>
      </c>
    </row>
    <row r="4" spans="1:45" x14ac:dyDescent="0.3">
      <c r="A4">
        <f>A2+2</f>
        <v>1992</v>
      </c>
      <c r="B4">
        <f>RCT!D4</f>
        <v>45.630372492836671</v>
      </c>
      <c r="C4">
        <f>CT!D4</f>
        <v>51.304347826086961</v>
      </c>
      <c r="D4">
        <f>META!D4</f>
        <v>68.181818181818173</v>
      </c>
      <c r="E4">
        <f>REVIEW!D4</f>
        <v>55.217391304347828</v>
      </c>
      <c r="F4">
        <f>CCJ!D4</f>
        <v>56.458980449479256</v>
      </c>
      <c r="G4">
        <f>ALL!D4</f>
        <v>49.186123305232897</v>
      </c>
      <c r="I4" t="str">
        <v>Meta-analysis</v>
      </c>
      <c r="J4">
        <v>60</v>
      </c>
      <c r="K4">
        <v>54.054054054054056</v>
      </c>
      <c r="L4">
        <v>68.181818181818173</v>
      </c>
      <c r="M4">
        <v>59.016393442622949</v>
      </c>
      <c r="N4">
        <v>64.615384615384613</v>
      </c>
      <c r="O4">
        <v>56.666666666666664</v>
      </c>
      <c r="P4">
        <v>53.125</v>
      </c>
      <c r="Q4">
        <v>61.157024793388423</v>
      </c>
      <c r="R4">
        <v>63.793103448275865</v>
      </c>
      <c r="S4">
        <v>65.116279069767444</v>
      </c>
      <c r="T4">
        <v>66.666666666666657</v>
      </c>
      <c r="U4">
        <v>61.676646706586823</v>
      </c>
      <c r="V4">
        <v>61.502347417840376</v>
      </c>
      <c r="W4">
        <v>57.777777777777771</v>
      </c>
      <c r="X4">
        <v>59.248554913294797</v>
      </c>
      <c r="Y4">
        <v>63.157894736842103</v>
      </c>
      <c r="Z4">
        <v>59.454855195911414</v>
      </c>
      <c r="AA4">
        <v>64.886515353805081</v>
      </c>
      <c r="AB4">
        <v>64.759725400457668</v>
      </c>
      <c r="AC4">
        <v>64.588979223125563</v>
      </c>
      <c r="AD4">
        <v>62.62002743484225</v>
      </c>
      <c r="AE4">
        <v>63.46153846153846</v>
      </c>
      <c r="AF4">
        <v>63.522012578616348</v>
      </c>
      <c r="AG4">
        <v>65.168539325842701</v>
      </c>
      <c r="AH4">
        <v>64.913935392596088</v>
      </c>
      <c r="AI4">
        <v>64.673128480098981</v>
      </c>
      <c r="AJ4">
        <v>66.772718234241395</v>
      </c>
      <c r="AK4">
        <v>65.966463976414218</v>
      </c>
      <c r="AL4">
        <v>64.117446227381365</v>
      </c>
      <c r="AM4">
        <v>64.798275331074834</v>
      </c>
      <c r="AN4">
        <v>65.153452685421996</v>
      </c>
      <c r="AO4">
        <v>64.659569749390116</v>
      </c>
      <c r="AP4">
        <v>64.348290598290603</v>
      </c>
      <c r="AQ4">
        <v>64.16694196674375</v>
      </c>
      <c r="AR4">
        <v>63.253322344699704</v>
      </c>
      <c r="AS4">
        <v>61.920260374288041</v>
      </c>
    </row>
    <row r="5" spans="1:45" x14ac:dyDescent="0.3">
      <c r="A5">
        <f t="shared" ref="A5:A36" si="0">A3+2</f>
        <v>1993</v>
      </c>
      <c r="B5">
        <f>RCT!D5</f>
        <v>47.247852370346806</v>
      </c>
      <c r="C5">
        <f>CT!D5</f>
        <v>52.828054298642535</v>
      </c>
      <c r="D5">
        <f>META!D5</f>
        <v>59.016393442622949</v>
      </c>
      <c r="E5">
        <f>REVIEW!D5</f>
        <v>49.769585253456221</v>
      </c>
      <c r="F5">
        <f>CCJ!D5</f>
        <v>57.204412271630467</v>
      </c>
      <c r="G5">
        <f>ALL!D5</f>
        <v>50.094666523773803</v>
      </c>
      <c r="I5" t="str">
        <v>Review</v>
      </c>
      <c r="J5">
        <v>51.612903225806448</v>
      </c>
      <c r="K5">
        <v>55.555555555555557</v>
      </c>
      <c r="L5">
        <v>55.217391304347828</v>
      </c>
      <c r="M5">
        <v>49.769585253456221</v>
      </c>
      <c r="N5">
        <v>55.76036866359447</v>
      </c>
      <c r="O5">
        <v>53.903345724907062</v>
      </c>
      <c r="P5">
        <v>54.374999999999993</v>
      </c>
      <c r="Q5">
        <v>52.698412698412703</v>
      </c>
      <c r="R5">
        <v>56.351791530944631</v>
      </c>
      <c r="S5">
        <v>55.000000000000007</v>
      </c>
      <c r="T5">
        <v>54.421768707482997</v>
      </c>
      <c r="U5">
        <v>52.411575562700961</v>
      </c>
      <c r="V5">
        <v>54.624277456647398</v>
      </c>
      <c r="W5">
        <v>53.543307086614178</v>
      </c>
      <c r="X5">
        <v>56.742556917688269</v>
      </c>
      <c r="Y5">
        <v>59.578947368421055</v>
      </c>
      <c r="Z5">
        <v>57.305936073059357</v>
      </c>
      <c r="AA5">
        <v>56.224899598393577</v>
      </c>
      <c r="AB5">
        <v>58.248472505091655</v>
      </c>
      <c r="AC5">
        <v>55.882352941176471</v>
      </c>
      <c r="AD5">
        <v>59.968354430379748</v>
      </c>
      <c r="AE5">
        <v>61.142061281337043</v>
      </c>
      <c r="AF5">
        <v>58.412322274881511</v>
      </c>
      <c r="AG5">
        <v>56.127703398558182</v>
      </c>
      <c r="AH5">
        <v>55.2734375</v>
      </c>
      <c r="AI5">
        <v>56.828193832599119</v>
      </c>
      <c r="AJ5">
        <v>56.992724333063862</v>
      </c>
      <c r="AK5">
        <v>54.604200323101779</v>
      </c>
      <c r="AL5">
        <v>54.136546184738954</v>
      </c>
      <c r="AM5">
        <v>54.656488549618324</v>
      </c>
      <c r="AN5">
        <v>51.651090342679126</v>
      </c>
      <c r="AO5">
        <v>51.857355126300156</v>
      </c>
      <c r="AP5">
        <v>55.039370078740156</v>
      </c>
      <c r="AQ5">
        <v>56.827473426001639</v>
      </c>
      <c r="AR5">
        <v>56.685714285714283</v>
      </c>
      <c r="AS5">
        <v>52.291421856639253</v>
      </c>
    </row>
    <row r="6" spans="1:45" x14ac:dyDescent="0.3">
      <c r="A6">
        <f t="shared" si="0"/>
        <v>1994</v>
      </c>
      <c r="B6">
        <f>RCT!D6</f>
        <v>45.669714900484131</v>
      </c>
      <c r="C6">
        <f>CT!D6</f>
        <v>51.595259799453054</v>
      </c>
      <c r="D6">
        <f>META!D6</f>
        <v>64.615384615384613</v>
      </c>
      <c r="E6">
        <f>REVIEW!D6</f>
        <v>55.76036866359447</v>
      </c>
      <c r="F6">
        <f>CCJ!D6</f>
        <v>57.475031210986273</v>
      </c>
      <c r="G6">
        <f>ALL!D6</f>
        <v>50.326387973097717</v>
      </c>
      <c r="I6" t="str">
        <v>Core clinical journal</v>
      </c>
      <c r="J6">
        <v>55.074394847879191</v>
      </c>
      <c r="K6">
        <v>55.775510204081634</v>
      </c>
      <c r="L6">
        <v>56.458980449479256</v>
      </c>
      <c r="M6">
        <v>57.204412271630467</v>
      </c>
      <c r="N6">
        <v>57.475031210986273</v>
      </c>
      <c r="O6">
        <v>57.449985070170193</v>
      </c>
      <c r="P6">
        <v>57.275631716526284</v>
      </c>
      <c r="Q6">
        <v>58.554385964912278</v>
      </c>
      <c r="R6">
        <v>59.461732548359969</v>
      </c>
      <c r="S6">
        <v>61.269028694597871</v>
      </c>
      <c r="T6">
        <v>63.570550471247103</v>
      </c>
      <c r="U6">
        <v>61.252160042536218</v>
      </c>
      <c r="V6">
        <v>60.983025082341015</v>
      </c>
      <c r="W6">
        <v>61.594115519112499</v>
      </c>
      <c r="X6">
        <v>62.324145030309964</v>
      </c>
      <c r="Y6">
        <v>63.350058716771642</v>
      </c>
      <c r="Z6">
        <v>62.605456338336808</v>
      </c>
      <c r="AA6">
        <v>63.859573551583026</v>
      </c>
      <c r="AB6">
        <v>63.948950532644233</v>
      </c>
      <c r="AC6">
        <v>62.904777172170569</v>
      </c>
      <c r="AD6">
        <v>64.17925278219397</v>
      </c>
      <c r="AE6">
        <v>64.571810032424182</v>
      </c>
      <c r="AF6">
        <v>65.353068728198366</v>
      </c>
      <c r="AG6">
        <v>64.894348050163202</v>
      </c>
      <c r="AH6">
        <v>65.062656641604008</v>
      </c>
      <c r="AI6">
        <v>65.826197272438947</v>
      </c>
      <c r="AJ6">
        <v>65.927124258531705</v>
      </c>
      <c r="AK6">
        <v>64.26601784266019</v>
      </c>
      <c r="AL6">
        <v>64.159548884650462</v>
      </c>
      <c r="AM6">
        <v>64.983960830660138</v>
      </c>
      <c r="AN6">
        <v>64.284021799225968</v>
      </c>
      <c r="AO6">
        <v>64.861210530501864</v>
      </c>
      <c r="AP6">
        <v>64.801627670396741</v>
      </c>
      <c r="AQ6">
        <v>64.899384360929886</v>
      </c>
      <c r="AR6">
        <v>63.933307332293289</v>
      </c>
      <c r="AS6">
        <v>63.697303739013854</v>
      </c>
    </row>
    <row r="7" spans="1:45" x14ac:dyDescent="0.3">
      <c r="A7">
        <f t="shared" si="0"/>
        <v>1995</v>
      </c>
      <c r="B7">
        <f>RCT!D7</f>
        <v>47.10526315789474</v>
      </c>
      <c r="C7">
        <f>CT!D7</f>
        <v>52.401372212692962</v>
      </c>
      <c r="D7">
        <f>META!D7</f>
        <v>56.666666666666664</v>
      </c>
      <c r="E7">
        <f>REVIEW!D7</f>
        <v>53.903345724907062</v>
      </c>
      <c r="F7">
        <f>CCJ!D7</f>
        <v>57.449985070170193</v>
      </c>
      <c r="G7">
        <f>ALL!D7</f>
        <v>50.421549231471616</v>
      </c>
      <c r="I7" t="str">
        <v>All MEDLINE</v>
      </c>
      <c r="J7">
        <v>48.442760942760941</v>
      </c>
      <c r="K7">
        <v>48.330117899249728</v>
      </c>
      <c r="L7">
        <v>49.186123305232897</v>
      </c>
      <c r="M7">
        <v>50.094666523773803</v>
      </c>
      <c r="N7">
        <v>50.326387973097717</v>
      </c>
      <c r="O7">
        <v>50.421549231471616</v>
      </c>
      <c r="P7">
        <v>51.182351108719658</v>
      </c>
      <c r="Q7">
        <v>51.958746402302523</v>
      </c>
      <c r="R7">
        <v>52.01203174763662</v>
      </c>
      <c r="S7">
        <v>53.573290365385532</v>
      </c>
      <c r="T7">
        <v>54.30615489439019</v>
      </c>
      <c r="U7">
        <v>52.385001275401756</v>
      </c>
      <c r="V7">
        <v>52.303646286482639</v>
      </c>
      <c r="W7">
        <v>52.035966374632004</v>
      </c>
      <c r="X7">
        <v>52.321500120201932</v>
      </c>
      <c r="Y7">
        <v>52.507830444769269</v>
      </c>
      <c r="Z7">
        <v>52.890091846682743</v>
      </c>
      <c r="AA7">
        <v>53.430769771282016</v>
      </c>
      <c r="AB7">
        <v>53.355070664320181</v>
      </c>
      <c r="AC7">
        <v>53.447910250325656</v>
      </c>
      <c r="AD7">
        <v>53.512662887432818</v>
      </c>
      <c r="AE7">
        <v>54.046428748205713</v>
      </c>
      <c r="AF7">
        <v>54.205309573321593</v>
      </c>
      <c r="AG7">
        <v>54.841202380032449</v>
      </c>
      <c r="AH7">
        <v>55.430075288160438</v>
      </c>
      <c r="AI7">
        <v>55.722590463092082</v>
      </c>
      <c r="AJ7">
        <v>56.111372992677786</v>
      </c>
      <c r="AK7">
        <v>55.908217307205057</v>
      </c>
      <c r="AL7">
        <v>55.85693710993759</v>
      </c>
      <c r="AM7">
        <v>56.220319615037873</v>
      </c>
      <c r="AN7">
        <v>56.685378404214205</v>
      </c>
      <c r="AO7">
        <v>57.390777158879928</v>
      </c>
      <c r="AP7">
        <v>56.978351448374617</v>
      </c>
      <c r="AQ7">
        <v>57.570232047233283</v>
      </c>
      <c r="AR7">
        <v>57.276227705318774</v>
      </c>
      <c r="AS7">
        <v>57.850175999007583</v>
      </c>
    </row>
    <row r="8" spans="1:45" x14ac:dyDescent="0.3">
      <c r="A8">
        <f t="shared" si="0"/>
        <v>1996</v>
      </c>
      <c r="B8">
        <f>RCT!D8</f>
        <v>49.592169657422517</v>
      </c>
      <c r="C8">
        <f>CT!D8</f>
        <v>52.78745644599303</v>
      </c>
      <c r="D8">
        <f>META!D8</f>
        <v>53.125</v>
      </c>
      <c r="E8">
        <f>REVIEW!D8</f>
        <v>54.374999999999993</v>
      </c>
      <c r="F8">
        <f>CCJ!D8</f>
        <v>57.275631716526284</v>
      </c>
      <c r="G8">
        <f>ALL!D8</f>
        <v>51.182351108719658</v>
      </c>
    </row>
    <row r="9" spans="1:45" x14ac:dyDescent="0.3">
      <c r="A9">
        <f t="shared" si="0"/>
        <v>1997</v>
      </c>
      <c r="B9">
        <f>RCT!D9</f>
        <v>49.846558526961857</v>
      </c>
      <c r="C9">
        <f>CT!D9</f>
        <v>53.854918344094195</v>
      </c>
      <c r="D9">
        <f>META!D9</f>
        <v>61.157024793388423</v>
      </c>
      <c r="E9">
        <f>REVIEW!D9</f>
        <v>52.698412698412703</v>
      </c>
      <c r="F9">
        <f>CCJ!D9</f>
        <v>58.554385964912278</v>
      </c>
      <c r="G9">
        <f>ALL!D9</f>
        <v>51.958746402302523</v>
      </c>
    </row>
    <row r="10" spans="1:45" x14ac:dyDescent="0.3">
      <c r="A10">
        <f t="shared" si="0"/>
        <v>1998</v>
      </c>
      <c r="B10">
        <f>RCT!D10</f>
        <v>49.012751953928422</v>
      </c>
      <c r="C10">
        <f>CT!D10</f>
        <v>53.773240977032444</v>
      </c>
      <c r="D10">
        <f>META!D10</f>
        <v>63.793103448275865</v>
      </c>
      <c r="E10">
        <f>REVIEW!D10</f>
        <v>56.351791530944631</v>
      </c>
      <c r="F10">
        <f>CCJ!D10</f>
        <v>59.461732548359969</v>
      </c>
      <c r="G10">
        <f>ALL!D10</f>
        <v>52.01203174763662</v>
      </c>
    </row>
    <row r="11" spans="1:45" x14ac:dyDescent="0.3">
      <c r="A11">
        <f t="shared" si="0"/>
        <v>1999</v>
      </c>
      <c r="B11">
        <f>RCT!D11</f>
        <v>51.83051477420554</v>
      </c>
      <c r="C11">
        <f>CT!D11</f>
        <v>55.573147561747938</v>
      </c>
      <c r="D11">
        <f>META!D11</f>
        <v>65.116279069767444</v>
      </c>
      <c r="E11">
        <f>REVIEW!D11</f>
        <v>55.000000000000007</v>
      </c>
      <c r="F11">
        <f>CCJ!D11</f>
        <v>61.269028694597871</v>
      </c>
      <c r="G11">
        <f>ALL!D11</f>
        <v>53.573290365385532</v>
      </c>
    </row>
    <row r="12" spans="1:45" x14ac:dyDescent="0.3">
      <c r="A12">
        <f t="shared" si="0"/>
        <v>2000</v>
      </c>
      <c r="B12">
        <f>RCT!D12</f>
        <v>51.959665144596656</v>
      </c>
      <c r="C12">
        <f>CT!D12</f>
        <v>57.551274083281548</v>
      </c>
      <c r="D12">
        <f>META!D12</f>
        <v>66.666666666666657</v>
      </c>
      <c r="E12">
        <f>REVIEW!D12</f>
        <v>54.421768707482997</v>
      </c>
      <c r="F12">
        <f>CCJ!D12</f>
        <v>63.570550471247103</v>
      </c>
      <c r="G12">
        <f>ALL!D12</f>
        <v>54.30615489439019</v>
      </c>
    </row>
    <row r="13" spans="1:45" x14ac:dyDescent="0.3">
      <c r="A13">
        <f t="shared" si="0"/>
        <v>2001</v>
      </c>
      <c r="B13">
        <f>RCT!D13</f>
        <v>50.18283127285391</v>
      </c>
      <c r="C13">
        <f>CT!D13</f>
        <v>55.909943714821765</v>
      </c>
      <c r="D13">
        <f>META!D13</f>
        <v>61.676646706586823</v>
      </c>
      <c r="E13">
        <f>REVIEW!D13</f>
        <v>52.411575562700961</v>
      </c>
      <c r="F13">
        <f>CCJ!D13</f>
        <v>61.252160042536218</v>
      </c>
      <c r="G13">
        <f>ALL!D13</f>
        <v>52.385001275401756</v>
      </c>
    </row>
    <row r="14" spans="1:45" x14ac:dyDescent="0.3">
      <c r="A14">
        <f t="shared" si="0"/>
        <v>2002</v>
      </c>
      <c r="B14">
        <f>RCT!D14</f>
        <v>50.660501981505945</v>
      </c>
      <c r="C14">
        <f>CT!D14</f>
        <v>55.805114029025574</v>
      </c>
      <c r="D14">
        <f>META!D14</f>
        <v>61.502347417840376</v>
      </c>
      <c r="E14">
        <f>REVIEW!D14</f>
        <v>54.624277456647398</v>
      </c>
      <c r="F14">
        <f>CCJ!D14</f>
        <v>60.983025082341015</v>
      </c>
      <c r="G14">
        <f>ALL!D14</f>
        <v>52.303646286482639</v>
      </c>
    </row>
    <row r="15" spans="1:45" x14ac:dyDescent="0.3">
      <c r="A15">
        <f t="shared" si="0"/>
        <v>2003</v>
      </c>
      <c r="B15">
        <f>RCT!D15</f>
        <v>50.391077636152957</v>
      </c>
      <c r="C15">
        <f>CT!D15</f>
        <v>55.896032831737344</v>
      </c>
      <c r="D15">
        <f>META!D15</f>
        <v>57.777777777777771</v>
      </c>
      <c r="E15">
        <f>REVIEW!D15</f>
        <v>53.543307086614178</v>
      </c>
      <c r="F15">
        <f>CCJ!D15</f>
        <v>61.594115519112499</v>
      </c>
      <c r="G15">
        <f>ALL!D15</f>
        <v>52.035966374632004</v>
      </c>
    </row>
    <row r="16" spans="1:45" x14ac:dyDescent="0.3">
      <c r="A16">
        <f t="shared" si="0"/>
        <v>2004</v>
      </c>
      <c r="B16">
        <f>RCT!D16</f>
        <v>50.57605177993527</v>
      </c>
      <c r="C16">
        <f>CT!D16</f>
        <v>54.798366513527306</v>
      </c>
      <c r="D16">
        <f>META!D16</f>
        <v>59.248554913294797</v>
      </c>
      <c r="E16">
        <f>REVIEW!D16</f>
        <v>56.742556917688269</v>
      </c>
      <c r="F16">
        <f>CCJ!D16</f>
        <v>62.324145030309964</v>
      </c>
      <c r="G16">
        <f>ALL!D16</f>
        <v>52.321500120201932</v>
      </c>
    </row>
    <row r="17" spans="1:7" x14ac:dyDescent="0.3">
      <c r="A17">
        <f t="shared" si="0"/>
        <v>2005</v>
      </c>
      <c r="B17">
        <f>RCT!D17</f>
        <v>50.454122030740564</v>
      </c>
      <c r="C17">
        <f>CT!D17</f>
        <v>55.26137135098439</v>
      </c>
      <c r="D17">
        <f>META!D17</f>
        <v>63.157894736842103</v>
      </c>
      <c r="E17">
        <f>REVIEW!D17</f>
        <v>59.578947368421055</v>
      </c>
      <c r="F17">
        <f>CCJ!D17</f>
        <v>63.350058716771642</v>
      </c>
      <c r="G17">
        <f>ALL!D17</f>
        <v>52.507830444769269</v>
      </c>
    </row>
    <row r="18" spans="1:7" x14ac:dyDescent="0.3">
      <c r="A18">
        <f t="shared" si="0"/>
        <v>2006</v>
      </c>
      <c r="B18">
        <f>RCT!D18</f>
        <v>49.874220715301327</v>
      </c>
      <c r="C18">
        <f>CT!D18</f>
        <v>56.004756242568376</v>
      </c>
      <c r="D18">
        <f>META!D18</f>
        <v>59.454855195911414</v>
      </c>
      <c r="E18">
        <f>REVIEW!D18</f>
        <v>57.305936073059357</v>
      </c>
      <c r="F18">
        <f>CCJ!D18</f>
        <v>62.605456338336808</v>
      </c>
      <c r="G18">
        <f>ALL!D18</f>
        <v>52.890091846682743</v>
      </c>
    </row>
    <row r="19" spans="1:7" x14ac:dyDescent="0.3">
      <c r="A19">
        <f t="shared" si="0"/>
        <v>2007</v>
      </c>
      <c r="B19">
        <f>RCT!D19</f>
        <v>50.169694549810337</v>
      </c>
      <c r="C19">
        <f>CT!D19</f>
        <v>55.714626580768311</v>
      </c>
      <c r="D19">
        <f>META!D19</f>
        <v>64.886515353805081</v>
      </c>
      <c r="E19">
        <f>REVIEW!D19</f>
        <v>56.224899598393577</v>
      </c>
      <c r="F19">
        <f>CCJ!D19</f>
        <v>63.859573551583026</v>
      </c>
      <c r="G19">
        <f>ALL!D19</f>
        <v>53.430769771282016</v>
      </c>
    </row>
    <row r="20" spans="1:7" x14ac:dyDescent="0.3">
      <c r="A20">
        <f t="shared" si="0"/>
        <v>2008</v>
      </c>
      <c r="B20">
        <f>RCT!D20</f>
        <v>51.067718353212776</v>
      </c>
      <c r="C20">
        <f>CT!D20</f>
        <v>55.16628585935517</v>
      </c>
      <c r="D20">
        <f>META!D20</f>
        <v>64.759725400457668</v>
      </c>
      <c r="E20">
        <f>REVIEW!D20</f>
        <v>58.248472505091655</v>
      </c>
      <c r="F20">
        <f>CCJ!D20</f>
        <v>63.948950532644233</v>
      </c>
      <c r="G20">
        <f>ALL!D20</f>
        <v>53.355070664320181</v>
      </c>
    </row>
    <row r="21" spans="1:7" x14ac:dyDescent="0.3">
      <c r="A21">
        <f t="shared" si="0"/>
        <v>2009</v>
      </c>
      <c r="B21">
        <f>RCT!D21</f>
        <v>50.364110401870001</v>
      </c>
      <c r="C21">
        <f>CT!D21</f>
        <v>56.251645169781519</v>
      </c>
      <c r="D21">
        <f>META!D21</f>
        <v>64.588979223125563</v>
      </c>
      <c r="E21">
        <f>REVIEW!D21</f>
        <v>55.882352941176471</v>
      </c>
      <c r="F21">
        <f>CCJ!D21</f>
        <v>62.904777172170569</v>
      </c>
      <c r="G21">
        <f>ALL!D21</f>
        <v>53.447910250325656</v>
      </c>
    </row>
    <row r="22" spans="1:7" x14ac:dyDescent="0.3">
      <c r="A22">
        <f t="shared" si="0"/>
        <v>2010</v>
      </c>
      <c r="B22">
        <f>RCT!D22</f>
        <v>49.605776412980326</v>
      </c>
      <c r="C22">
        <f>CT!D22</f>
        <v>55.051391326146906</v>
      </c>
      <c r="D22">
        <f>META!D22</f>
        <v>62.62002743484225</v>
      </c>
      <c r="E22">
        <f>REVIEW!D22</f>
        <v>59.968354430379748</v>
      </c>
      <c r="F22">
        <f>CCJ!D22</f>
        <v>64.17925278219397</v>
      </c>
      <c r="G22">
        <f>ALL!D22</f>
        <v>53.512662887432818</v>
      </c>
    </row>
    <row r="23" spans="1:7" x14ac:dyDescent="0.3">
      <c r="A23">
        <f t="shared" si="0"/>
        <v>2011</v>
      </c>
      <c r="B23">
        <f>RCT!D23</f>
        <v>50.9543692215926</v>
      </c>
      <c r="C23">
        <f>CT!D23</f>
        <v>55.340223944875113</v>
      </c>
      <c r="D23">
        <f>META!D23</f>
        <v>63.46153846153846</v>
      </c>
      <c r="E23">
        <f>REVIEW!D23</f>
        <v>61.142061281337043</v>
      </c>
      <c r="F23">
        <f>CCJ!D23</f>
        <v>64.571810032424182</v>
      </c>
      <c r="G23">
        <f>ALL!D23</f>
        <v>54.046428748205713</v>
      </c>
    </row>
    <row r="24" spans="1:7" x14ac:dyDescent="0.3">
      <c r="A24">
        <f>A22+2</f>
        <v>2012</v>
      </c>
      <c r="B24">
        <f>RCT!D24</f>
        <v>50.965512568602215</v>
      </c>
      <c r="C24">
        <f>CT!D24</f>
        <v>55.566387209982452</v>
      </c>
      <c r="D24">
        <f>META!D24</f>
        <v>63.522012578616348</v>
      </c>
      <c r="E24">
        <f>REVIEW!D24</f>
        <v>58.412322274881511</v>
      </c>
      <c r="F24">
        <f>CCJ!D24</f>
        <v>65.353068728198366</v>
      </c>
      <c r="G24">
        <f>ALL!D24</f>
        <v>54.205309573321593</v>
      </c>
    </row>
    <row r="25" spans="1:7" x14ac:dyDescent="0.3">
      <c r="A25">
        <f t="shared" si="0"/>
        <v>2013</v>
      </c>
      <c r="B25">
        <f>RCT!D25</f>
        <v>50.675372895461237</v>
      </c>
      <c r="C25">
        <f>CT!D25</f>
        <v>57.085683099872654</v>
      </c>
      <c r="D25">
        <f>META!D25</f>
        <v>65.168539325842701</v>
      </c>
      <c r="E25">
        <f>REVIEW!D25</f>
        <v>56.127703398558182</v>
      </c>
      <c r="F25">
        <f>CCJ!D25</f>
        <v>64.894348050163202</v>
      </c>
      <c r="G25">
        <f>ALL!D25</f>
        <v>54.841202380032449</v>
      </c>
    </row>
    <row r="26" spans="1:7" x14ac:dyDescent="0.3">
      <c r="A26">
        <f t="shared" si="0"/>
        <v>2014</v>
      </c>
      <c r="B26">
        <f>RCT!D26</f>
        <v>50.580017462891355</v>
      </c>
      <c r="C26">
        <f>CT!D26</f>
        <v>57.843328775151392</v>
      </c>
      <c r="D26">
        <f>META!D26</f>
        <v>64.913935392596088</v>
      </c>
      <c r="E26">
        <f>REVIEW!D26</f>
        <v>55.2734375</v>
      </c>
      <c r="F26">
        <f>CCJ!D26</f>
        <v>65.062656641604008</v>
      </c>
      <c r="G26">
        <f>ALL!D26</f>
        <v>55.430075288160438</v>
      </c>
    </row>
    <row r="27" spans="1:7" x14ac:dyDescent="0.3">
      <c r="A27">
        <f t="shared" si="0"/>
        <v>2015</v>
      </c>
      <c r="B27">
        <f>RCT!D27</f>
        <v>50.866443866815203</v>
      </c>
      <c r="C27">
        <f>CT!D27</f>
        <v>58.87455045483393</v>
      </c>
      <c r="D27">
        <f>META!D27</f>
        <v>64.673128480098981</v>
      </c>
      <c r="E27">
        <f>REVIEW!D27</f>
        <v>56.828193832599119</v>
      </c>
      <c r="F27">
        <f>CCJ!D27</f>
        <v>65.826197272438947</v>
      </c>
      <c r="G27">
        <f>ALL!D27</f>
        <v>55.722590463092082</v>
      </c>
    </row>
    <row r="28" spans="1:7" x14ac:dyDescent="0.3">
      <c r="A28">
        <f t="shared" si="0"/>
        <v>2016</v>
      </c>
      <c r="B28">
        <f>RCT!D28</f>
        <v>51.276473222854946</v>
      </c>
      <c r="C28">
        <f>CT!D28</f>
        <v>58.315071828585339</v>
      </c>
      <c r="D28">
        <f>META!D28</f>
        <v>66.772718234241395</v>
      </c>
      <c r="E28">
        <f>REVIEW!D28</f>
        <v>56.992724333063862</v>
      </c>
      <c r="F28">
        <f>CCJ!D28</f>
        <v>65.927124258531705</v>
      </c>
      <c r="G28">
        <f>ALL!D28</f>
        <v>56.111372992677786</v>
      </c>
    </row>
    <row r="29" spans="1:7" x14ac:dyDescent="0.3">
      <c r="A29">
        <f t="shared" si="0"/>
        <v>2017</v>
      </c>
      <c r="B29">
        <f>RCT!D29</f>
        <v>50.869730827831383</v>
      </c>
      <c r="C29">
        <f>CT!D29</f>
        <v>57.782404997397187</v>
      </c>
      <c r="D29">
        <f>META!D29</f>
        <v>65.966463976414218</v>
      </c>
      <c r="E29">
        <f>REVIEW!D29</f>
        <v>54.604200323101779</v>
      </c>
      <c r="F29">
        <f>CCJ!D29</f>
        <v>64.26601784266019</v>
      </c>
      <c r="G29">
        <f>ALL!D29</f>
        <v>55.908217307205057</v>
      </c>
    </row>
    <row r="30" spans="1:7" x14ac:dyDescent="0.3">
      <c r="A30">
        <f t="shared" si="0"/>
        <v>2018</v>
      </c>
      <c r="B30">
        <f>RCT!D30</f>
        <v>51.115882620860177</v>
      </c>
      <c r="C30">
        <f>CT!D30</f>
        <v>58.520648196549921</v>
      </c>
      <c r="D30">
        <f>META!D30</f>
        <v>64.117446227381365</v>
      </c>
      <c r="E30">
        <f>REVIEW!D30</f>
        <v>54.136546184738954</v>
      </c>
      <c r="F30">
        <f>CCJ!D30</f>
        <v>64.159548884650462</v>
      </c>
      <c r="G30">
        <f>ALL!D30</f>
        <v>55.85693710993759</v>
      </c>
    </row>
    <row r="31" spans="1:7" x14ac:dyDescent="0.3">
      <c r="A31">
        <f t="shared" si="0"/>
        <v>2019</v>
      </c>
      <c r="B31">
        <f>RCT!D31</f>
        <v>51.419805470330957</v>
      </c>
      <c r="C31">
        <f>CT!D31</f>
        <v>58.4895695801426</v>
      </c>
      <c r="D31">
        <f>META!D31</f>
        <v>64.798275331074834</v>
      </c>
      <c r="E31">
        <f>REVIEW!D31</f>
        <v>54.656488549618324</v>
      </c>
      <c r="F31">
        <f>CCJ!D31</f>
        <v>64.983960830660138</v>
      </c>
      <c r="G31">
        <f>ALL!D31</f>
        <v>56.220319615037873</v>
      </c>
    </row>
    <row r="32" spans="1:7" x14ac:dyDescent="0.3">
      <c r="A32">
        <f t="shared" si="0"/>
        <v>2020</v>
      </c>
      <c r="B32">
        <f>RCT!D32</f>
        <v>50.951005176357292</v>
      </c>
      <c r="C32">
        <f>CT!D32</f>
        <v>58.589267634154574</v>
      </c>
      <c r="D32">
        <f>META!D32</f>
        <v>65.153452685421996</v>
      </c>
      <c r="E32">
        <f>REVIEW!D32</f>
        <v>51.651090342679126</v>
      </c>
      <c r="F32">
        <f>CCJ!D32</f>
        <v>64.284021799225968</v>
      </c>
      <c r="G32">
        <f>ALL!D32</f>
        <v>56.685378404214205</v>
      </c>
    </row>
    <row r="33" spans="1:7" x14ac:dyDescent="0.3">
      <c r="A33">
        <f t="shared" si="0"/>
        <v>2021</v>
      </c>
      <c r="B33">
        <f>RCT!D33</f>
        <v>50.735336859850023</v>
      </c>
      <c r="C33">
        <f>CT!D33</f>
        <v>58.712942877801879</v>
      </c>
      <c r="D33">
        <f>META!D33</f>
        <v>64.659569749390116</v>
      </c>
      <c r="E33">
        <f>REVIEW!D33</f>
        <v>51.857355126300156</v>
      </c>
      <c r="F33">
        <f>CCJ!D33</f>
        <v>64.861210530501864</v>
      </c>
      <c r="G33">
        <f>ALL!D33</f>
        <v>57.390777158879928</v>
      </c>
    </row>
    <row r="34" spans="1:7" x14ac:dyDescent="0.3">
      <c r="A34">
        <f t="shared" si="0"/>
        <v>2022</v>
      </c>
      <c r="B34">
        <f>RCT!D34</f>
        <v>50.678130297892956</v>
      </c>
      <c r="C34">
        <f>CT!D34</f>
        <v>61.016949152542374</v>
      </c>
      <c r="D34">
        <f>META!D34</f>
        <v>64.348290598290603</v>
      </c>
      <c r="E34">
        <f>REVIEW!D34</f>
        <v>55.039370078740156</v>
      </c>
      <c r="F34">
        <f>CCJ!D34</f>
        <v>64.801627670396741</v>
      </c>
      <c r="G34">
        <f>ALL!D34</f>
        <v>56.978351448374617</v>
      </c>
    </row>
    <row r="35" spans="1:7" x14ac:dyDescent="0.3">
      <c r="A35">
        <f t="shared" si="0"/>
        <v>2023</v>
      </c>
      <c r="B35">
        <f>RCT!D35</f>
        <v>51.980062815785878</v>
      </c>
      <c r="C35">
        <f>CT!D35</f>
        <v>59.017375674056318</v>
      </c>
      <c r="D35">
        <f>META!D35</f>
        <v>64.16694196674375</v>
      </c>
      <c r="E35">
        <f>REVIEW!D35</f>
        <v>56.827473426001639</v>
      </c>
      <c r="F35">
        <f>CCJ!D35</f>
        <v>64.899384360929886</v>
      </c>
      <c r="G35">
        <f>ALL!D35</f>
        <v>57.570232047233283</v>
      </c>
    </row>
    <row r="36" spans="1:7" x14ac:dyDescent="0.3">
      <c r="A36">
        <f t="shared" si="0"/>
        <v>2024</v>
      </c>
      <c r="B36">
        <f>RCT!D36</f>
        <v>52.484092021536952</v>
      </c>
      <c r="C36">
        <f>CT!D36</f>
        <v>58.580738595220851</v>
      </c>
      <c r="D36">
        <f>META!D36</f>
        <v>63.253322344699704</v>
      </c>
      <c r="E36">
        <f>REVIEW!D36</f>
        <v>56.685714285714283</v>
      </c>
      <c r="F36">
        <f>CCJ!D36</f>
        <v>63.933307332293289</v>
      </c>
      <c r="G36">
        <f>ALL!D36</f>
        <v>57.276227705318774</v>
      </c>
    </row>
    <row r="37" spans="1:7" x14ac:dyDescent="0.3">
      <c r="A37">
        <v>2025</v>
      </c>
      <c r="B37">
        <f>RCT!D37</f>
        <v>52.772153119274904</v>
      </c>
      <c r="C37">
        <f>CT!D37</f>
        <v>60.31567080045096</v>
      </c>
      <c r="D37">
        <f>META!D37</f>
        <v>61.920260374288041</v>
      </c>
      <c r="E37">
        <f>REVIEW!D37</f>
        <v>52.291421856639253</v>
      </c>
      <c r="F37">
        <f>CCJ!D37</f>
        <v>63.697303739013854</v>
      </c>
      <c r="G37">
        <f>ALL!D37</f>
        <v>57.850175999007583</v>
      </c>
    </row>
    <row r="38" spans="1:7" x14ac:dyDescent="0.3">
      <c r="A38" t="s">
        <v>9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7</v>
      </c>
      <c r="B39">
        <f>RCT!D39</f>
        <v>52.772153119274904</v>
      </c>
      <c r="C39">
        <f>CT!D39</f>
        <v>61.016949152542374</v>
      </c>
      <c r="D39">
        <f>META!D39</f>
        <v>68.181818181818173</v>
      </c>
      <c r="E39">
        <f>REVIEW!D39</f>
        <v>61.142061281337043</v>
      </c>
      <c r="F39">
        <f>CCJ!D39</f>
        <v>65.927124258531705</v>
      </c>
      <c r="G39">
        <f>ALL!D39</f>
        <v>57.850175999007583</v>
      </c>
    </row>
    <row r="40" spans="1:7" x14ac:dyDescent="0.3">
      <c r="A40" t="s">
        <v>8</v>
      </c>
      <c r="B40">
        <f>RCT!D40</f>
        <v>43.70023419203747</v>
      </c>
      <c r="C40">
        <f>CT!D40</f>
        <v>49.674054758800523</v>
      </c>
      <c r="D40">
        <f>META!D40</f>
        <v>53.125</v>
      </c>
      <c r="E40">
        <f>REVIEW!D40</f>
        <v>49.769585253456221</v>
      </c>
      <c r="F40">
        <f>CCJ!D40</f>
        <v>55.074394847879191</v>
      </c>
      <c r="G40">
        <f>ALL!D40</f>
        <v>48.330117899249728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9" zoomScale="85" zoomScaleNormal="85" workbookViewId="0">
      <selection activeCell="V34" sqref="V34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J2">
        <f>NEWagg!L2</f>
        <v>43.70023419203747</v>
      </c>
      <c r="K2">
        <f>NEWagg!M2</f>
        <v>44.970414201183431</v>
      </c>
      <c r="L2">
        <f>NEWagg!N2</f>
        <v>45.630372492836671</v>
      </c>
      <c r="M2">
        <f>NEWagg!O2</f>
        <v>47.247852370346806</v>
      </c>
      <c r="N2">
        <f>NEWagg!P2</f>
        <v>45.669714900484131</v>
      </c>
      <c r="O2">
        <f>NEWagg!Q2</f>
        <v>47.10526315789474</v>
      </c>
      <c r="P2">
        <f>NEWagg!R2</f>
        <v>49.592169657422517</v>
      </c>
      <c r="Q2">
        <f>NEWagg!S2</f>
        <v>49.846558526961857</v>
      </c>
      <c r="R2">
        <f>NEWagg!T2</f>
        <v>49.012751953928422</v>
      </c>
      <c r="S2">
        <f>NEWagg!U2</f>
        <v>51.83051477420554</v>
      </c>
      <c r="T2">
        <f>NEWagg!V2</f>
        <v>51.959665144596656</v>
      </c>
      <c r="U2">
        <f>NEWagg!W2</f>
        <v>50.18283127285391</v>
      </c>
      <c r="V2">
        <f>NEWagg!X2</f>
        <v>50.660501981505945</v>
      </c>
      <c r="W2">
        <f>NEWagg!Y2</f>
        <v>50.391077636152957</v>
      </c>
      <c r="X2">
        <f>NEWagg!Z2</f>
        <v>50.57605177993527</v>
      </c>
      <c r="Y2">
        <f>NEWagg!AA2</f>
        <v>50.454122030740564</v>
      </c>
      <c r="Z2">
        <f>NEWagg!AB2</f>
        <v>49.874220715301327</v>
      </c>
      <c r="AA2">
        <f>NEWagg!AC2</f>
        <v>50.169694549810337</v>
      </c>
      <c r="AB2">
        <f>NEWagg!AD2</f>
        <v>51.067718353212776</v>
      </c>
      <c r="AC2">
        <f>NEWagg!AE2</f>
        <v>50.364110401870001</v>
      </c>
      <c r="AD2">
        <f>NEWagg!AF2</f>
        <v>49.605776412980326</v>
      </c>
      <c r="AE2">
        <f>NEWagg!AG2</f>
        <v>50.9543692215926</v>
      </c>
      <c r="AF2">
        <f>NEWagg!AH2</f>
        <v>50.965512568602215</v>
      </c>
      <c r="AG2">
        <f>NEWagg!AI2</f>
        <v>50.675372895461237</v>
      </c>
      <c r="AH2">
        <f>NEWagg!AJ2</f>
        <v>50.580017462891355</v>
      </c>
      <c r="AI2">
        <f>NEWagg!AK2</f>
        <v>50.866443866815203</v>
      </c>
      <c r="AJ2">
        <f>NEWagg!AL2</f>
        <v>51.276473222854946</v>
      </c>
      <c r="AK2">
        <f>NEWagg!AM2</f>
        <v>50.869730827831383</v>
      </c>
      <c r="AL2">
        <f>NEWagg!AN2</f>
        <v>51.115882620860177</v>
      </c>
      <c r="AM2">
        <f>NEWagg!AO2</f>
        <v>51.419805470330957</v>
      </c>
      <c r="AN2">
        <f>NEWagg!AP2</f>
        <v>50.951005176357292</v>
      </c>
      <c r="AO2">
        <f>NEWagg!AQ2</f>
        <v>50.735336859850023</v>
      </c>
      <c r="AP2">
        <f>NEWagg!AR2</f>
        <v>50.678130297892956</v>
      </c>
      <c r="AQ2">
        <f>NEWagg!AS2</f>
        <v>51.980062815785878</v>
      </c>
      <c r="AR2">
        <f>NEWagg!AT2</f>
        <v>52.484092021536952</v>
      </c>
      <c r="AS2">
        <f>NEWagg!AU2</f>
        <v>52.772153119274904</v>
      </c>
    </row>
    <row r="3" spans="9:45" x14ac:dyDescent="0.3">
      <c r="I3" t="str">
        <f>NEWagg!K3</f>
        <v>Clinical trial</v>
      </c>
      <c r="J3">
        <f>NEWagg!L3</f>
        <v>49.674054758800523</v>
      </c>
      <c r="K3">
        <f>NEWagg!M3</f>
        <v>52.721088435374156</v>
      </c>
      <c r="L3">
        <f>NEWagg!N3</f>
        <v>51.304347826086961</v>
      </c>
      <c r="M3">
        <f>NEWagg!O3</f>
        <v>52.828054298642535</v>
      </c>
      <c r="N3">
        <f>NEWagg!P3</f>
        <v>51.595259799453054</v>
      </c>
      <c r="O3">
        <f>NEWagg!Q3</f>
        <v>52.401372212692962</v>
      </c>
      <c r="P3">
        <f>NEWagg!R3</f>
        <v>52.78745644599303</v>
      </c>
      <c r="Q3">
        <f>NEWagg!S3</f>
        <v>53.854918344094195</v>
      </c>
      <c r="R3">
        <f>NEWagg!T3</f>
        <v>53.773240977032444</v>
      </c>
      <c r="S3">
        <f>NEWagg!U3</f>
        <v>55.573147561747938</v>
      </c>
      <c r="T3">
        <f>NEWagg!V3</f>
        <v>57.551274083281548</v>
      </c>
      <c r="U3">
        <f>NEWagg!W3</f>
        <v>55.909943714821765</v>
      </c>
      <c r="V3">
        <f>NEWagg!X3</f>
        <v>55.805114029025574</v>
      </c>
      <c r="W3">
        <f>NEWagg!Y3</f>
        <v>55.896032831737344</v>
      </c>
      <c r="X3">
        <f>NEWagg!Z3</f>
        <v>54.798366513527306</v>
      </c>
      <c r="Y3">
        <f>NEWagg!AA3</f>
        <v>55.26137135098439</v>
      </c>
      <c r="Z3">
        <f>NEWagg!AB3</f>
        <v>56.004756242568376</v>
      </c>
      <c r="AA3">
        <f>NEWagg!AC3</f>
        <v>55.714626580768311</v>
      </c>
      <c r="AB3">
        <f>NEWagg!AD3</f>
        <v>55.16628585935517</v>
      </c>
      <c r="AC3">
        <f>NEWagg!AE3</f>
        <v>56.251645169781519</v>
      </c>
      <c r="AD3">
        <f>NEWagg!AF3</f>
        <v>55.051391326146906</v>
      </c>
      <c r="AE3">
        <f>NEWagg!AG3</f>
        <v>55.340223944875113</v>
      </c>
      <c r="AF3">
        <f>NEWagg!AH3</f>
        <v>55.566387209982452</v>
      </c>
      <c r="AG3">
        <f>NEWagg!AI3</f>
        <v>57.085683099872654</v>
      </c>
      <c r="AH3">
        <f>NEWagg!AJ3</f>
        <v>57.843328775151392</v>
      </c>
      <c r="AI3">
        <f>NEWagg!AK3</f>
        <v>58.87455045483393</v>
      </c>
      <c r="AJ3">
        <f>NEWagg!AL3</f>
        <v>58.315071828585339</v>
      </c>
      <c r="AK3">
        <f>NEWagg!AM3</f>
        <v>57.782404997397187</v>
      </c>
      <c r="AL3">
        <f>NEWagg!AN3</f>
        <v>58.520648196549921</v>
      </c>
      <c r="AM3">
        <f>NEWagg!AO3</f>
        <v>58.4895695801426</v>
      </c>
      <c r="AN3">
        <f>NEWagg!AP3</f>
        <v>58.589267634154574</v>
      </c>
      <c r="AO3">
        <f>NEWagg!AQ3</f>
        <v>58.712942877801879</v>
      </c>
      <c r="AP3">
        <f>NEWagg!AR3</f>
        <v>61.016949152542374</v>
      </c>
      <c r="AQ3">
        <f>NEWagg!AS3</f>
        <v>59.017375674056318</v>
      </c>
      <c r="AR3">
        <f>NEWagg!AT3</f>
        <v>58.580738595220851</v>
      </c>
      <c r="AS3">
        <f>NEWagg!AU3</f>
        <v>60.31567080045096</v>
      </c>
    </row>
    <row r="4" spans="9:45" x14ac:dyDescent="0.3">
      <c r="I4" t="str">
        <f>NEWagg!K4</f>
        <v>Meta-analysis</v>
      </c>
      <c r="J4">
        <f>NEWagg!L4</f>
        <v>60</v>
      </c>
      <c r="K4">
        <f>NEWagg!M4</f>
        <v>54.054054054054056</v>
      </c>
      <c r="L4">
        <f>NEWagg!N4</f>
        <v>68.181818181818173</v>
      </c>
      <c r="M4">
        <f>NEWagg!O4</f>
        <v>59.016393442622949</v>
      </c>
      <c r="N4">
        <f>NEWagg!P4</f>
        <v>64.615384615384613</v>
      </c>
      <c r="O4">
        <f>NEWagg!Q4</f>
        <v>56.666666666666664</v>
      </c>
      <c r="P4">
        <f>NEWagg!R4</f>
        <v>53.125</v>
      </c>
      <c r="Q4">
        <f>NEWagg!S4</f>
        <v>61.157024793388423</v>
      </c>
      <c r="R4">
        <f>NEWagg!T4</f>
        <v>63.793103448275865</v>
      </c>
      <c r="S4">
        <f>NEWagg!U4</f>
        <v>65.116279069767444</v>
      </c>
      <c r="T4">
        <f>NEWagg!V4</f>
        <v>66.666666666666657</v>
      </c>
      <c r="U4">
        <f>NEWagg!W4</f>
        <v>61.676646706586823</v>
      </c>
      <c r="V4">
        <f>NEWagg!X4</f>
        <v>61.502347417840376</v>
      </c>
      <c r="W4">
        <f>NEWagg!Y4</f>
        <v>57.777777777777771</v>
      </c>
      <c r="X4">
        <f>NEWagg!Z4</f>
        <v>59.248554913294797</v>
      </c>
      <c r="Y4">
        <f>NEWagg!AA4</f>
        <v>63.157894736842103</v>
      </c>
      <c r="Z4">
        <f>NEWagg!AB4</f>
        <v>59.454855195911414</v>
      </c>
      <c r="AA4">
        <f>NEWagg!AC4</f>
        <v>64.886515353805081</v>
      </c>
      <c r="AB4">
        <f>NEWagg!AD4</f>
        <v>64.759725400457668</v>
      </c>
      <c r="AC4">
        <f>NEWagg!AE4</f>
        <v>64.588979223125563</v>
      </c>
      <c r="AD4">
        <f>NEWagg!AF4</f>
        <v>62.62002743484225</v>
      </c>
      <c r="AE4">
        <f>NEWagg!AG4</f>
        <v>63.46153846153846</v>
      </c>
      <c r="AF4">
        <f>NEWagg!AH4</f>
        <v>63.522012578616348</v>
      </c>
      <c r="AG4">
        <f>NEWagg!AI4</f>
        <v>65.168539325842701</v>
      </c>
      <c r="AH4">
        <f>NEWagg!AJ4</f>
        <v>64.913935392596088</v>
      </c>
      <c r="AI4">
        <f>NEWagg!AK4</f>
        <v>64.673128480098981</v>
      </c>
      <c r="AJ4">
        <f>NEWagg!AL4</f>
        <v>66.772718234241395</v>
      </c>
      <c r="AK4">
        <f>NEWagg!AM4</f>
        <v>65.966463976414218</v>
      </c>
      <c r="AL4">
        <f>NEWagg!AN4</f>
        <v>64.117446227381365</v>
      </c>
      <c r="AM4">
        <f>NEWagg!AO4</f>
        <v>64.798275331074834</v>
      </c>
      <c r="AN4">
        <f>NEWagg!AP4</f>
        <v>65.153452685421996</v>
      </c>
      <c r="AO4">
        <f>NEWagg!AQ4</f>
        <v>64.659569749390116</v>
      </c>
      <c r="AP4">
        <f>NEWagg!AR4</f>
        <v>64.348290598290603</v>
      </c>
      <c r="AQ4">
        <f>NEWagg!AS4</f>
        <v>64.16694196674375</v>
      </c>
      <c r="AR4">
        <f>NEWagg!AT4</f>
        <v>63.253322344699704</v>
      </c>
      <c r="AS4">
        <f>NEWagg!AU4</f>
        <v>61.920260374288041</v>
      </c>
    </row>
    <row r="5" spans="9:45" x14ac:dyDescent="0.3">
      <c r="I5" t="str">
        <f>NEWagg!K5</f>
        <v>Review</v>
      </c>
      <c r="J5">
        <f>NEWagg!L5</f>
        <v>51.612903225806448</v>
      </c>
      <c r="K5">
        <f>NEWagg!M5</f>
        <v>55.555555555555557</v>
      </c>
      <c r="L5">
        <f>NEWagg!N5</f>
        <v>55.217391304347828</v>
      </c>
      <c r="M5">
        <f>NEWagg!O5</f>
        <v>49.769585253456221</v>
      </c>
      <c r="N5">
        <f>NEWagg!P5</f>
        <v>55.76036866359447</v>
      </c>
      <c r="O5">
        <f>NEWagg!Q5</f>
        <v>53.903345724907062</v>
      </c>
      <c r="P5">
        <f>NEWagg!R5</f>
        <v>54.374999999999993</v>
      </c>
      <c r="Q5">
        <f>NEWagg!S5</f>
        <v>52.698412698412703</v>
      </c>
      <c r="R5">
        <f>NEWagg!T5</f>
        <v>56.351791530944631</v>
      </c>
      <c r="S5">
        <f>NEWagg!U5</f>
        <v>55.000000000000007</v>
      </c>
      <c r="T5">
        <f>NEWagg!V5</f>
        <v>54.421768707482997</v>
      </c>
      <c r="U5">
        <f>NEWagg!W5</f>
        <v>52.411575562700961</v>
      </c>
      <c r="V5">
        <f>NEWagg!X5</f>
        <v>54.624277456647398</v>
      </c>
      <c r="W5">
        <f>NEWagg!Y5</f>
        <v>53.543307086614178</v>
      </c>
      <c r="X5">
        <f>NEWagg!Z5</f>
        <v>56.742556917688269</v>
      </c>
      <c r="Y5">
        <f>NEWagg!AA5</f>
        <v>59.578947368421055</v>
      </c>
      <c r="Z5">
        <f>NEWagg!AB5</f>
        <v>57.305936073059357</v>
      </c>
      <c r="AA5">
        <f>NEWagg!AC5</f>
        <v>56.224899598393577</v>
      </c>
      <c r="AB5">
        <f>NEWagg!AD5</f>
        <v>58.248472505091655</v>
      </c>
      <c r="AC5">
        <f>NEWagg!AE5</f>
        <v>55.882352941176471</v>
      </c>
      <c r="AD5">
        <f>NEWagg!AF5</f>
        <v>59.968354430379748</v>
      </c>
      <c r="AE5">
        <f>NEWagg!AG5</f>
        <v>61.142061281337043</v>
      </c>
      <c r="AF5">
        <f>NEWagg!AH5</f>
        <v>58.412322274881511</v>
      </c>
      <c r="AG5">
        <f>NEWagg!AI5</f>
        <v>56.127703398558182</v>
      </c>
      <c r="AH5">
        <f>NEWagg!AJ5</f>
        <v>55.2734375</v>
      </c>
      <c r="AI5">
        <f>NEWagg!AK5</f>
        <v>56.828193832599119</v>
      </c>
      <c r="AJ5">
        <f>NEWagg!AL5</f>
        <v>56.992724333063862</v>
      </c>
      <c r="AK5">
        <f>NEWagg!AM5</f>
        <v>54.604200323101779</v>
      </c>
      <c r="AL5">
        <f>NEWagg!AN5</f>
        <v>54.136546184738954</v>
      </c>
      <c r="AM5">
        <f>NEWagg!AO5</f>
        <v>54.656488549618324</v>
      </c>
      <c r="AN5">
        <f>NEWagg!AP5</f>
        <v>51.651090342679126</v>
      </c>
      <c r="AO5">
        <f>NEWagg!AQ5</f>
        <v>51.857355126300156</v>
      </c>
      <c r="AP5">
        <f>NEWagg!AR5</f>
        <v>55.039370078740156</v>
      </c>
      <c r="AQ5">
        <f>NEWagg!AS5</f>
        <v>56.827473426001639</v>
      </c>
      <c r="AR5">
        <f>NEWagg!AT5</f>
        <v>56.685714285714283</v>
      </c>
      <c r="AS5">
        <f>NEWagg!AU5</f>
        <v>52.291421856639253</v>
      </c>
    </row>
    <row r="6" spans="9:45" x14ac:dyDescent="0.3">
      <c r="I6" t="str">
        <f>NEWagg!K6</f>
        <v>Core clinical journal</v>
      </c>
      <c r="J6">
        <f>NEWagg!L6</f>
        <v>55.074394847879191</v>
      </c>
      <c r="K6">
        <f>NEWagg!M6</f>
        <v>55.775510204081634</v>
      </c>
      <c r="L6">
        <f>NEWagg!N6</f>
        <v>56.458980449479256</v>
      </c>
      <c r="M6">
        <f>NEWagg!O6</f>
        <v>57.204412271630467</v>
      </c>
      <c r="N6">
        <f>NEWagg!P6</f>
        <v>57.475031210986273</v>
      </c>
      <c r="O6">
        <f>NEWagg!Q6</f>
        <v>57.449985070170193</v>
      </c>
      <c r="P6">
        <f>NEWagg!R6</f>
        <v>57.275631716526284</v>
      </c>
      <c r="Q6">
        <f>NEWagg!S6</f>
        <v>58.554385964912278</v>
      </c>
      <c r="R6">
        <f>NEWagg!T6</f>
        <v>59.461732548359969</v>
      </c>
      <c r="S6">
        <f>NEWagg!U6</f>
        <v>61.269028694597871</v>
      </c>
      <c r="T6">
        <f>NEWagg!V6</f>
        <v>63.570550471247103</v>
      </c>
      <c r="U6">
        <f>NEWagg!W6</f>
        <v>61.252160042536218</v>
      </c>
      <c r="V6">
        <f>NEWagg!X6</f>
        <v>60.983025082341015</v>
      </c>
      <c r="W6">
        <f>NEWagg!Y6</f>
        <v>61.594115519112499</v>
      </c>
      <c r="X6">
        <f>NEWagg!Z6</f>
        <v>62.324145030309964</v>
      </c>
      <c r="Y6">
        <f>NEWagg!AA6</f>
        <v>63.350058716771642</v>
      </c>
      <c r="Z6">
        <f>NEWagg!AB6</f>
        <v>62.605456338336808</v>
      </c>
      <c r="AA6">
        <f>NEWagg!AC6</f>
        <v>63.859573551583026</v>
      </c>
      <c r="AB6">
        <f>NEWagg!AD6</f>
        <v>63.948950532644233</v>
      </c>
      <c r="AC6">
        <f>NEWagg!AE6</f>
        <v>62.904777172170569</v>
      </c>
      <c r="AD6">
        <f>NEWagg!AF6</f>
        <v>64.17925278219397</v>
      </c>
      <c r="AE6">
        <f>NEWagg!AG6</f>
        <v>64.571810032424182</v>
      </c>
      <c r="AF6">
        <f>NEWagg!AH6</f>
        <v>65.353068728198366</v>
      </c>
      <c r="AG6">
        <f>NEWagg!AI6</f>
        <v>64.894348050163202</v>
      </c>
      <c r="AH6">
        <f>NEWagg!AJ6</f>
        <v>65.062656641604008</v>
      </c>
      <c r="AI6">
        <f>NEWagg!AK6</f>
        <v>65.826197272438947</v>
      </c>
      <c r="AJ6">
        <f>NEWagg!AL6</f>
        <v>65.927124258531705</v>
      </c>
      <c r="AK6">
        <f>NEWagg!AM6</f>
        <v>64.26601784266019</v>
      </c>
      <c r="AL6">
        <f>NEWagg!AN6</f>
        <v>64.159548884650462</v>
      </c>
      <c r="AM6">
        <f>NEWagg!AO6</f>
        <v>64.983960830660138</v>
      </c>
      <c r="AN6">
        <f>NEWagg!AP6</f>
        <v>64.284021799225968</v>
      </c>
      <c r="AO6">
        <f>NEWagg!AQ6</f>
        <v>64.861210530501864</v>
      </c>
      <c r="AP6">
        <f>NEWagg!AR6</f>
        <v>64.801627670396741</v>
      </c>
      <c r="AQ6">
        <f>NEWagg!AS6</f>
        <v>64.899384360929886</v>
      </c>
      <c r="AR6">
        <f>NEWagg!AT6</f>
        <v>63.933307332293289</v>
      </c>
      <c r="AS6">
        <f>NEWagg!AU6</f>
        <v>63.697303739013854</v>
      </c>
    </row>
    <row r="7" spans="9:45" x14ac:dyDescent="0.3">
      <c r="I7" t="str">
        <f>NEWagg!K7</f>
        <v>All MEDLINE</v>
      </c>
      <c r="J7">
        <f>NEWagg!L7</f>
        <v>48.442760942760941</v>
      </c>
      <c r="K7">
        <f>NEWagg!M7</f>
        <v>48.330117899249728</v>
      </c>
      <c r="L7">
        <f>NEWagg!N7</f>
        <v>49.186123305232897</v>
      </c>
      <c r="M7">
        <f>NEWagg!O7</f>
        <v>50.094666523773803</v>
      </c>
      <c r="N7">
        <f>NEWagg!P7</f>
        <v>50.326387973097717</v>
      </c>
      <c r="O7">
        <f>NEWagg!Q7</f>
        <v>50.421549231471616</v>
      </c>
      <c r="P7">
        <f>NEWagg!R7</f>
        <v>51.182351108719658</v>
      </c>
      <c r="Q7">
        <f>NEWagg!S7</f>
        <v>51.958746402302523</v>
      </c>
      <c r="R7">
        <f>NEWagg!T7</f>
        <v>52.01203174763662</v>
      </c>
      <c r="S7">
        <f>NEWagg!U7</f>
        <v>53.573290365385532</v>
      </c>
      <c r="T7">
        <f>NEWagg!V7</f>
        <v>54.30615489439019</v>
      </c>
      <c r="U7">
        <f>NEWagg!W7</f>
        <v>52.385001275401756</v>
      </c>
      <c r="V7">
        <f>NEWagg!X7</f>
        <v>52.303646286482639</v>
      </c>
      <c r="W7">
        <f>NEWagg!Y7</f>
        <v>52.035966374632004</v>
      </c>
      <c r="X7">
        <f>NEWagg!Z7</f>
        <v>52.321500120201932</v>
      </c>
      <c r="Y7">
        <f>NEWagg!AA7</f>
        <v>52.507830444769269</v>
      </c>
      <c r="Z7">
        <f>NEWagg!AB7</f>
        <v>52.890091846682743</v>
      </c>
      <c r="AA7">
        <f>NEWagg!AC7</f>
        <v>53.430769771282016</v>
      </c>
      <c r="AB7">
        <f>NEWagg!AD7</f>
        <v>53.355070664320181</v>
      </c>
      <c r="AC7">
        <f>NEWagg!AE7</f>
        <v>53.447910250325656</v>
      </c>
      <c r="AD7">
        <f>NEWagg!AF7</f>
        <v>53.512662887432818</v>
      </c>
      <c r="AE7">
        <f>NEWagg!AG7</f>
        <v>54.046428748205713</v>
      </c>
      <c r="AF7">
        <f>NEWagg!AH7</f>
        <v>54.205309573321593</v>
      </c>
      <c r="AG7">
        <f>NEWagg!AI7</f>
        <v>54.841202380032449</v>
      </c>
      <c r="AH7">
        <f>NEWagg!AJ7</f>
        <v>55.430075288160438</v>
      </c>
      <c r="AI7">
        <f>NEWagg!AK7</f>
        <v>55.722590463092082</v>
      </c>
      <c r="AJ7">
        <f>NEWagg!AL7</f>
        <v>56.111372992677786</v>
      </c>
      <c r="AK7">
        <f>NEWagg!AM7</f>
        <v>55.908217307205057</v>
      </c>
      <c r="AL7">
        <f>NEWagg!AN7</f>
        <v>55.85693710993759</v>
      </c>
      <c r="AM7">
        <f>NEWagg!AO7</f>
        <v>56.220319615037873</v>
      </c>
      <c r="AN7">
        <f>NEWagg!AP7</f>
        <v>56.685378404214205</v>
      </c>
      <c r="AO7">
        <f>NEWagg!AQ7</f>
        <v>57.390777158879928</v>
      </c>
      <c r="AP7">
        <f>NEWagg!AR7</f>
        <v>56.978351448374617</v>
      </c>
      <c r="AQ7">
        <f>NEWagg!AS7</f>
        <v>57.570232047233283</v>
      </c>
      <c r="AR7">
        <f>NEWagg!AT7</f>
        <v>57.276227705318774</v>
      </c>
      <c r="AS7">
        <f>NEWagg!AU7</f>
        <v>57.850175999007583</v>
      </c>
    </row>
    <row r="8" spans="9:45" x14ac:dyDescent="0.3">
      <c r="I8" t="str">
        <f>NEWagg!K8</f>
        <v>Observational study</v>
      </c>
      <c r="AF8">
        <f>NEWagg!AH8</f>
        <v>68.686868686868678</v>
      </c>
      <c r="AG8">
        <f>NEWagg!AI8</f>
        <v>64.158487822609956</v>
      </c>
      <c r="AH8">
        <f>NEWagg!AJ8</f>
        <v>65.08750220965176</v>
      </c>
      <c r="AI8">
        <f>NEWagg!AK8</f>
        <v>64.391223289832212</v>
      </c>
      <c r="AJ8">
        <f>NEWagg!AL8</f>
        <v>65.012787723785166</v>
      </c>
      <c r="AK8">
        <f>NEWagg!AM8</f>
        <v>64.718943554984222</v>
      </c>
      <c r="AL8">
        <f>NEWagg!AN8</f>
        <v>63.658824793210869</v>
      </c>
      <c r="AM8">
        <f>NEWagg!AO8</f>
        <v>63.402317061095161</v>
      </c>
      <c r="AN8">
        <f>NEWagg!AP8</f>
        <v>63.829787234042556</v>
      </c>
      <c r="AO8">
        <f>NEWagg!AQ8</f>
        <v>64.944121591417087</v>
      </c>
      <c r="AP8">
        <f>NEWagg!AR8</f>
        <v>64.544419134396364</v>
      </c>
      <c r="AQ8">
        <f>NEWagg!AS8</f>
        <v>64.035863114029539</v>
      </c>
      <c r="AR8">
        <f>NEWagg!AT8</f>
        <v>62.862083873757022</v>
      </c>
      <c r="AS8">
        <f>NEWagg!AU8</f>
        <v>64.419934640522882</v>
      </c>
    </row>
    <row r="9" spans="9:45" x14ac:dyDescent="0.3">
      <c r="I9" t="str">
        <f>NEWagg!K9</f>
        <v>Systematic review</v>
      </c>
      <c r="W9">
        <f>NEWagg!Y9</f>
        <v>60.294117647058819</v>
      </c>
      <c r="X9">
        <f>NEWagg!Z9</f>
        <v>53.529411764705884</v>
      </c>
      <c r="Y9">
        <f>NEWagg!AA9</f>
        <v>63.20754716981132</v>
      </c>
      <c r="Z9">
        <f>NEWagg!AB9</f>
        <v>55.390334572490708</v>
      </c>
      <c r="AA9">
        <f>NEWagg!AC9</f>
        <v>61.096605744125334</v>
      </c>
      <c r="AB9">
        <f>NEWagg!AD9</f>
        <v>61.96868008948546</v>
      </c>
      <c r="AC9">
        <f>NEWagg!AE9</f>
        <v>59.683098591549296</v>
      </c>
      <c r="AD9">
        <f>NEWagg!AF9</f>
        <v>60.724233983286915</v>
      </c>
      <c r="AE9">
        <f>NEWagg!AG9</f>
        <v>61.771300448430488</v>
      </c>
      <c r="AF9">
        <f>NEWagg!AH9</f>
        <v>61.937984496124031</v>
      </c>
      <c r="AG9">
        <f>NEWagg!AI9</f>
        <v>62.659698025551677</v>
      </c>
      <c r="AH9">
        <f>NEWagg!AJ9</f>
        <v>63.073286052009458</v>
      </c>
      <c r="AI9">
        <f>NEWagg!AK9</f>
        <v>63.602391629297458</v>
      </c>
      <c r="AJ9">
        <f>NEWagg!AL9</f>
        <v>64.827127659574472</v>
      </c>
      <c r="AK9">
        <f>NEWagg!AM9</f>
        <v>64.189189189189193</v>
      </c>
      <c r="AL9">
        <f>NEWagg!AN9</f>
        <v>62.720763723150363</v>
      </c>
      <c r="AM9">
        <f>NEWagg!AO9</f>
        <v>64.361394721633587</v>
      </c>
      <c r="AN9">
        <f>NEWagg!AP9</f>
        <v>64.144115796098177</v>
      </c>
      <c r="AO9">
        <f>NEWagg!AQ9</f>
        <v>63.639973527465251</v>
      </c>
      <c r="AP9">
        <f>NEWagg!AR9</f>
        <v>63.963730569948183</v>
      </c>
      <c r="AQ9">
        <f>NEWagg!AS9</f>
        <v>63.345242821225355</v>
      </c>
      <c r="AR9">
        <f>NEWagg!AT9</f>
        <v>62.256218614971395</v>
      </c>
      <c r="AS9">
        <f>NEWagg!AU9</f>
        <v>61.140876142451937</v>
      </c>
    </row>
    <row r="12" spans="9:45" x14ac:dyDescent="0.3">
      <c r="W12" t="s">
        <v>13</v>
      </c>
    </row>
    <row r="47" spans="12:12" ht="18" customHeight="1" x14ac:dyDescent="0.3">
      <c r="L47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="40" zoomScaleNormal="40" workbookViewId="0">
      <selection activeCell="K1" sqref="K1:AU9"/>
    </sheetView>
  </sheetViews>
  <sheetFormatPr defaultRowHeight="17.25" x14ac:dyDescent="0.3"/>
  <sheetData>
    <row r="1" spans="1:47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43.70023419203747</v>
      </c>
      <c r="C2">
        <f>CT!D2</f>
        <v>49.674054758800523</v>
      </c>
      <c r="D2">
        <f>META!D2</f>
        <v>60</v>
      </c>
      <c r="E2">
        <f>REVIEW!D2</f>
        <v>51.612903225806448</v>
      </c>
      <c r="F2">
        <f>CCJ!D2</f>
        <v>55.074394847879191</v>
      </c>
      <c r="G2">
        <f>ALL!D2</f>
        <v>48.442760942760941</v>
      </c>
      <c r="H2" t="e">
        <f>OBS!D2</f>
        <v>#DIV/0!</v>
      </c>
      <c r="I2" t="e">
        <f>SYSREV!D2</f>
        <v>#DIV/0!</v>
      </c>
      <c r="K2" t="str">
        <v>Randomized controlled trial</v>
      </c>
      <c r="L2">
        <v>43.70023419203747</v>
      </c>
      <c r="M2">
        <v>44.970414201183431</v>
      </c>
      <c r="N2">
        <v>45.630372492836671</v>
      </c>
      <c r="O2">
        <v>47.247852370346806</v>
      </c>
      <c r="P2">
        <v>45.669714900484131</v>
      </c>
      <c r="Q2">
        <v>47.10526315789474</v>
      </c>
      <c r="R2">
        <v>49.592169657422517</v>
      </c>
      <c r="S2">
        <v>49.846558526961857</v>
      </c>
      <c r="T2">
        <v>49.012751953928422</v>
      </c>
      <c r="U2">
        <v>51.83051477420554</v>
      </c>
      <c r="V2">
        <v>51.959665144596656</v>
      </c>
      <c r="W2">
        <v>50.18283127285391</v>
      </c>
      <c r="X2">
        <v>50.660501981505945</v>
      </c>
      <c r="Y2">
        <v>50.391077636152957</v>
      </c>
      <c r="Z2">
        <v>50.57605177993527</v>
      </c>
      <c r="AA2">
        <v>50.454122030740564</v>
      </c>
      <c r="AB2">
        <v>49.874220715301327</v>
      </c>
      <c r="AC2">
        <v>50.169694549810337</v>
      </c>
      <c r="AD2">
        <v>51.067718353212776</v>
      </c>
      <c r="AE2">
        <v>50.364110401870001</v>
      </c>
      <c r="AF2">
        <v>49.605776412980326</v>
      </c>
      <c r="AG2">
        <v>50.9543692215926</v>
      </c>
      <c r="AH2">
        <v>50.965512568602215</v>
      </c>
      <c r="AI2">
        <v>50.675372895461237</v>
      </c>
      <c r="AJ2">
        <v>50.580017462891355</v>
      </c>
      <c r="AK2">
        <v>50.866443866815203</v>
      </c>
      <c r="AL2">
        <v>51.276473222854946</v>
      </c>
      <c r="AM2">
        <v>50.869730827831383</v>
      </c>
      <c r="AN2">
        <v>51.115882620860177</v>
      </c>
      <c r="AO2">
        <v>51.419805470330957</v>
      </c>
      <c r="AP2">
        <v>50.951005176357292</v>
      </c>
      <c r="AQ2">
        <v>50.735336859850023</v>
      </c>
      <c r="AR2">
        <v>50.678130297892956</v>
      </c>
      <c r="AS2">
        <v>51.980062815785878</v>
      </c>
      <c r="AT2">
        <v>52.484092021536952</v>
      </c>
      <c r="AU2">
        <v>52.772153119274904</v>
      </c>
    </row>
    <row r="3" spans="1:47" x14ac:dyDescent="0.3">
      <c r="A3">
        <v>1991</v>
      </c>
      <c r="B3">
        <f>RCT!D3</f>
        <v>44.970414201183431</v>
      </c>
      <c r="C3">
        <f>CT!D3</f>
        <v>52.721088435374156</v>
      </c>
      <c r="D3">
        <f>META!D3</f>
        <v>54.054054054054056</v>
      </c>
      <c r="E3">
        <f>REVIEW!D3</f>
        <v>55.555555555555557</v>
      </c>
      <c r="F3">
        <f>CCJ!D3</f>
        <v>55.775510204081634</v>
      </c>
      <c r="G3">
        <f>ALL!D3</f>
        <v>48.330117899249728</v>
      </c>
      <c r="H3" t="e">
        <f>OBS!D3</f>
        <v>#DIV/0!</v>
      </c>
      <c r="I3" t="e">
        <f>SYSREV!D3</f>
        <v>#DIV/0!</v>
      </c>
      <c r="K3" t="str">
        <v>Clinical trial</v>
      </c>
      <c r="L3">
        <v>49.674054758800523</v>
      </c>
      <c r="M3">
        <v>52.721088435374156</v>
      </c>
      <c r="N3">
        <v>51.304347826086961</v>
      </c>
      <c r="O3">
        <v>52.828054298642535</v>
      </c>
      <c r="P3">
        <v>51.595259799453054</v>
      </c>
      <c r="Q3">
        <v>52.401372212692962</v>
      </c>
      <c r="R3">
        <v>52.78745644599303</v>
      </c>
      <c r="S3">
        <v>53.854918344094195</v>
      </c>
      <c r="T3">
        <v>53.773240977032444</v>
      </c>
      <c r="U3">
        <v>55.573147561747938</v>
      </c>
      <c r="V3">
        <v>57.551274083281548</v>
      </c>
      <c r="W3">
        <v>55.909943714821765</v>
      </c>
      <c r="X3">
        <v>55.805114029025574</v>
      </c>
      <c r="Y3">
        <v>55.896032831737344</v>
      </c>
      <c r="Z3">
        <v>54.798366513527306</v>
      </c>
      <c r="AA3">
        <v>55.26137135098439</v>
      </c>
      <c r="AB3">
        <v>56.004756242568376</v>
      </c>
      <c r="AC3">
        <v>55.714626580768311</v>
      </c>
      <c r="AD3">
        <v>55.16628585935517</v>
      </c>
      <c r="AE3">
        <v>56.251645169781519</v>
      </c>
      <c r="AF3">
        <v>55.051391326146906</v>
      </c>
      <c r="AG3">
        <v>55.340223944875113</v>
      </c>
      <c r="AH3">
        <v>55.566387209982452</v>
      </c>
      <c r="AI3">
        <v>57.085683099872654</v>
      </c>
      <c r="AJ3">
        <v>57.843328775151392</v>
      </c>
      <c r="AK3">
        <v>58.87455045483393</v>
      </c>
      <c r="AL3">
        <v>58.315071828585339</v>
      </c>
      <c r="AM3">
        <v>57.782404997397187</v>
      </c>
      <c r="AN3">
        <v>58.520648196549921</v>
      </c>
      <c r="AO3">
        <v>58.4895695801426</v>
      </c>
      <c r="AP3">
        <v>58.589267634154574</v>
      </c>
      <c r="AQ3">
        <v>58.712942877801879</v>
      </c>
      <c r="AR3">
        <v>61.016949152542374</v>
      </c>
      <c r="AS3">
        <v>59.017375674056318</v>
      </c>
      <c r="AT3">
        <v>58.580738595220851</v>
      </c>
      <c r="AU3">
        <v>60.31567080045096</v>
      </c>
    </row>
    <row r="4" spans="1:47" x14ac:dyDescent="0.3">
      <c r="A4">
        <f>A2+2</f>
        <v>1992</v>
      </c>
      <c r="B4">
        <f>RCT!D4</f>
        <v>45.630372492836671</v>
      </c>
      <c r="C4">
        <f>CT!D4</f>
        <v>51.304347826086961</v>
      </c>
      <c r="D4">
        <f>META!D4</f>
        <v>68.181818181818173</v>
      </c>
      <c r="E4">
        <f>REVIEW!D4</f>
        <v>55.217391304347828</v>
      </c>
      <c r="F4">
        <f>CCJ!D4</f>
        <v>56.458980449479256</v>
      </c>
      <c r="G4">
        <f>ALL!D4</f>
        <v>49.186123305232897</v>
      </c>
      <c r="H4" t="e">
        <f>OBS!D4</f>
        <v>#DIV/0!</v>
      </c>
      <c r="I4" t="e">
        <f>SYSREV!D4</f>
        <v>#DIV/0!</v>
      </c>
      <c r="K4" t="str">
        <v>Meta-analysis</v>
      </c>
      <c r="L4">
        <v>60</v>
      </c>
      <c r="M4">
        <v>54.054054054054056</v>
      </c>
      <c r="N4">
        <v>68.181818181818173</v>
      </c>
      <c r="O4">
        <v>59.016393442622949</v>
      </c>
      <c r="P4">
        <v>64.615384615384613</v>
      </c>
      <c r="Q4">
        <v>56.666666666666664</v>
      </c>
      <c r="R4">
        <v>53.125</v>
      </c>
      <c r="S4">
        <v>61.157024793388423</v>
      </c>
      <c r="T4">
        <v>63.793103448275865</v>
      </c>
      <c r="U4">
        <v>65.116279069767444</v>
      </c>
      <c r="V4">
        <v>66.666666666666657</v>
      </c>
      <c r="W4">
        <v>61.676646706586823</v>
      </c>
      <c r="X4">
        <v>61.502347417840376</v>
      </c>
      <c r="Y4">
        <v>57.777777777777771</v>
      </c>
      <c r="Z4">
        <v>59.248554913294797</v>
      </c>
      <c r="AA4">
        <v>63.157894736842103</v>
      </c>
      <c r="AB4">
        <v>59.454855195911414</v>
      </c>
      <c r="AC4">
        <v>64.886515353805081</v>
      </c>
      <c r="AD4">
        <v>64.759725400457668</v>
      </c>
      <c r="AE4">
        <v>64.588979223125563</v>
      </c>
      <c r="AF4">
        <v>62.62002743484225</v>
      </c>
      <c r="AG4">
        <v>63.46153846153846</v>
      </c>
      <c r="AH4">
        <v>63.522012578616348</v>
      </c>
      <c r="AI4">
        <v>65.168539325842701</v>
      </c>
      <c r="AJ4">
        <v>64.913935392596088</v>
      </c>
      <c r="AK4">
        <v>64.673128480098981</v>
      </c>
      <c r="AL4">
        <v>66.772718234241395</v>
      </c>
      <c r="AM4">
        <v>65.966463976414218</v>
      </c>
      <c r="AN4">
        <v>64.117446227381365</v>
      </c>
      <c r="AO4">
        <v>64.798275331074834</v>
      </c>
      <c r="AP4">
        <v>65.153452685421996</v>
      </c>
      <c r="AQ4">
        <v>64.659569749390116</v>
      </c>
      <c r="AR4">
        <v>64.348290598290603</v>
      </c>
      <c r="AS4">
        <v>64.16694196674375</v>
      </c>
      <c r="AT4">
        <v>63.253322344699704</v>
      </c>
      <c r="AU4">
        <v>61.920260374288041</v>
      </c>
    </row>
    <row r="5" spans="1:47" x14ac:dyDescent="0.3">
      <c r="A5">
        <f t="shared" ref="A5:A36" si="0">A3+2</f>
        <v>1993</v>
      </c>
      <c r="B5">
        <f>RCT!D5</f>
        <v>47.247852370346806</v>
      </c>
      <c r="C5">
        <f>CT!D5</f>
        <v>52.828054298642535</v>
      </c>
      <c r="D5">
        <f>META!D5</f>
        <v>59.016393442622949</v>
      </c>
      <c r="E5">
        <f>REVIEW!D5</f>
        <v>49.769585253456221</v>
      </c>
      <c r="F5">
        <f>CCJ!D5</f>
        <v>57.204412271630467</v>
      </c>
      <c r="G5">
        <f>ALL!D5</f>
        <v>50.094666523773803</v>
      </c>
      <c r="H5" t="e">
        <f>OBS!D5</f>
        <v>#DIV/0!</v>
      </c>
      <c r="I5" t="e">
        <f>SYSREV!D5</f>
        <v>#DIV/0!</v>
      </c>
      <c r="K5" t="str">
        <v>Review</v>
      </c>
      <c r="L5">
        <v>51.612903225806448</v>
      </c>
      <c r="M5">
        <v>55.555555555555557</v>
      </c>
      <c r="N5">
        <v>55.217391304347828</v>
      </c>
      <c r="O5">
        <v>49.769585253456221</v>
      </c>
      <c r="P5">
        <v>55.76036866359447</v>
      </c>
      <c r="Q5">
        <v>53.903345724907062</v>
      </c>
      <c r="R5">
        <v>54.374999999999993</v>
      </c>
      <c r="S5">
        <v>52.698412698412703</v>
      </c>
      <c r="T5">
        <v>56.351791530944631</v>
      </c>
      <c r="U5">
        <v>55.000000000000007</v>
      </c>
      <c r="V5">
        <v>54.421768707482997</v>
      </c>
      <c r="W5">
        <v>52.411575562700961</v>
      </c>
      <c r="X5">
        <v>54.624277456647398</v>
      </c>
      <c r="Y5">
        <v>53.543307086614178</v>
      </c>
      <c r="Z5">
        <v>56.742556917688269</v>
      </c>
      <c r="AA5">
        <v>59.578947368421055</v>
      </c>
      <c r="AB5">
        <v>57.305936073059357</v>
      </c>
      <c r="AC5">
        <v>56.224899598393577</v>
      </c>
      <c r="AD5">
        <v>58.248472505091655</v>
      </c>
      <c r="AE5">
        <v>55.882352941176471</v>
      </c>
      <c r="AF5">
        <v>59.968354430379748</v>
      </c>
      <c r="AG5">
        <v>61.142061281337043</v>
      </c>
      <c r="AH5">
        <v>58.412322274881511</v>
      </c>
      <c r="AI5">
        <v>56.127703398558182</v>
      </c>
      <c r="AJ5">
        <v>55.2734375</v>
      </c>
      <c r="AK5">
        <v>56.828193832599119</v>
      </c>
      <c r="AL5">
        <v>56.992724333063862</v>
      </c>
      <c r="AM5">
        <v>54.604200323101779</v>
      </c>
      <c r="AN5">
        <v>54.136546184738954</v>
      </c>
      <c r="AO5">
        <v>54.656488549618324</v>
      </c>
      <c r="AP5">
        <v>51.651090342679126</v>
      </c>
      <c r="AQ5">
        <v>51.857355126300156</v>
      </c>
      <c r="AR5">
        <v>55.039370078740156</v>
      </c>
      <c r="AS5">
        <v>56.827473426001639</v>
      </c>
      <c r="AT5">
        <v>56.685714285714283</v>
      </c>
      <c r="AU5">
        <v>52.291421856639253</v>
      </c>
    </row>
    <row r="6" spans="1:47" x14ac:dyDescent="0.3">
      <c r="A6">
        <f t="shared" si="0"/>
        <v>1994</v>
      </c>
      <c r="B6">
        <f>RCT!D6</f>
        <v>45.669714900484131</v>
      </c>
      <c r="C6">
        <f>CT!D6</f>
        <v>51.595259799453054</v>
      </c>
      <c r="D6">
        <f>META!D6</f>
        <v>64.615384615384613</v>
      </c>
      <c r="E6">
        <f>REVIEW!D6</f>
        <v>55.76036866359447</v>
      </c>
      <c r="F6">
        <f>CCJ!D6</f>
        <v>57.475031210986273</v>
      </c>
      <c r="G6">
        <f>ALL!D6</f>
        <v>50.326387973097717</v>
      </c>
      <c r="H6" t="e">
        <f>OBS!D6</f>
        <v>#DIV/0!</v>
      </c>
      <c r="I6" t="e">
        <f>SYSREV!D6</f>
        <v>#DIV/0!</v>
      </c>
      <c r="K6" t="str">
        <v>Core clinical journal</v>
      </c>
      <c r="L6">
        <v>55.074394847879191</v>
      </c>
      <c r="M6">
        <v>55.775510204081634</v>
      </c>
      <c r="N6">
        <v>56.458980449479256</v>
      </c>
      <c r="O6">
        <v>57.204412271630467</v>
      </c>
      <c r="P6">
        <v>57.475031210986273</v>
      </c>
      <c r="Q6">
        <v>57.449985070170193</v>
      </c>
      <c r="R6">
        <v>57.275631716526284</v>
      </c>
      <c r="S6">
        <v>58.554385964912278</v>
      </c>
      <c r="T6">
        <v>59.461732548359969</v>
      </c>
      <c r="U6">
        <v>61.269028694597871</v>
      </c>
      <c r="V6">
        <v>63.570550471247103</v>
      </c>
      <c r="W6">
        <v>61.252160042536218</v>
      </c>
      <c r="X6">
        <v>60.983025082341015</v>
      </c>
      <c r="Y6">
        <v>61.594115519112499</v>
      </c>
      <c r="Z6">
        <v>62.324145030309964</v>
      </c>
      <c r="AA6">
        <v>63.350058716771642</v>
      </c>
      <c r="AB6">
        <v>62.605456338336808</v>
      </c>
      <c r="AC6">
        <v>63.859573551583026</v>
      </c>
      <c r="AD6">
        <v>63.948950532644233</v>
      </c>
      <c r="AE6">
        <v>62.904777172170569</v>
      </c>
      <c r="AF6">
        <v>64.17925278219397</v>
      </c>
      <c r="AG6">
        <v>64.571810032424182</v>
      </c>
      <c r="AH6">
        <v>65.353068728198366</v>
      </c>
      <c r="AI6">
        <v>64.894348050163202</v>
      </c>
      <c r="AJ6">
        <v>65.062656641604008</v>
      </c>
      <c r="AK6">
        <v>65.826197272438947</v>
      </c>
      <c r="AL6">
        <v>65.927124258531705</v>
      </c>
      <c r="AM6">
        <v>64.26601784266019</v>
      </c>
      <c r="AN6">
        <v>64.159548884650462</v>
      </c>
      <c r="AO6">
        <v>64.983960830660138</v>
      </c>
      <c r="AP6">
        <v>64.284021799225968</v>
      </c>
      <c r="AQ6">
        <v>64.861210530501864</v>
      </c>
      <c r="AR6">
        <v>64.801627670396741</v>
      </c>
      <c r="AS6">
        <v>64.899384360929886</v>
      </c>
      <c r="AT6">
        <v>63.933307332293289</v>
      </c>
      <c r="AU6">
        <v>63.697303739013854</v>
      </c>
    </row>
    <row r="7" spans="1:47" x14ac:dyDescent="0.3">
      <c r="A7">
        <f t="shared" si="0"/>
        <v>1995</v>
      </c>
      <c r="B7">
        <f>RCT!D7</f>
        <v>47.10526315789474</v>
      </c>
      <c r="C7">
        <f>CT!D7</f>
        <v>52.401372212692962</v>
      </c>
      <c r="D7">
        <f>META!D7</f>
        <v>56.666666666666664</v>
      </c>
      <c r="E7">
        <f>REVIEW!D7</f>
        <v>53.903345724907062</v>
      </c>
      <c r="F7">
        <f>CCJ!D7</f>
        <v>57.449985070170193</v>
      </c>
      <c r="G7">
        <f>ALL!D7</f>
        <v>50.421549231471616</v>
      </c>
      <c r="H7" t="e">
        <f>OBS!D7</f>
        <v>#DIV/0!</v>
      </c>
      <c r="I7">
        <f>SYSREV!D7</f>
        <v>66.666666666666657</v>
      </c>
      <c r="K7" t="str">
        <v>All MEDLINE</v>
      </c>
      <c r="L7">
        <v>48.442760942760941</v>
      </c>
      <c r="M7">
        <v>48.330117899249728</v>
      </c>
      <c r="N7">
        <v>49.186123305232897</v>
      </c>
      <c r="O7">
        <v>50.094666523773803</v>
      </c>
      <c r="P7">
        <v>50.326387973097717</v>
      </c>
      <c r="Q7">
        <v>50.421549231471616</v>
      </c>
      <c r="R7">
        <v>51.182351108719658</v>
      </c>
      <c r="S7">
        <v>51.958746402302523</v>
      </c>
      <c r="T7">
        <v>52.01203174763662</v>
      </c>
      <c r="U7">
        <v>53.573290365385532</v>
      </c>
      <c r="V7">
        <v>54.30615489439019</v>
      </c>
      <c r="W7">
        <v>52.385001275401756</v>
      </c>
      <c r="X7">
        <v>52.303646286482639</v>
      </c>
      <c r="Y7">
        <v>52.035966374632004</v>
      </c>
      <c r="Z7">
        <v>52.321500120201932</v>
      </c>
      <c r="AA7">
        <v>52.507830444769269</v>
      </c>
      <c r="AB7">
        <v>52.890091846682743</v>
      </c>
      <c r="AC7">
        <v>53.430769771282016</v>
      </c>
      <c r="AD7">
        <v>53.355070664320181</v>
      </c>
      <c r="AE7">
        <v>53.447910250325656</v>
      </c>
      <c r="AF7">
        <v>53.512662887432818</v>
      </c>
      <c r="AG7">
        <v>54.046428748205713</v>
      </c>
      <c r="AH7">
        <v>54.205309573321593</v>
      </c>
      <c r="AI7">
        <v>54.841202380032449</v>
      </c>
      <c r="AJ7">
        <v>55.430075288160438</v>
      </c>
      <c r="AK7">
        <v>55.722590463092082</v>
      </c>
      <c r="AL7">
        <v>56.111372992677786</v>
      </c>
      <c r="AM7">
        <v>55.908217307205057</v>
      </c>
      <c r="AN7">
        <v>55.85693710993759</v>
      </c>
      <c r="AO7">
        <v>56.220319615037873</v>
      </c>
      <c r="AP7">
        <v>56.685378404214205</v>
      </c>
      <c r="AQ7">
        <v>57.390777158879928</v>
      </c>
      <c r="AR7">
        <v>56.978351448374617</v>
      </c>
      <c r="AS7">
        <v>57.570232047233283</v>
      </c>
      <c r="AT7">
        <v>57.276227705318774</v>
      </c>
      <c r="AU7">
        <v>57.850175999007583</v>
      </c>
    </row>
    <row r="8" spans="1:47" x14ac:dyDescent="0.3">
      <c r="A8">
        <f t="shared" si="0"/>
        <v>1996</v>
      </c>
      <c r="B8">
        <f>RCT!D8</f>
        <v>49.592169657422517</v>
      </c>
      <c r="C8">
        <f>CT!D8</f>
        <v>52.78745644599303</v>
      </c>
      <c r="D8">
        <f>META!D8</f>
        <v>53.125</v>
      </c>
      <c r="E8">
        <f>REVIEW!D8</f>
        <v>54.374999999999993</v>
      </c>
      <c r="F8">
        <f>CCJ!D8</f>
        <v>57.275631716526284</v>
      </c>
      <c r="G8">
        <f>ALL!D8</f>
        <v>51.182351108719658</v>
      </c>
      <c r="H8" t="e">
        <f>OBS!D8</f>
        <v>#DIV/0!</v>
      </c>
      <c r="I8">
        <f>SYSREV!D8</f>
        <v>75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>
        <v>100</v>
      </c>
      <c r="Y8" t="e">
        <v>#DIV/0!</v>
      </c>
      <c r="Z8" t="e">
        <v>#DIV/0!</v>
      </c>
      <c r="AA8" t="e">
        <v>#DIV/0!</v>
      </c>
      <c r="AB8" t="e">
        <v>#DIV/0!</v>
      </c>
      <c r="AC8" t="e">
        <v>#DIV/0!</v>
      </c>
      <c r="AD8" t="e">
        <v>#DIV/0!</v>
      </c>
      <c r="AE8">
        <v>100</v>
      </c>
      <c r="AF8">
        <v>57.894736842105267</v>
      </c>
      <c r="AG8">
        <v>73.80952380952381</v>
      </c>
      <c r="AH8">
        <v>68.686868686868678</v>
      </c>
      <c r="AI8">
        <v>64.158487822609956</v>
      </c>
      <c r="AJ8">
        <v>65.08750220965176</v>
      </c>
      <c r="AK8">
        <v>64.391223289832212</v>
      </c>
      <c r="AL8">
        <v>65.012787723785166</v>
      </c>
      <c r="AM8">
        <v>64.718943554984222</v>
      </c>
      <c r="AN8">
        <v>63.658824793210869</v>
      </c>
      <c r="AO8">
        <v>63.402317061095161</v>
      </c>
      <c r="AP8">
        <v>63.829787234042556</v>
      </c>
      <c r="AQ8">
        <v>64.944121591417087</v>
      </c>
      <c r="AR8">
        <v>64.544419134396364</v>
      </c>
      <c r="AS8">
        <v>64.035863114029539</v>
      </c>
      <c r="AT8">
        <v>62.862083873757022</v>
      </c>
      <c r="AU8">
        <v>64.419934640522882</v>
      </c>
    </row>
    <row r="9" spans="1:47" x14ac:dyDescent="0.3">
      <c r="A9">
        <f t="shared" si="0"/>
        <v>1997</v>
      </c>
      <c r="B9">
        <f>RCT!D9</f>
        <v>49.846558526961857</v>
      </c>
      <c r="C9">
        <f>CT!D9</f>
        <v>53.854918344094195</v>
      </c>
      <c r="D9">
        <f>META!D9</f>
        <v>61.157024793388423</v>
      </c>
      <c r="E9">
        <f>REVIEW!D9</f>
        <v>52.698412698412703</v>
      </c>
      <c r="F9">
        <f>CCJ!D9</f>
        <v>58.554385964912278</v>
      </c>
      <c r="G9">
        <f>ALL!D9</f>
        <v>51.958746402302523</v>
      </c>
      <c r="H9" t="e">
        <f>OBS!D9</f>
        <v>#DIV/0!</v>
      </c>
      <c r="I9">
        <f>SYSREV!D9</f>
        <v>44.444444444444443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>
        <v>66.666666666666657</v>
      </c>
      <c r="R9">
        <v>75</v>
      </c>
      <c r="S9">
        <v>44.444444444444443</v>
      </c>
      <c r="T9">
        <v>62.5</v>
      </c>
      <c r="U9">
        <v>41.17647058823529</v>
      </c>
      <c r="V9">
        <v>55.405405405405403</v>
      </c>
      <c r="W9">
        <v>44.285714285714285</v>
      </c>
      <c r="X9">
        <v>65.217391304347828</v>
      </c>
      <c r="Y9">
        <v>60.294117647058819</v>
      </c>
      <c r="Z9">
        <v>53.529411764705884</v>
      </c>
      <c r="AA9">
        <v>63.20754716981132</v>
      </c>
      <c r="AB9">
        <v>55.390334572490708</v>
      </c>
      <c r="AC9">
        <v>61.096605744125334</v>
      </c>
      <c r="AD9">
        <v>61.96868008948546</v>
      </c>
      <c r="AE9">
        <v>59.683098591549296</v>
      </c>
      <c r="AF9">
        <v>60.724233983286915</v>
      </c>
      <c r="AG9">
        <v>61.771300448430488</v>
      </c>
      <c r="AH9">
        <v>61.937984496124031</v>
      </c>
      <c r="AI9">
        <v>62.659698025551677</v>
      </c>
      <c r="AJ9">
        <v>63.073286052009458</v>
      </c>
      <c r="AK9">
        <v>63.602391629297458</v>
      </c>
      <c r="AL9">
        <v>64.827127659574472</v>
      </c>
      <c r="AM9">
        <v>64.189189189189193</v>
      </c>
      <c r="AN9">
        <v>62.720763723150363</v>
      </c>
      <c r="AO9">
        <v>64.361394721633587</v>
      </c>
      <c r="AP9">
        <v>64.144115796098177</v>
      </c>
      <c r="AQ9">
        <v>63.639973527465251</v>
      </c>
      <c r="AR9">
        <v>63.963730569948183</v>
      </c>
      <c r="AS9">
        <v>63.345242821225355</v>
      </c>
      <c r="AT9">
        <v>62.256218614971395</v>
      </c>
      <c r="AU9">
        <v>61.140876142451937</v>
      </c>
    </row>
    <row r="10" spans="1:47" x14ac:dyDescent="0.3">
      <c r="A10">
        <f t="shared" si="0"/>
        <v>1998</v>
      </c>
      <c r="B10">
        <f>RCT!D10</f>
        <v>49.012751953928422</v>
      </c>
      <c r="C10">
        <f>CT!D10</f>
        <v>53.773240977032444</v>
      </c>
      <c r="D10">
        <f>META!D10</f>
        <v>63.793103448275865</v>
      </c>
      <c r="E10">
        <f>REVIEW!D10</f>
        <v>56.351791530944631</v>
      </c>
      <c r="F10">
        <f>CCJ!D10</f>
        <v>59.461732548359969</v>
      </c>
      <c r="G10">
        <f>ALL!D10</f>
        <v>52.01203174763662</v>
      </c>
      <c r="H10" t="e">
        <f>OBS!D10</f>
        <v>#DIV/0!</v>
      </c>
      <c r="I10">
        <f>SYSREV!D10</f>
        <v>62.5</v>
      </c>
    </row>
    <row r="11" spans="1:47" x14ac:dyDescent="0.3">
      <c r="A11">
        <f t="shared" si="0"/>
        <v>1999</v>
      </c>
      <c r="B11">
        <f>RCT!D11</f>
        <v>51.83051477420554</v>
      </c>
      <c r="C11">
        <f>CT!D11</f>
        <v>55.573147561747938</v>
      </c>
      <c r="D11">
        <f>META!D11</f>
        <v>65.116279069767444</v>
      </c>
      <c r="E11">
        <f>REVIEW!D11</f>
        <v>55.000000000000007</v>
      </c>
      <c r="F11">
        <f>CCJ!D11</f>
        <v>61.269028694597871</v>
      </c>
      <c r="G11">
        <f>ALL!D11</f>
        <v>53.573290365385532</v>
      </c>
      <c r="H11" t="e">
        <f>OBS!D11</f>
        <v>#DIV/0!</v>
      </c>
      <c r="I11">
        <f>SYSREV!D11</f>
        <v>41.17647058823529</v>
      </c>
    </row>
    <row r="12" spans="1:47" x14ac:dyDescent="0.3">
      <c r="A12">
        <f t="shared" si="0"/>
        <v>2000</v>
      </c>
      <c r="B12">
        <f>RCT!D12</f>
        <v>51.959665144596656</v>
      </c>
      <c r="C12">
        <f>CT!D12</f>
        <v>57.551274083281548</v>
      </c>
      <c r="D12">
        <f>META!D12</f>
        <v>66.666666666666657</v>
      </c>
      <c r="E12">
        <f>REVIEW!D12</f>
        <v>54.421768707482997</v>
      </c>
      <c r="F12">
        <f>CCJ!D12</f>
        <v>63.570550471247103</v>
      </c>
      <c r="G12">
        <f>ALL!D12</f>
        <v>54.30615489439019</v>
      </c>
      <c r="H12" t="e">
        <f>OBS!D12</f>
        <v>#DIV/0!</v>
      </c>
      <c r="I12">
        <f>SYSREV!D12</f>
        <v>55.405405405405403</v>
      </c>
    </row>
    <row r="13" spans="1:47" x14ac:dyDescent="0.3">
      <c r="A13">
        <f t="shared" si="0"/>
        <v>2001</v>
      </c>
      <c r="B13">
        <f>RCT!D13</f>
        <v>50.18283127285391</v>
      </c>
      <c r="C13">
        <f>CT!D13</f>
        <v>55.909943714821765</v>
      </c>
      <c r="D13">
        <f>META!D13</f>
        <v>61.676646706586823</v>
      </c>
      <c r="E13">
        <f>REVIEW!D13</f>
        <v>52.411575562700961</v>
      </c>
      <c r="F13">
        <f>CCJ!D13</f>
        <v>61.252160042536218</v>
      </c>
      <c r="G13">
        <f>ALL!D13</f>
        <v>52.385001275401756</v>
      </c>
      <c r="H13" t="e">
        <f>OBS!D13</f>
        <v>#DIV/0!</v>
      </c>
      <c r="I13">
        <f>SYSREV!D13</f>
        <v>44.285714285714285</v>
      </c>
    </row>
    <row r="14" spans="1:47" x14ac:dyDescent="0.3">
      <c r="A14">
        <f t="shared" si="0"/>
        <v>2002</v>
      </c>
      <c r="B14">
        <f>RCT!D14</f>
        <v>50.660501981505945</v>
      </c>
      <c r="C14">
        <f>CT!D14</f>
        <v>55.805114029025574</v>
      </c>
      <c r="D14">
        <f>META!D14</f>
        <v>61.502347417840376</v>
      </c>
      <c r="E14">
        <f>REVIEW!D14</f>
        <v>54.624277456647398</v>
      </c>
      <c r="F14">
        <f>CCJ!D14</f>
        <v>60.983025082341015</v>
      </c>
      <c r="G14">
        <f>ALL!D14</f>
        <v>52.303646286482639</v>
      </c>
      <c r="H14">
        <f>OBS!D14</f>
        <v>100</v>
      </c>
      <c r="I14">
        <f>SYSREV!D14</f>
        <v>65.217391304347828</v>
      </c>
    </row>
    <row r="15" spans="1:47" x14ac:dyDescent="0.3">
      <c r="A15">
        <f t="shared" si="0"/>
        <v>2003</v>
      </c>
      <c r="B15">
        <f>RCT!D15</f>
        <v>50.391077636152957</v>
      </c>
      <c r="C15">
        <f>CT!D15</f>
        <v>55.896032831737344</v>
      </c>
      <c r="D15">
        <f>META!D15</f>
        <v>57.777777777777771</v>
      </c>
      <c r="E15">
        <f>REVIEW!D15</f>
        <v>53.543307086614178</v>
      </c>
      <c r="F15">
        <f>CCJ!D15</f>
        <v>61.594115519112499</v>
      </c>
      <c r="G15">
        <f>ALL!D15</f>
        <v>52.035966374632004</v>
      </c>
      <c r="H15" t="e">
        <f>OBS!D15</f>
        <v>#DIV/0!</v>
      </c>
      <c r="I15">
        <f>SYSREV!D15</f>
        <v>60.294117647058819</v>
      </c>
    </row>
    <row r="16" spans="1:47" x14ac:dyDescent="0.3">
      <c r="A16">
        <f t="shared" si="0"/>
        <v>2004</v>
      </c>
      <c r="B16">
        <f>RCT!D16</f>
        <v>50.57605177993527</v>
      </c>
      <c r="C16">
        <f>CT!D16</f>
        <v>54.798366513527306</v>
      </c>
      <c r="D16">
        <f>META!D16</f>
        <v>59.248554913294797</v>
      </c>
      <c r="E16">
        <f>REVIEW!D16</f>
        <v>56.742556917688269</v>
      </c>
      <c r="F16">
        <f>CCJ!D16</f>
        <v>62.324145030309964</v>
      </c>
      <c r="G16">
        <f>ALL!D16</f>
        <v>52.321500120201932</v>
      </c>
      <c r="H16" t="e">
        <f>OBS!D16</f>
        <v>#DIV/0!</v>
      </c>
      <c r="I16">
        <f>SYSREV!D16</f>
        <v>53.529411764705884</v>
      </c>
    </row>
    <row r="17" spans="1:9" x14ac:dyDescent="0.3">
      <c r="A17">
        <f t="shared" si="0"/>
        <v>2005</v>
      </c>
      <c r="B17">
        <f>RCT!D17</f>
        <v>50.454122030740564</v>
      </c>
      <c r="C17">
        <f>CT!D17</f>
        <v>55.26137135098439</v>
      </c>
      <c r="D17">
        <f>META!D17</f>
        <v>63.157894736842103</v>
      </c>
      <c r="E17">
        <f>REVIEW!D17</f>
        <v>59.578947368421055</v>
      </c>
      <c r="F17">
        <f>CCJ!D17</f>
        <v>63.350058716771642</v>
      </c>
      <c r="G17">
        <f>ALL!D17</f>
        <v>52.507830444769269</v>
      </c>
      <c r="H17" t="e">
        <f>OBS!D17</f>
        <v>#DIV/0!</v>
      </c>
      <c r="I17">
        <f>SYSREV!D17</f>
        <v>63.20754716981132</v>
      </c>
    </row>
    <row r="18" spans="1:9" x14ac:dyDescent="0.3">
      <c r="A18">
        <f t="shared" si="0"/>
        <v>2006</v>
      </c>
      <c r="B18">
        <f>RCT!D18</f>
        <v>49.874220715301327</v>
      </c>
      <c r="C18">
        <f>CT!D18</f>
        <v>56.004756242568376</v>
      </c>
      <c r="D18">
        <f>META!D18</f>
        <v>59.454855195911414</v>
      </c>
      <c r="E18">
        <f>REVIEW!D18</f>
        <v>57.305936073059357</v>
      </c>
      <c r="F18">
        <f>CCJ!D18</f>
        <v>62.605456338336808</v>
      </c>
      <c r="G18">
        <f>ALL!D18</f>
        <v>52.890091846682743</v>
      </c>
      <c r="H18" t="e">
        <f>OBS!D18</f>
        <v>#DIV/0!</v>
      </c>
      <c r="I18">
        <f>SYSREV!D18</f>
        <v>55.390334572490708</v>
      </c>
    </row>
    <row r="19" spans="1:9" x14ac:dyDescent="0.3">
      <c r="A19">
        <f t="shared" si="0"/>
        <v>2007</v>
      </c>
      <c r="B19">
        <f>RCT!D19</f>
        <v>50.169694549810337</v>
      </c>
      <c r="C19">
        <f>CT!D19</f>
        <v>55.714626580768311</v>
      </c>
      <c r="D19">
        <f>META!D19</f>
        <v>64.886515353805081</v>
      </c>
      <c r="E19">
        <f>REVIEW!D19</f>
        <v>56.224899598393577</v>
      </c>
      <c r="F19">
        <f>CCJ!D19</f>
        <v>63.859573551583026</v>
      </c>
      <c r="G19">
        <f>ALL!D19</f>
        <v>53.430769771282016</v>
      </c>
      <c r="H19" t="e">
        <f>OBS!D19</f>
        <v>#DIV/0!</v>
      </c>
      <c r="I19">
        <f>SYSREV!D19</f>
        <v>61.096605744125334</v>
      </c>
    </row>
    <row r="20" spans="1:9" x14ac:dyDescent="0.3">
      <c r="A20">
        <f t="shared" si="0"/>
        <v>2008</v>
      </c>
      <c r="B20">
        <f>RCT!D20</f>
        <v>51.067718353212776</v>
      </c>
      <c r="C20">
        <f>CT!D20</f>
        <v>55.16628585935517</v>
      </c>
      <c r="D20">
        <f>META!D20</f>
        <v>64.759725400457668</v>
      </c>
      <c r="E20">
        <f>REVIEW!D20</f>
        <v>58.248472505091655</v>
      </c>
      <c r="F20">
        <f>CCJ!D20</f>
        <v>63.948950532644233</v>
      </c>
      <c r="G20">
        <f>ALL!D20</f>
        <v>53.355070664320181</v>
      </c>
      <c r="H20" t="e">
        <f>OBS!D20</f>
        <v>#DIV/0!</v>
      </c>
      <c r="I20">
        <f>SYSREV!D20</f>
        <v>61.96868008948546</v>
      </c>
    </row>
    <row r="21" spans="1:9" x14ac:dyDescent="0.3">
      <c r="A21">
        <f t="shared" si="0"/>
        <v>2009</v>
      </c>
      <c r="B21">
        <f>RCT!D21</f>
        <v>50.364110401870001</v>
      </c>
      <c r="C21">
        <f>CT!D21</f>
        <v>56.251645169781519</v>
      </c>
      <c r="D21">
        <f>META!D21</f>
        <v>64.588979223125563</v>
      </c>
      <c r="E21">
        <f>REVIEW!D21</f>
        <v>55.882352941176471</v>
      </c>
      <c r="F21">
        <f>CCJ!D21</f>
        <v>62.904777172170569</v>
      </c>
      <c r="G21">
        <f>ALL!D21</f>
        <v>53.447910250325656</v>
      </c>
      <c r="H21">
        <f>OBS!D21</f>
        <v>100</v>
      </c>
      <c r="I21">
        <f>SYSREV!D21</f>
        <v>59.683098591549296</v>
      </c>
    </row>
    <row r="22" spans="1:9" x14ac:dyDescent="0.3">
      <c r="A22">
        <f t="shared" si="0"/>
        <v>2010</v>
      </c>
      <c r="B22">
        <f>RCT!D22</f>
        <v>49.605776412980326</v>
      </c>
      <c r="C22">
        <f>CT!D22</f>
        <v>55.051391326146906</v>
      </c>
      <c r="D22">
        <f>META!D22</f>
        <v>62.62002743484225</v>
      </c>
      <c r="E22">
        <f>REVIEW!D22</f>
        <v>59.968354430379748</v>
      </c>
      <c r="F22">
        <f>CCJ!D22</f>
        <v>64.17925278219397</v>
      </c>
      <c r="G22">
        <f>ALL!D22</f>
        <v>53.512662887432818</v>
      </c>
      <c r="H22">
        <f>OBS!D22</f>
        <v>57.894736842105267</v>
      </c>
      <c r="I22">
        <f>SYSREV!D22</f>
        <v>60.724233983286915</v>
      </c>
    </row>
    <row r="23" spans="1:9" x14ac:dyDescent="0.3">
      <c r="A23">
        <f t="shared" si="0"/>
        <v>2011</v>
      </c>
      <c r="B23">
        <f>RCT!D23</f>
        <v>50.9543692215926</v>
      </c>
      <c r="C23">
        <f>CT!D23</f>
        <v>55.340223944875113</v>
      </c>
      <c r="D23">
        <f>META!D23</f>
        <v>63.46153846153846</v>
      </c>
      <c r="E23">
        <f>REVIEW!D23</f>
        <v>61.142061281337043</v>
      </c>
      <c r="F23">
        <f>CCJ!D23</f>
        <v>64.571810032424182</v>
      </c>
      <c r="G23">
        <f>ALL!D23</f>
        <v>54.046428748205713</v>
      </c>
      <c r="H23">
        <f>OBS!D23</f>
        <v>73.80952380952381</v>
      </c>
      <c r="I23">
        <f>SYSREV!D23</f>
        <v>61.771300448430488</v>
      </c>
    </row>
    <row r="24" spans="1:9" x14ac:dyDescent="0.3">
      <c r="A24">
        <f>A22+2</f>
        <v>2012</v>
      </c>
      <c r="B24">
        <f>RCT!D24</f>
        <v>50.965512568602215</v>
      </c>
      <c r="C24">
        <f>CT!D24</f>
        <v>55.566387209982452</v>
      </c>
      <c r="D24">
        <f>META!D24</f>
        <v>63.522012578616348</v>
      </c>
      <c r="E24">
        <f>REVIEW!D24</f>
        <v>58.412322274881511</v>
      </c>
      <c r="F24">
        <f>CCJ!D24</f>
        <v>65.353068728198366</v>
      </c>
      <c r="G24">
        <f>ALL!D24</f>
        <v>54.205309573321593</v>
      </c>
      <c r="H24">
        <f>OBS!D24</f>
        <v>68.686868686868678</v>
      </c>
      <c r="I24">
        <f>SYSREV!D24</f>
        <v>61.937984496124031</v>
      </c>
    </row>
    <row r="25" spans="1:9" x14ac:dyDescent="0.3">
      <c r="A25">
        <f t="shared" si="0"/>
        <v>2013</v>
      </c>
      <c r="B25">
        <f>RCT!D25</f>
        <v>50.675372895461237</v>
      </c>
      <c r="C25">
        <f>CT!D25</f>
        <v>57.085683099872654</v>
      </c>
      <c r="D25">
        <f>META!D25</f>
        <v>65.168539325842701</v>
      </c>
      <c r="E25">
        <f>REVIEW!D25</f>
        <v>56.127703398558182</v>
      </c>
      <c r="F25">
        <f>CCJ!D25</f>
        <v>64.894348050163202</v>
      </c>
      <c r="G25">
        <f>ALL!D25</f>
        <v>54.841202380032449</v>
      </c>
      <c r="H25">
        <f>OBS!D25</f>
        <v>64.158487822609956</v>
      </c>
      <c r="I25">
        <f>SYSREV!D25</f>
        <v>62.659698025551677</v>
      </c>
    </row>
    <row r="26" spans="1:9" x14ac:dyDescent="0.3">
      <c r="A26">
        <f t="shared" si="0"/>
        <v>2014</v>
      </c>
      <c r="B26">
        <f>RCT!D26</f>
        <v>50.580017462891355</v>
      </c>
      <c r="C26">
        <f>CT!D26</f>
        <v>57.843328775151392</v>
      </c>
      <c r="D26">
        <f>META!D26</f>
        <v>64.913935392596088</v>
      </c>
      <c r="E26">
        <f>REVIEW!D26</f>
        <v>55.2734375</v>
      </c>
      <c r="F26">
        <f>CCJ!D26</f>
        <v>65.062656641604008</v>
      </c>
      <c r="G26">
        <f>ALL!D26</f>
        <v>55.430075288160438</v>
      </c>
      <c r="H26">
        <f>OBS!D26</f>
        <v>65.08750220965176</v>
      </c>
      <c r="I26">
        <f>SYSREV!D26</f>
        <v>63.073286052009458</v>
      </c>
    </row>
    <row r="27" spans="1:9" x14ac:dyDescent="0.3">
      <c r="A27">
        <f t="shared" si="0"/>
        <v>2015</v>
      </c>
      <c r="B27">
        <f>RCT!D27</f>
        <v>50.866443866815203</v>
      </c>
      <c r="C27">
        <f>CT!D27</f>
        <v>58.87455045483393</v>
      </c>
      <c r="D27">
        <f>META!D27</f>
        <v>64.673128480098981</v>
      </c>
      <c r="E27">
        <f>REVIEW!D27</f>
        <v>56.828193832599119</v>
      </c>
      <c r="F27">
        <f>CCJ!D27</f>
        <v>65.826197272438947</v>
      </c>
      <c r="G27">
        <f>ALL!D27</f>
        <v>55.722590463092082</v>
      </c>
      <c r="H27">
        <f>OBS!D27</f>
        <v>64.391223289832212</v>
      </c>
      <c r="I27">
        <f>SYSREV!D27</f>
        <v>63.602391629297458</v>
      </c>
    </row>
    <row r="28" spans="1:9" x14ac:dyDescent="0.3">
      <c r="A28">
        <f t="shared" si="0"/>
        <v>2016</v>
      </c>
      <c r="B28">
        <f>RCT!D28</f>
        <v>51.276473222854946</v>
      </c>
      <c r="C28">
        <f>CT!D28</f>
        <v>58.315071828585339</v>
      </c>
      <c r="D28">
        <f>META!D28</f>
        <v>66.772718234241395</v>
      </c>
      <c r="E28">
        <f>REVIEW!D28</f>
        <v>56.992724333063862</v>
      </c>
      <c r="F28">
        <f>CCJ!D28</f>
        <v>65.927124258531705</v>
      </c>
      <c r="G28">
        <f>ALL!D28</f>
        <v>56.111372992677786</v>
      </c>
      <c r="H28">
        <f>OBS!D28</f>
        <v>65.012787723785166</v>
      </c>
      <c r="I28">
        <f>SYSREV!D28</f>
        <v>64.827127659574472</v>
      </c>
    </row>
    <row r="29" spans="1:9" x14ac:dyDescent="0.3">
      <c r="A29">
        <f t="shared" si="0"/>
        <v>2017</v>
      </c>
      <c r="B29">
        <f>RCT!D29</f>
        <v>50.869730827831383</v>
      </c>
      <c r="C29">
        <f>CT!D29</f>
        <v>57.782404997397187</v>
      </c>
      <c r="D29">
        <f>META!D29</f>
        <v>65.966463976414218</v>
      </c>
      <c r="E29">
        <f>REVIEW!D29</f>
        <v>54.604200323101779</v>
      </c>
      <c r="F29">
        <f>CCJ!D29</f>
        <v>64.26601784266019</v>
      </c>
      <c r="G29">
        <f>ALL!D29</f>
        <v>55.908217307205057</v>
      </c>
      <c r="H29">
        <f>OBS!D29</f>
        <v>64.718943554984222</v>
      </c>
      <c r="I29">
        <f>SYSREV!D29</f>
        <v>64.189189189189193</v>
      </c>
    </row>
    <row r="30" spans="1:9" x14ac:dyDescent="0.3">
      <c r="A30">
        <f t="shared" si="0"/>
        <v>2018</v>
      </c>
      <c r="B30">
        <f>RCT!D30</f>
        <v>51.115882620860177</v>
      </c>
      <c r="C30">
        <f>CT!D30</f>
        <v>58.520648196549921</v>
      </c>
      <c r="D30">
        <f>META!D30</f>
        <v>64.117446227381365</v>
      </c>
      <c r="E30">
        <f>REVIEW!D30</f>
        <v>54.136546184738954</v>
      </c>
      <c r="F30">
        <f>CCJ!D30</f>
        <v>64.159548884650462</v>
      </c>
      <c r="G30">
        <f>ALL!D30</f>
        <v>55.85693710993759</v>
      </c>
      <c r="H30">
        <f>OBS!D30</f>
        <v>63.658824793210869</v>
      </c>
      <c r="I30">
        <f>SYSREV!D30</f>
        <v>62.720763723150363</v>
      </c>
    </row>
    <row r="31" spans="1:9" x14ac:dyDescent="0.3">
      <c r="A31">
        <f t="shared" si="0"/>
        <v>2019</v>
      </c>
      <c r="B31">
        <f>RCT!D31</f>
        <v>51.419805470330957</v>
      </c>
      <c r="C31">
        <f>CT!D31</f>
        <v>58.4895695801426</v>
      </c>
      <c r="D31">
        <f>META!D31</f>
        <v>64.798275331074834</v>
      </c>
      <c r="E31">
        <f>REVIEW!D31</f>
        <v>54.656488549618324</v>
      </c>
      <c r="F31">
        <f>CCJ!D31</f>
        <v>64.983960830660138</v>
      </c>
      <c r="G31">
        <f>ALL!D31</f>
        <v>56.220319615037873</v>
      </c>
      <c r="H31">
        <f>OBS!D31</f>
        <v>63.402317061095161</v>
      </c>
      <c r="I31">
        <f>SYSREV!D31</f>
        <v>64.361394721633587</v>
      </c>
    </row>
    <row r="32" spans="1:9" x14ac:dyDescent="0.3">
      <c r="A32">
        <f t="shared" si="0"/>
        <v>2020</v>
      </c>
      <c r="B32">
        <f>RCT!D32</f>
        <v>50.951005176357292</v>
      </c>
      <c r="C32">
        <f>CT!D32</f>
        <v>58.589267634154574</v>
      </c>
      <c r="D32">
        <f>META!D32</f>
        <v>65.153452685421996</v>
      </c>
      <c r="E32">
        <f>REVIEW!D32</f>
        <v>51.651090342679126</v>
      </c>
      <c r="F32">
        <f>CCJ!D32</f>
        <v>64.284021799225968</v>
      </c>
      <c r="G32">
        <f>ALL!D32</f>
        <v>56.685378404214205</v>
      </c>
      <c r="H32">
        <f>OBS!D32</f>
        <v>63.829787234042556</v>
      </c>
      <c r="I32">
        <f>SYSREV!D32</f>
        <v>64.144115796098177</v>
      </c>
    </row>
    <row r="33" spans="1:9" x14ac:dyDescent="0.3">
      <c r="A33">
        <f t="shared" si="0"/>
        <v>2021</v>
      </c>
      <c r="B33">
        <f>RCT!D33</f>
        <v>50.735336859850023</v>
      </c>
      <c r="C33">
        <f>CT!D33</f>
        <v>58.712942877801879</v>
      </c>
      <c r="D33">
        <f>META!D33</f>
        <v>64.659569749390116</v>
      </c>
      <c r="E33">
        <f>REVIEW!D33</f>
        <v>51.857355126300156</v>
      </c>
      <c r="F33">
        <f>CCJ!D33</f>
        <v>64.861210530501864</v>
      </c>
      <c r="G33">
        <f>ALL!D33</f>
        <v>57.390777158879928</v>
      </c>
      <c r="H33">
        <f>OBS!D33</f>
        <v>64.944121591417087</v>
      </c>
      <c r="I33">
        <f>SYSREV!D33</f>
        <v>63.639973527465251</v>
      </c>
    </row>
    <row r="34" spans="1:9" x14ac:dyDescent="0.3">
      <c r="A34">
        <f t="shared" si="0"/>
        <v>2022</v>
      </c>
      <c r="B34">
        <f>RCT!D34</f>
        <v>50.678130297892956</v>
      </c>
      <c r="C34">
        <f>CT!D34</f>
        <v>61.016949152542374</v>
      </c>
      <c r="D34">
        <f>META!D34</f>
        <v>64.348290598290603</v>
      </c>
      <c r="E34">
        <f>REVIEW!D34</f>
        <v>55.039370078740156</v>
      </c>
      <c r="F34">
        <f>CCJ!D34</f>
        <v>64.801627670396741</v>
      </c>
      <c r="G34">
        <f>ALL!D34</f>
        <v>56.978351448374617</v>
      </c>
      <c r="H34">
        <f>OBS!D34</f>
        <v>64.544419134396364</v>
      </c>
      <c r="I34">
        <f>SYSREV!D34</f>
        <v>63.963730569948183</v>
      </c>
    </row>
    <row r="35" spans="1:9" x14ac:dyDescent="0.3">
      <c r="A35">
        <f t="shared" si="0"/>
        <v>2023</v>
      </c>
      <c r="B35">
        <f>RCT!D35</f>
        <v>51.980062815785878</v>
      </c>
      <c r="C35">
        <f>CT!D35</f>
        <v>59.017375674056318</v>
      </c>
      <c r="D35">
        <f>META!D35</f>
        <v>64.16694196674375</v>
      </c>
      <c r="E35">
        <f>REVIEW!D35</f>
        <v>56.827473426001639</v>
      </c>
      <c r="F35">
        <f>CCJ!D35</f>
        <v>64.899384360929886</v>
      </c>
      <c r="G35">
        <f>ALL!D35</f>
        <v>57.570232047233283</v>
      </c>
      <c r="H35">
        <f>OBS!D35</f>
        <v>64.035863114029539</v>
      </c>
      <c r="I35">
        <f>SYSREV!D35</f>
        <v>63.345242821225355</v>
      </c>
    </row>
    <row r="36" spans="1:9" x14ac:dyDescent="0.3">
      <c r="A36">
        <f t="shared" si="0"/>
        <v>2024</v>
      </c>
      <c r="B36">
        <f>RCT!D36</f>
        <v>52.484092021536952</v>
      </c>
      <c r="C36">
        <f>CT!D36</f>
        <v>58.580738595220851</v>
      </c>
      <c r="D36">
        <f>META!D36</f>
        <v>63.253322344699704</v>
      </c>
      <c r="E36">
        <f>REVIEW!D36</f>
        <v>56.685714285714283</v>
      </c>
      <c r="F36">
        <f>CCJ!D36</f>
        <v>63.933307332293289</v>
      </c>
      <c r="G36">
        <f>ALL!D36</f>
        <v>57.276227705318774</v>
      </c>
      <c r="H36">
        <f>OBS!D36</f>
        <v>62.862083873757022</v>
      </c>
      <c r="I36">
        <f>SYSREV!D36</f>
        <v>62.256218614971395</v>
      </c>
    </row>
    <row r="37" spans="1:9" x14ac:dyDescent="0.3">
      <c r="A37">
        <v>2025</v>
      </c>
      <c r="B37">
        <f>RCT!D37</f>
        <v>52.772153119274904</v>
      </c>
      <c r="C37">
        <f>CT!D37</f>
        <v>60.31567080045096</v>
      </c>
      <c r="D37">
        <f>META!D37</f>
        <v>61.920260374288041</v>
      </c>
      <c r="E37">
        <f>REVIEW!D37</f>
        <v>52.291421856639253</v>
      </c>
      <c r="F37">
        <f>CCJ!D37</f>
        <v>63.697303739013854</v>
      </c>
      <c r="G37">
        <f>ALL!D37</f>
        <v>57.850175999007583</v>
      </c>
      <c r="H37">
        <f>OBS!D37</f>
        <v>64.419934640522882</v>
      </c>
      <c r="I37">
        <f>SYSREV!D37</f>
        <v>61.140876142451937</v>
      </c>
    </row>
    <row r="38" spans="1:9" x14ac:dyDescent="0.3">
      <c r="A38" t="s">
        <v>9</v>
      </c>
    </row>
    <row r="39" spans="1:9" x14ac:dyDescent="0.3">
      <c r="A39" t="s">
        <v>7</v>
      </c>
    </row>
    <row r="40" spans="1:9" x14ac:dyDescent="0.3">
      <c r="A40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최진혁 [학부 / 의예과]</cp:lastModifiedBy>
  <dcterms:created xsi:type="dcterms:W3CDTF">2025-09-20T09:37:29Z</dcterms:created>
  <dcterms:modified xsi:type="dcterms:W3CDTF">2025-11-29T22:16:00Z</dcterms:modified>
</cp:coreProperties>
</file>