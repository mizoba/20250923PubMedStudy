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cuments\카카오톡 받은 파일\20250923\20251128Fig1PubmedTotal\"/>
    </mc:Choice>
  </mc:AlternateContent>
  <xr:revisionPtr revIDLastSave="0" documentId="13_ncr:1_{C783C563-30A8-4D9F-AAC0-FEF784BB82C9}" xr6:coauthVersionLast="47" xr6:coauthVersionMax="47" xr10:uidLastSave="{00000000-0000-0000-0000-000000000000}"/>
  <bookViews>
    <workbookView xWindow="3675" yWindow="2250" windowWidth="21600" windowHeight="11295" firstSheet="5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D33" i="10" s="1"/>
  <c r="I33" i="11" s="1"/>
  <c r="C34" i="10"/>
  <c r="C35" i="10"/>
  <c r="C36" i="10"/>
  <c r="C37" i="10"/>
  <c r="C38" i="10"/>
  <c r="C39" i="10"/>
  <c r="C40" i="10"/>
  <c r="C1" i="10"/>
  <c r="C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D15" i="10" s="1"/>
  <c r="I15" i="11" s="1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1" i="10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C1" i="9"/>
  <c r="B1" i="9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1" i="6"/>
  <c r="B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1" i="5"/>
  <c r="B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1" i="4"/>
  <c r="B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1" i="3"/>
  <c r="B1" i="3"/>
  <c r="C1" i="1"/>
  <c r="B1" i="1"/>
  <c r="C1" i="2"/>
  <c r="B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C2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D5" i="10"/>
  <c r="I5" i="11" s="1"/>
  <c r="D13" i="10"/>
  <c r="I13" i="11" s="1"/>
  <c r="D21" i="10"/>
  <c r="I21" i="11" s="1"/>
  <c r="D29" i="10"/>
  <c r="I29" i="11" s="1"/>
  <c r="D30" i="10"/>
  <c r="I30" i="11" s="1"/>
  <c r="D37" i="10"/>
  <c r="I37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36" i="9"/>
  <c r="H36" i="11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D2" i="9"/>
  <c r="H2" i="11" s="1"/>
  <c r="D31" i="10" l="1"/>
  <c r="I31" i="11" s="1"/>
  <c r="D23" i="10"/>
  <c r="I23" i="11" s="1"/>
  <c r="D7" i="10"/>
  <c r="I7" i="11" s="1"/>
  <c r="D28" i="9"/>
  <c r="H28" i="11" s="1"/>
  <c r="D20" i="9"/>
  <c r="H20" i="11" s="1"/>
  <c r="D12" i="9"/>
  <c r="H12" i="11" s="1"/>
  <c r="D4" i="9"/>
  <c r="H4" i="11" s="1"/>
  <c r="D14" i="10"/>
  <c r="I14" i="11" s="1"/>
  <c r="D6" i="10"/>
  <c r="I6" i="11" s="1"/>
  <c r="D17" i="10"/>
  <c r="I17" i="11" s="1"/>
  <c r="D22" i="10"/>
  <c r="I22" i="11" s="1"/>
  <c r="D25" i="10"/>
  <c r="I25" i="11" s="1"/>
  <c r="D9" i="10"/>
  <c r="I9" i="11" s="1"/>
  <c r="D40" i="10"/>
  <c r="D39" i="10"/>
  <c r="D33" i="9"/>
  <c r="H33" i="11" s="1"/>
  <c r="D9" i="9"/>
  <c r="H9" i="11" s="1"/>
  <c r="D40" i="9"/>
  <c r="D8" i="9"/>
  <c r="H8" i="11" s="1"/>
  <c r="D32" i="9"/>
  <c r="H32" i="11" s="1"/>
  <c r="D38" i="9"/>
  <c r="D17" i="9"/>
  <c r="H17" i="11" s="1"/>
  <c r="D16" i="9"/>
  <c r="H16" i="11" s="1"/>
  <c r="D25" i="9"/>
  <c r="H25" i="11" s="1"/>
  <c r="D24" i="9"/>
  <c r="H24" i="11" s="1"/>
  <c r="D35" i="9"/>
  <c r="H35" i="11" s="1"/>
  <c r="D27" i="9"/>
  <c r="H27" i="11" s="1"/>
  <c r="D19" i="9"/>
  <c r="H19" i="11" s="1"/>
  <c r="D11" i="9"/>
  <c r="H11" i="11" s="1"/>
  <c r="D3" i="9"/>
  <c r="H3" i="11" s="1"/>
  <c r="D30" i="9"/>
  <c r="H30" i="11" s="1"/>
  <c r="D22" i="9"/>
  <c r="H22" i="11" s="1"/>
  <c r="D14" i="9"/>
  <c r="H14" i="11" s="1"/>
  <c r="D6" i="9"/>
  <c r="H6" i="11" s="1"/>
  <c r="D34" i="9"/>
  <c r="H34" i="11" s="1"/>
  <c r="D26" i="9"/>
  <c r="H26" i="11" s="1"/>
  <c r="D18" i="9"/>
  <c r="H18" i="11" s="1"/>
  <c r="D10" i="9"/>
  <c r="H10" i="11" s="1"/>
  <c r="D37" i="9"/>
  <c r="H37" i="11" s="1"/>
  <c r="D29" i="9"/>
  <c r="H29" i="11" s="1"/>
  <c r="D21" i="9"/>
  <c r="H21" i="11" s="1"/>
  <c r="D13" i="9"/>
  <c r="H13" i="11" s="1"/>
  <c r="D5" i="9"/>
  <c r="H5" i="11" s="1"/>
  <c r="D32" i="10"/>
  <c r="I32" i="11" s="1"/>
  <c r="D24" i="10"/>
  <c r="I24" i="11" s="1"/>
  <c r="D16" i="10"/>
  <c r="I16" i="11" s="1"/>
  <c r="D8" i="10"/>
  <c r="I8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2" i="10"/>
  <c r="I2" i="11" s="1"/>
  <c r="D14" i="6"/>
  <c r="G14" i="11" s="1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8" i="6" l="1"/>
  <c r="G8" i="11" s="1"/>
  <c r="D7" i="6"/>
  <c r="G7" i="11" s="1"/>
  <c r="D13" i="6"/>
  <c r="G13" i="11" s="1"/>
  <c r="G8" i="8"/>
  <c r="G7" i="8"/>
  <c r="G14" i="8"/>
  <c r="G13" i="8"/>
  <c r="D11" i="6"/>
  <c r="G11" i="11" s="1"/>
  <c r="D3" i="6"/>
  <c r="G3" i="11" s="1"/>
  <c r="D10" i="6"/>
  <c r="G10" i="11" s="1"/>
  <c r="D12" i="6"/>
  <c r="G12" i="11" s="1"/>
  <c r="D9" i="6"/>
  <c r="G9" i="11" s="1"/>
  <c r="D15" i="6"/>
  <c r="G15" i="11" s="1"/>
  <c r="D16" i="6"/>
  <c r="G16" i="11" s="1"/>
  <c r="D17" i="6"/>
  <c r="G17" i="11" s="1"/>
  <c r="D18" i="6"/>
  <c r="G18" i="11" s="1"/>
  <c r="D2" i="6"/>
  <c r="G2" i="11" s="1"/>
  <c r="D2" i="5"/>
  <c r="F2" i="11" s="1"/>
  <c r="D35" i="4"/>
  <c r="E35" i="11" s="1"/>
  <c r="D30" i="6"/>
  <c r="G30" i="11" s="1"/>
  <c r="D31" i="6"/>
  <c r="G31" i="11" s="1"/>
  <c r="D32" i="6"/>
  <c r="G32" i="11" s="1"/>
  <c r="D33" i="6"/>
  <c r="G33" i="11" s="1"/>
  <c r="D34" i="6"/>
  <c r="G34" i="11" s="1"/>
  <c r="D35" i="6"/>
  <c r="G35" i="11" s="1"/>
  <c r="D36" i="6"/>
  <c r="G36" i="11" s="1"/>
  <c r="D37" i="6"/>
  <c r="G37" i="11" s="1"/>
  <c r="D36" i="4"/>
  <c r="E36" i="11" s="1"/>
  <c r="D19" i="6"/>
  <c r="G19" i="11" s="1"/>
  <c r="D21" i="6"/>
  <c r="G21" i="11" s="1"/>
  <c r="D22" i="6"/>
  <c r="G22" i="11" s="1"/>
  <c r="D20" i="6"/>
  <c r="G20" i="11" s="1"/>
  <c r="D23" i="6"/>
  <c r="G23" i="11" s="1"/>
  <c r="D24" i="6"/>
  <c r="G24" i="11" s="1"/>
  <c r="D25" i="6"/>
  <c r="G25" i="11" s="1"/>
  <c r="D26" i="6"/>
  <c r="G26" i="11" s="1"/>
  <c r="D27" i="6"/>
  <c r="G27" i="11" s="1"/>
  <c r="D6" i="3"/>
  <c r="D6" i="11" s="1"/>
  <c r="D8" i="3"/>
  <c r="D8" i="11" s="1"/>
  <c r="D13" i="3"/>
  <c r="D13" i="11" s="1"/>
  <c r="D17" i="3"/>
  <c r="D17" i="11" s="1"/>
  <c r="D22" i="3"/>
  <c r="D22" i="11" s="1"/>
  <c r="D3" i="3"/>
  <c r="D3" i="11" s="1"/>
  <c r="D9" i="3"/>
  <c r="D9" i="11" s="1"/>
  <c r="D10" i="3"/>
  <c r="D10" i="11" s="1"/>
  <c r="D18" i="3"/>
  <c r="D18" i="11" s="1"/>
  <c r="D24" i="3"/>
  <c r="D24" i="11" s="1"/>
  <c r="D5" i="3"/>
  <c r="D5" i="11" s="1"/>
  <c r="D12" i="3"/>
  <c r="D12" i="11" s="1"/>
  <c r="D16" i="3"/>
  <c r="D16" i="11" s="1"/>
  <c r="D21" i="3"/>
  <c r="D21" i="11" s="1"/>
  <c r="D25" i="3"/>
  <c r="D25" i="11" s="1"/>
  <c r="D4" i="3"/>
  <c r="D4" i="11" s="1"/>
  <c r="D15" i="3"/>
  <c r="D15" i="11" s="1"/>
  <c r="D19" i="3"/>
  <c r="D19" i="11" s="1"/>
  <c r="D23" i="3"/>
  <c r="D23" i="11" s="1"/>
  <c r="D11" i="3"/>
  <c r="D11" i="11" s="1"/>
  <c r="D7" i="3"/>
  <c r="D7" i="11" s="1"/>
  <c r="D14" i="3"/>
  <c r="D14" i="11" s="1"/>
  <c r="D20" i="3"/>
  <c r="D20" i="11" s="1"/>
  <c r="D4" i="6"/>
  <c r="G4" i="11" s="1"/>
  <c r="D5" i="6"/>
  <c r="G5" i="11" s="1"/>
  <c r="D6" i="6"/>
  <c r="G6" i="11" s="1"/>
  <c r="D28" i="6"/>
  <c r="G28" i="11" s="1"/>
  <c r="D29" i="6"/>
  <c r="G29" i="11" s="1"/>
  <c r="D6" i="4"/>
  <c r="E6" i="11" s="1"/>
  <c r="D10" i="4"/>
  <c r="E10" i="11" s="1"/>
  <c r="D13" i="4"/>
  <c r="E13" i="11" s="1"/>
  <c r="D17" i="4"/>
  <c r="E17" i="11" s="1"/>
  <c r="D20" i="4"/>
  <c r="E20" i="11" s="1"/>
  <c r="D23" i="4"/>
  <c r="E23" i="11" s="1"/>
  <c r="D26" i="4"/>
  <c r="E26" i="11" s="1"/>
  <c r="D29" i="4"/>
  <c r="E29" i="11" s="1"/>
  <c r="D32" i="4"/>
  <c r="E32" i="11" s="1"/>
  <c r="D7" i="4"/>
  <c r="E7" i="11" s="1"/>
  <c r="D11" i="4"/>
  <c r="E11" i="11" s="1"/>
  <c r="D14" i="4"/>
  <c r="E14" i="11" s="1"/>
  <c r="D18" i="4"/>
  <c r="E18" i="11" s="1"/>
  <c r="D21" i="4"/>
  <c r="E21" i="11" s="1"/>
  <c r="D24" i="4"/>
  <c r="E24" i="11" s="1"/>
  <c r="D27" i="4"/>
  <c r="E27" i="11" s="1"/>
  <c r="D30" i="4"/>
  <c r="E30" i="11" s="1"/>
  <c r="D33" i="4"/>
  <c r="E33" i="11" s="1"/>
  <c r="D3" i="4"/>
  <c r="E3" i="11" s="1"/>
  <c r="D4" i="4"/>
  <c r="E4" i="11" s="1"/>
  <c r="D5" i="4"/>
  <c r="E5" i="11" s="1"/>
  <c r="D8" i="4"/>
  <c r="E8" i="11" s="1"/>
  <c r="D9" i="4"/>
  <c r="E9" i="11" s="1"/>
  <c r="D12" i="4"/>
  <c r="E12" i="11" s="1"/>
  <c r="D15" i="4"/>
  <c r="E15" i="11" s="1"/>
  <c r="D16" i="4"/>
  <c r="E16" i="11" s="1"/>
  <c r="D19" i="4"/>
  <c r="E19" i="11" s="1"/>
  <c r="D22" i="4"/>
  <c r="E22" i="11" s="1"/>
  <c r="D25" i="4"/>
  <c r="E25" i="11" s="1"/>
  <c r="D28" i="4"/>
  <c r="E28" i="11" s="1"/>
  <c r="D31" i="4"/>
  <c r="E31" i="11" s="1"/>
  <c r="D34" i="4"/>
  <c r="E34" i="11" s="1"/>
  <c r="D2" i="4"/>
  <c r="E2" i="11" s="1"/>
  <c r="D30" i="3"/>
  <c r="D30" i="11" s="1"/>
  <c r="D31" i="3"/>
  <c r="D31" i="11" s="1"/>
  <c r="D32" i="3"/>
  <c r="D32" i="11" s="1"/>
  <c r="D33" i="3"/>
  <c r="D33" i="11" s="1"/>
  <c r="D34" i="3"/>
  <c r="D34" i="11" s="1"/>
  <c r="D35" i="3"/>
  <c r="D35" i="11" s="1"/>
  <c r="D36" i="3"/>
  <c r="D36" i="11" s="1"/>
  <c r="D3" i="5"/>
  <c r="F3" i="11" s="1"/>
  <c r="D4" i="5"/>
  <c r="F4" i="11" s="1"/>
  <c r="D5" i="5"/>
  <c r="F5" i="11" s="1"/>
  <c r="D6" i="5"/>
  <c r="F6" i="11" s="1"/>
  <c r="D7" i="5"/>
  <c r="F7" i="11" s="1"/>
  <c r="D8" i="5"/>
  <c r="F8" i="11" s="1"/>
  <c r="D9" i="5"/>
  <c r="F9" i="11" s="1"/>
  <c r="D10" i="5"/>
  <c r="F10" i="11" s="1"/>
  <c r="D11" i="5"/>
  <c r="F11" i="11" s="1"/>
  <c r="D12" i="5"/>
  <c r="F12" i="11" s="1"/>
  <c r="D13" i="5"/>
  <c r="F13" i="11" s="1"/>
  <c r="D14" i="5"/>
  <c r="F14" i="11" s="1"/>
  <c r="D15" i="5"/>
  <c r="F15" i="11" s="1"/>
  <c r="D16" i="5"/>
  <c r="F16" i="11" s="1"/>
  <c r="D17" i="5"/>
  <c r="F17" i="11" s="1"/>
  <c r="D18" i="5"/>
  <c r="F18" i="11" s="1"/>
  <c r="D19" i="5"/>
  <c r="F19" i="11" s="1"/>
  <c r="D20" i="5"/>
  <c r="F20" i="11" s="1"/>
  <c r="D21" i="5"/>
  <c r="F21" i="11" s="1"/>
  <c r="D22" i="5"/>
  <c r="F22" i="11" s="1"/>
  <c r="D23" i="5"/>
  <c r="F23" i="11" s="1"/>
  <c r="D24" i="5"/>
  <c r="F24" i="11" s="1"/>
  <c r="D25" i="5"/>
  <c r="F25" i="11" s="1"/>
  <c r="D26" i="5"/>
  <c r="F26" i="11" s="1"/>
  <c r="D37" i="4"/>
  <c r="E37" i="11" s="1"/>
  <c r="D26" i="3"/>
  <c r="D26" i="11" s="1"/>
  <c r="D27" i="3"/>
  <c r="D27" i="11" s="1"/>
  <c r="D28" i="3"/>
  <c r="D28" i="11" s="1"/>
  <c r="D29" i="3"/>
  <c r="D29" i="11" s="1"/>
  <c r="D27" i="5"/>
  <c r="F27" i="11" s="1"/>
  <c r="D28" i="5"/>
  <c r="F28" i="11" s="1"/>
  <c r="D29" i="5"/>
  <c r="F29" i="11" s="1"/>
  <c r="D30" i="5"/>
  <c r="F30" i="11" s="1"/>
  <c r="D31" i="5"/>
  <c r="F31" i="11" s="1"/>
  <c r="D32" i="5"/>
  <c r="F32" i="11" s="1"/>
  <c r="D33" i="5"/>
  <c r="F33" i="11" s="1"/>
  <c r="D34" i="5"/>
  <c r="F34" i="11" s="1"/>
  <c r="D35" i="5"/>
  <c r="F35" i="11" s="1"/>
  <c r="D36" i="5"/>
  <c r="F36" i="11" s="1"/>
  <c r="D37" i="5"/>
  <c r="F37" i="11" s="1"/>
  <c r="D37" i="3"/>
  <c r="D37" i="11" s="1"/>
  <c r="D2" i="3"/>
  <c r="D2" i="11" s="1"/>
  <c r="D3" i="2"/>
  <c r="C3" i="11" s="1"/>
  <c r="D5" i="2"/>
  <c r="C5" i="11" s="1"/>
  <c r="D7" i="2"/>
  <c r="C7" i="11" s="1"/>
  <c r="D8" i="2"/>
  <c r="C8" i="11" s="1"/>
  <c r="D9" i="2"/>
  <c r="C9" i="11" s="1"/>
  <c r="D13" i="2"/>
  <c r="C13" i="11" s="1"/>
  <c r="D16" i="2"/>
  <c r="C16" i="11" s="1"/>
  <c r="D19" i="2"/>
  <c r="C19" i="11" s="1"/>
  <c r="D22" i="2"/>
  <c r="C22" i="11" s="1"/>
  <c r="D25" i="2"/>
  <c r="C25" i="11" s="1"/>
  <c r="D27" i="2"/>
  <c r="C27" i="11" s="1"/>
  <c r="D28" i="2"/>
  <c r="C28" i="11" s="1"/>
  <c r="D29" i="2"/>
  <c r="C29" i="11" s="1"/>
  <c r="D30" i="2"/>
  <c r="C30" i="11" s="1"/>
  <c r="D31" i="2"/>
  <c r="C31" i="11" s="1"/>
  <c r="D32" i="2"/>
  <c r="C32" i="11" s="1"/>
  <c r="D33" i="2"/>
  <c r="C33" i="11" s="1"/>
  <c r="D34" i="2"/>
  <c r="C34" i="11" s="1"/>
  <c r="D35" i="2"/>
  <c r="C35" i="11" s="1"/>
  <c r="D36" i="2"/>
  <c r="C36" i="11" s="1"/>
  <c r="D37" i="2"/>
  <c r="C37" i="11" s="1"/>
  <c r="D4" i="2"/>
  <c r="C4" i="11" s="1"/>
  <c r="D10" i="2"/>
  <c r="C10" i="11" s="1"/>
  <c r="D12" i="2"/>
  <c r="C12" i="11" s="1"/>
  <c r="D18" i="2"/>
  <c r="C18" i="11" s="1"/>
  <c r="D21" i="2"/>
  <c r="C21" i="11" s="1"/>
  <c r="D24" i="2"/>
  <c r="C24" i="11" s="1"/>
  <c r="D6" i="2"/>
  <c r="C6" i="11" s="1"/>
  <c r="D11" i="2"/>
  <c r="C11" i="11" s="1"/>
  <c r="D14" i="2"/>
  <c r="C14" i="11" s="1"/>
  <c r="D17" i="2"/>
  <c r="C17" i="11" s="1"/>
  <c r="D20" i="2"/>
  <c r="C20" i="11" s="1"/>
  <c r="D23" i="2"/>
  <c r="C23" i="11" s="1"/>
  <c r="D26" i="2"/>
  <c r="C26" i="11" s="1"/>
  <c r="D2" i="2"/>
  <c r="C2" i="11" s="1"/>
  <c r="D3" i="1"/>
  <c r="B3" i="11" s="1"/>
  <c r="D17" i="1"/>
  <c r="B17" i="11" s="1"/>
  <c r="D19" i="1"/>
  <c r="B19" i="11" s="1"/>
  <c r="D20" i="1"/>
  <c r="B20" i="11" s="1"/>
  <c r="D21" i="1"/>
  <c r="B21" i="11" s="1"/>
  <c r="D22" i="1"/>
  <c r="B22" i="11" s="1"/>
  <c r="D27" i="1"/>
  <c r="B27" i="11" s="1"/>
  <c r="D30" i="1"/>
  <c r="B30" i="11" s="1"/>
  <c r="D31" i="1"/>
  <c r="B31" i="11" s="1"/>
  <c r="D34" i="1"/>
  <c r="B34" i="11" s="1"/>
  <c r="D6" i="1"/>
  <c r="B6" i="11" s="1"/>
  <c r="D4" i="1"/>
  <c r="B4" i="11" s="1"/>
  <c r="D29" i="1"/>
  <c r="B29" i="11" s="1"/>
  <c r="D35" i="1"/>
  <c r="B35" i="11" s="1"/>
  <c r="D37" i="1"/>
  <c r="B37" i="11" s="1"/>
  <c r="D11" i="1"/>
  <c r="B11" i="11" s="1"/>
  <c r="D32" i="1"/>
  <c r="B32" i="11" s="1"/>
  <c r="D36" i="1"/>
  <c r="B36" i="11" s="1"/>
  <c r="D5" i="1"/>
  <c r="B5" i="11" s="1"/>
  <c r="D8" i="1"/>
  <c r="B8" i="11" s="1"/>
  <c r="D12" i="1"/>
  <c r="B12" i="11" s="1"/>
  <c r="D7" i="1"/>
  <c r="B7" i="11" s="1"/>
  <c r="D13" i="1"/>
  <c r="B13" i="11" s="1"/>
  <c r="D26" i="1"/>
  <c r="B26" i="11" s="1"/>
  <c r="D10" i="1"/>
  <c r="B10" i="11" s="1"/>
  <c r="D33" i="1"/>
  <c r="B33" i="11" s="1"/>
  <c r="D25" i="1"/>
  <c r="B25" i="11" s="1"/>
  <c r="D9" i="1"/>
  <c r="B9" i="11" s="1"/>
  <c r="D24" i="1"/>
  <c r="B24" i="11" s="1"/>
  <c r="D16" i="1"/>
  <c r="B16" i="11" s="1"/>
  <c r="D14" i="1"/>
  <c r="B14" i="11" s="1"/>
  <c r="D28" i="1"/>
  <c r="B28" i="11" s="1"/>
  <c r="D18" i="1"/>
  <c r="B18" i="11" s="1"/>
  <c r="D23" i="1"/>
  <c r="B23" i="11" s="1"/>
  <c r="D15" i="1"/>
  <c r="B15" i="11" s="1"/>
  <c r="D2" i="1"/>
  <c r="B2" i="11" s="1"/>
  <c r="B3" i="8" l="1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15" i="11" s="1"/>
  <c r="K1" i="11" s="1" a="1"/>
  <c r="C2" i="8"/>
  <c r="D40" i="1"/>
  <c r="D39" i="1"/>
  <c r="B2" i="8"/>
  <c r="K1" i="11" l="1"/>
  <c r="I1" i="7" s="1"/>
  <c r="M1" i="7"/>
  <c r="N1" i="7"/>
  <c r="V1" i="7"/>
  <c r="AD1" i="7"/>
  <c r="AL1" i="7"/>
  <c r="I2" i="7"/>
  <c r="Q2" i="7"/>
  <c r="Y2" i="7"/>
  <c r="AG2" i="7"/>
  <c r="AO2" i="7"/>
  <c r="L3" i="7"/>
  <c r="T3" i="7"/>
  <c r="AB3" i="7"/>
  <c r="AJ3" i="7"/>
  <c r="AR3" i="7"/>
  <c r="O4" i="7"/>
  <c r="W4" i="7"/>
  <c r="AE4" i="7"/>
  <c r="AM4" i="7"/>
  <c r="J5" i="7"/>
  <c r="R5" i="7"/>
  <c r="Z5" i="7"/>
  <c r="AH5" i="7"/>
  <c r="AP5" i="7"/>
  <c r="M6" i="7"/>
  <c r="U6" i="7"/>
  <c r="AC6" i="7"/>
  <c r="AK6" i="7"/>
  <c r="AS6" i="7"/>
  <c r="P7" i="7"/>
  <c r="X7" i="7"/>
  <c r="AF7" i="7"/>
  <c r="AN7" i="7"/>
  <c r="AM8" i="7"/>
  <c r="AA9" i="7"/>
  <c r="AI9" i="7"/>
  <c r="AQ9" i="7"/>
  <c r="P2" i="7"/>
  <c r="AI3" i="7"/>
  <c r="Y5" i="7"/>
  <c r="AR6" i="7"/>
  <c r="I9" i="7"/>
  <c r="O1" i="7"/>
  <c r="W1" i="7"/>
  <c r="AE1" i="7"/>
  <c r="AM1" i="7"/>
  <c r="J2" i="7"/>
  <c r="R2" i="7"/>
  <c r="Z2" i="7"/>
  <c r="AH2" i="7"/>
  <c r="AP2" i="7"/>
  <c r="M3" i="7"/>
  <c r="U3" i="7"/>
  <c r="AC3" i="7"/>
  <c r="AK3" i="7"/>
  <c r="AS3" i="7"/>
  <c r="P4" i="7"/>
  <c r="X4" i="7"/>
  <c r="AF4" i="7"/>
  <c r="AN4" i="7"/>
  <c r="K5" i="7"/>
  <c r="S5" i="7"/>
  <c r="AA5" i="7"/>
  <c r="AI5" i="7"/>
  <c r="AQ5" i="7"/>
  <c r="N6" i="7"/>
  <c r="V6" i="7"/>
  <c r="AD6" i="7"/>
  <c r="AL6" i="7"/>
  <c r="I7" i="7"/>
  <c r="Q7" i="7"/>
  <c r="Y7" i="7"/>
  <c r="AG7" i="7"/>
  <c r="AO7" i="7"/>
  <c r="AF8" i="7"/>
  <c r="AN8" i="7"/>
  <c r="AB9" i="7"/>
  <c r="AJ9" i="7"/>
  <c r="AR9" i="7"/>
  <c r="AF2" i="7"/>
  <c r="AA3" i="7"/>
  <c r="AL4" i="7"/>
  <c r="T6" i="7"/>
  <c r="AE7" i="7"/>
  <c r="P1" i="7"/>
  <c r="X1" i="7"/>
  <c r="AF1" i="7"/>
  <c r="AN1" i="7"/>
  <c r="K2" i="7"/>
  <c r="S2" i="7"/>
  <c r="AA2" i="7"/>
  <c r="AI2" i="7"/>
  <c r="AQ2" i="7"/>
  <c r="N3" i="7"/>
  <c r="V3" i="7"/>
  <c r="AD3" i="7"/>
  <c r="AL3" i="7"/>
  <c r="I4" i="7"/>
  <c r="Q4" i="7"/>
  <c r="Y4" i="7"/>
  <c r="AG4" i="7"/>
  <c r="AO4" i="7"/>
  <c r="L5" i="7"/>
  <c r="T5" i="7"/>
  <c r="AB5" i="7"/>
  <c r="AJ5" i="7"/>
  <c r="AR5" i="7"/>
  <c r="O6" i="7"/>
  <c r="W6" i="7"/>
  <c r="AE6" i="7"/>
  <c r="AM6" i="7"/>
  <c r="J7" i="7"/>
  <c r="R7" i="7"/>
  <c r="Z7" i="7"/>
  <c r="AH7" i="7"/>
  <c r="AP7" i="7"/>
  <c r="AG8" i="7"/>
  <c r="AO8" i="7"/>
  <c r="AC9" i="7"/>
  <c r="AK9" i="7"/>
  <c r="AS9" i="7"/>
  <c r="U1" i="7"/>
  <c r="V4" i="7"/>
  <c r="L6" i="7"/>
  <c r="AM7" i="7"/>
  <c r="Z9" i="7"/>
  <c r="Q1" i="7"/>
  <c r="Y1" i="7"/>
  <c r="AG1" i="7"/>
  <c r="AO1" i="7"/>
  <c r="L2" i="7"/>
  <c r="T2" i="7"/>
  <c r="AB2" i="7"/>
  <c r="AJ2" i="7"/>
  <c r="AR2" i="7"/>
  <c r="O3" i="7"/>
  <c r="W3" i="7"/>
  <c r="AE3" i="7"/>
  <c r="AM3" i="7"/>
  <c r="J4" i="7"/>
  <c r="R4" i="7"/>
  <c r="Z4" i="7"/>
  <c r="AH4" i="7"/>
  <c r="AP4" i="7"/>
  <c r="M5" i="7"/>
  <c r="U5" i="7"/>
  <c r="AC5" i="7"/>
  <c r="AK5" i="7"/>
  <c r="AS5" i="7"/>
  <c r="P6" i="7"/>
  <c r="X6" i="7"/>
  <c r="AF6" i="7"/>
  <c r="AN6" i="7"/>
  <c r="K7" i="7"/>
  <c r="S7" i="7"/>
  <c r="AA7" i="7"/>
  <c r="AI7" i="7"/>
  <c r="AQ7" i="7"/>
  <c r="AH8" i="7"/>
  <c r="AP8" i="7"/>
  <c r="V9" i="7"/>
  <c r="AD9" i="7"/>
  <c r="AL9" i="7"/>
  <c r="X2" i="7"/>
  <c r="K3" i="7"/>
  <c r="AD4" i="7"/>
  <c r="AO5" i="7"/>
  <c r="W7" i="7"/>
  <c r="AP9" i="7"/>
  <c r="J1" i="7"/>
  <c r="R1" i="7"/>
  <c r="Z1" i="7"/>
  <c r="AH1" i="7"/>
  <c r="AP1" i="7"/>
  <c r="M2" i="7"/>
  <c r="U2" i="7"/>
  <c r="AC2" i="7"/>
  <c r="AK2" i="7"/>
  <c r="AS2" i="7"/>
  <c r="P3" i="7"/>
  <c r="X3" i="7"/>
  <c r="AF3" i="7"/>
  <c r="AN3" i="7"/>
  <c r="K4" i="7"/>
  <c r="S4" i="7"/>
  <c r="AA4" i="7"/>
  <c r="AI4" i="7"/>
  <c r="AQ4" i="7"/>
  <c r="N5" i="7"/>
  <c r="V5" i="7"/>
  <c r="AD5" i="7"/>
  <c r="AL5" i="7"/>
  <c r="I6" i="7"/>
  <c r="Q6" i="7"/>
  <c r="Y6" i="7"/>
  <c r="AG6" i="7"/>
  <c r="AO6" i="7"/>
  <c r="L7" i="7"/>
  <c r="T7" i="7"/>
  <c r="AB7" i="7"/>
  <c r="AJ7" i="7"/>
  <c r="AR7" i="7"/>
  <c r="AI8" i="7"/>
  <c r="AQ8" i="7"/>
  <c r="W9" i="7"/>
  <c r="AE9" i="7"/>
  <c r="AM9" i="7"/>
  <c r="AK1" i="7"/>
  <c r="AN2" i="7"/>
  <c r="N4" i="7"/>
  <c r="Q5" i="7"/>
  <c r="AB6" i="7"/>
  <c r="AL8" i="7"/>
  <c r="K1" i="7"/>
  <c r="S1" i="7"/>
  <c r="AA1" i="7"/>
  <c r="AI1" i="7"/>
  <c r="AQ1" i="7"/>
  <c r="N2" i="7"/>
  <c r="V2" i="7"/>
  <c r="AD2" i="7"/>
  <c r="AL2" i="7"/>
  <c r="I3" i="7"/>
  <c r="Q3" i="7"/>
  <c r="Y3" i="7"/>
  <c r="AG3" i="7"/>
  <c r="AO3" i="7"/>
  <c r="L4" i="7"/>
  <c r="T4" i="7"/>
  <c r="AB4" i="7"/>
  <c r="AJ4" i="7"/>
  <c r="AR4" i="7"/>
  <c r="O5" i="7"/>
  <c r="W5" i="7"/>
  <c r="AE5" i="7"/>
  <c r="AM5" i="7"/>
  <c r="J6" i="7"/>
  <c r="R6" i="7"/>
  <c r="Z6" i="7"/>
  <c r="AH6" i="7"/>
  <c r="AP6" i="7"/>
  <c r="M7" i="7"/>
  <c r="U7" i="7"/>
  <c r="AC7" i="7"/>
  <c r="AK7" i="7"/>
  <c r="AS7" i="7"/>
  <c r="AJ8" i="7"/>
  <c r="AR8" i="7"/>
  <c r="X9" i="7"/>
  <c r="AF9" i="7"/>
  <c r="AN9" i="7"/>
  <c r="AS1" i="7"/>
  <c r="AQ3" i="7"/>
  <c r="AG5" i="7"/>
  <c r="O7" i="7"/>
  <c r="AH9" i="7"/>
  <c r="L1" i="7"/>
  <c r="T1" i="7"/>
  <c r="AB1" i="7"/>
  <c r="AJ1" i="7"/>
  <c r="AR1" i="7"/>
  <c r="O2" i="7"/>
  <c r="W2" i="7"/>
  <c r="AE2" i="7"/>
  <c r="AM2" i="7"/>
  <c r="J3" i="7"/>
  <c r="R3" i="7"/>
  <c r="Z3" i="7"/>
  <c r="AH3" i="7"/>
  <c r="AP3" i="7"/>
  <c r="M4" i="7"/>
  <c r="U4" i="7"/>
  <c r="AC4" i="7"/>
  <c r="AK4" i="7"/>
  <c r="AS4" i="7"/>
  <c r="P5" i="7"/>
  <c r="X5" i="7"/>
  <c r="AF5" i="7"/>
  <c r="AN5" i="7"/>
  <c r="K6" i="7"/>
  <c r="S6" i="7"/>
  <c r="AA6" i="7"/>
  <c r="AI6" i="7"/>
  <c r="AQ6" i="7"/>
  <c r="N7" i="7"/>
  <c r="V7" i="7"/>
  <c r="AD7" i="7"/>
  <c r="AL7" i="7"/>
  <c r="I8" i="7"/>
  <c r="AK8" i="7"/>
  <c r="AS8" i="7"/>
  <c r="Y9" i="7"/>
  <c r="AG9" i="7"/>
  <c r="AO9" i="7"/>
  <c r="AC1" i="7"/>
  <c r="S3" i="7"/>
  <c r="I5" i="7"/>
  <c r="AJ6" i="7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C39" i="8" l="1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<sst xmlns="http://schemas.openxmlformats.org/spreadsheetml/2006/main" count="63" uniqueCount="14">
  <si>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</si>
  <si>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</si>
  <si>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</si>
  <si>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</si>
  <si>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</si>
  <si>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</si>
  <si>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</si>
  <si>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</si>
  <si>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</si>
  <si>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</si>
  <si>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</si>
  <si>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Observational study</t>
    <phoneticPr fontId="1" type="noConversion"/>
  </si>
  <si>
    <t>Systematic review</t>
    <phoneticPr fontId="1" type="noConversion"/>
  </si>
  <si>
    <t>HasPvalue same or lower than n=100 excluded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</si>
</sst>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96.06557377049181</c:v>
                </c:pt>
                <c:pt idx="1">
                  <c:v>95.345167652859971</c:v>
                </c:pt>
                <c:pt idx="2">
                  <c:v>95.272206303724928</c:v>
                </c:pt>
                <c:pt idx="3">
                  <c:v>95.132039452752153</c:v>
                </c:pt>
                <c:pt idx="4">
                  <c:v>94.593867670790743</c:v>
                </c:pt>
                <c:pt idx="5">
                  <c:v>95.023923444976077</c:v>
                </c:pt>
                <c:pt idx="6">
                  <c:v>95.572127709158707</c:v>
                </c:pt>
                <c:pt idx="7">
                  <c:v>94.60762823323104</c:v>
                </c:pt>
                <c:pt idx="8">
                  <c:v>94.282188399835448</c:v>
                </c:pt>
                <c:pt idx="9">
                  <c:v>94.164653410146812</c:v>
                </c:pt>
                <c:pt idx="10">
                  <c:v>94.121004566210047</c:v>
                </c:pt>
                <c:pt idx="11">
                  <c:v>93.59219919902489</c:v>
                </c:pt>
                <c:pt idx="12">
                  <c:v>93.477542932628793</c:v>
                </c:pt>
                <c:pt idx="13">
                  <c:v>93.235805330243338</c:v>
                </c:pt>
                <c:pt idx="14">
                  <c:v>93.423948220064716</c:v>
                </c:pt>
                <c:pt idx="15">
                  <c:v>92.69911504424779</c:v>
                </c:pt>
                <c:pt idx="16">
                  <c:v>92.879798753144485</c:v>
                </c:pt>
                <c:pt idx="17">
                  <c:v>92.892792972649232</c:v>
                </c:pt>
                <c:pt idx="18">
                  <c:v>92.660638707195076</c:v>
                </c:pt>
                <c:pt idx="19">
                  <c:v>92.663849680841508</c:v>
                </c:pt>
                <c:pt idx="20">
                  <c:v>92.314714914100762</c:v>
                </c:pt>
                <c:pt idx="21">
                  <c:v>92.558902475395172</c:v>
                </c:pt>
                <c:pt idx="22">
                  <c:v>92.357205772748827</c:v>
                </c:pt>
                <c:pt idx="23">
                  <c:v>92.125984251968504</c:v>
                </c:pt>
                <c:pt idx="24">
                  <c:v>92.004490457777223</c:v>
                </c:pt>
                <c:pt idx="25">
                  <c:v>91.601683376655529</c:v>
                </c:pt>
                <c:pt idx="26">
                  <c:v>91.259837481604706</c:v>
                </c:pt>
                <c:pt idx="27">
                  <c:v>91.163026917216854</c:v>
                </c:pt>
                <c:pt idx="28">
                  <c:v>90.702062593532446</c:v>
                </c:pt>
                <c:pt idx="29">
                  <c:v>90.632547816437096</c:v>
                </c:pt>
                <c:pt idx="30">
                  <c:v>90.104730949801365</c:v>
                </c:pt>
                <c:pt idx="31">
                  <c:v>90.350520258094519</c:v>
                </c:pt>
                <c:pt idx="32">
                  <c:v>90.403245337854202</c:v>
                </c:pt>
                <c:pt idx="33">
                  <c:v>90.18161955482725</c:v>
                </c:pt>
                <c:pt idx="34">
                  <c:v>90.987518355359768</c:v>
                </c:pt>
                <c:pt idx="35">
                  <c:v>90.714492334393981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97.913950456323334</c:v>
                </c:pt>
                <c:pt idx="1">
                  <c:v>98.412698412698404</c:v>
                </c:pt>
                <c:pt idx="2">
                  <c:v>98.012422360248451</c:v>
                </c:pt>
                <c:pt idx="3">
                  <c:v>96.832579185520359</c:v>
                </c:pt>
                <c:pt idx="4">
                  <c:v>97.356426618049227</c:v>
                </c:pt>
                <c:pt idx="5">
                  <c:v>97.169811320754718</c:v>
                </c:pt>
                <c:pt idx="6">
                  <c:v>96.689895470383277</c:v>
                </c:pt>
                <c:pt idx="7">
                  <c:v>97.227497151538174</c:v>
                </c:pt>
                <c:pt idx="8">
                  <c:v>97.047028800583305</c:v>
                </c:pt>
                <c:pt idx="9">
                  <c:v>96.865104496516778</c:v>
                </c:pt>
                <c:pt idx="10">
                  <c:v>96.706028589185834</c:v>
                </c:pt>
                <c:pt idx="11">
                  <c:v>97.185741088180109</c:v>
                </c:pt>
                <c:pt idx="12">
                  <c:v>96.026261230131311</c:v>
                </c:pt>
                <c:pt idx="13">
                  <c:v>96.716826265389884</c:v>
                </c:pt>
                <c:pt idx="14">
                  <c:v>96.503318019397653</c:v>
                </c:pt>
                <c:pt idx="15">
                  <c:v>96.243494003168138</c:v>
                </c:pt>
                <c:pt idx="16">
                  <c:v>95.386444708680145</c:v>
                </c:pt>
                <c:pt idx="17">
                  <c:v>95.394893820090672</c:v>
                </c:pt>
                <c:pt idx="18">
                  <c:v>95.100279258695096</c:v>
                </c:pt>
                <c:pt idx="19">
                  <c:v>95.683074493287705</c:v>
                </c:pt>
                <c:pt idx="20">
                  <c:v>95.638004512409125</c:v>
                </c:pt>
                <c:pt idx="21">
                  <c:v>95.650301464254952</c:v>
                </c:pt>
                <c:pt idx="22">
                  <c:v>95.359719243517262</c:v>
                </c:pt>
                <c:pt idx="23">
                  <c:v>95.652173913043484</c:v>
                </c:pt>
                <c:pt idx="24">
                  <c:v>95.643680406329352</c:v>
                </c:pt>
                <c:pt idx="25">
                  <c:v>95.515125872646507</c:v>
                </c:pt>
                <c:pt idx="26">
                  <c:v>95.227660092524957</c:v>
                </c:pt>
                <c:pt idx="27">
                  <c:v>94.429984383133785</c:v>
                </c:pt>
                <c:pt idx="28">
                  <c:v>94.432828018818611</c:v>
                </c:pt>
                <c:pt idx="29">
                  <c:v>94.956429891734885</c:v>
                </c:pt>
                <c:pt idx="30">
                  <c:v>95.815052311846102</c:v>
                </c:pt>
                <c:pt idx="31">
                  <c:v>94.902386117136658</c:v>
                </c:pt>
                <c:pt idx="32">
                  <c:v>94.430992736077485</c:v>
                </c:pt>
                <c:pt idx="33">
                  <c:v>94.487717195925697</c:v>
                </c:pt>
                <c:pt idx="34">
                  <c:v>93.482983345401877</c:v>
                </c:pt>
                <c:pt idx="35">
                  <c:v>95.490417136414891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90</c:v>
                </c:pt>
                <c:pt idx="1">
                  <c:v>89.189189189189193</c:v>
                </c:pt>
                <c:pt idx="2">
                  <c:v>90.909090909090907</c:v>
                </c:pt>
                <c:pt idx="3">
                  <c:v>96.721311475409834</c:v>
                </c:pt>
                <c:pt idx="4">
                  <c:v>92.307692307692307</c:v>
                </c:pt>
                <c:pt idx="5">
                  <c:v>92.222222222222229</c:v>
                </c:pt>
                <c:pt idx="6">
                  <c:v>94.791666666666657</c:v>
                </c:pt>
                <c:pt idx="7">
                  <c:v>95.041322314049594</c:v>
                </c:pt>
                <c:pt idx="8">
                  <c:v>87.931034482758619</c:v>
                </c:pt>
                <c:pt idx="9">
                  <c:v>96.124031007751938</c:v>
                </c:pt>
                <c:pt idx="10">
                  <c:v>93.220338983050837</c:v>
                </c:pt>
                <c:pt idx="11">
                  <c:v>86.82634730538922</c:v>
                </c:pt>
                <c:pt idx="12">
                  <c:v>91.549295774647888</c:v>
                </c:pt>
                <c:pt idx="13">
                  <c:v>87.301587301587304</c:v>
                </c:pt>
                <c:pt idx="14">
                  <c:v>86.127167630057798</c:v>
                </c:pt>
                <c:pt idx="15">
                  <c:v>88.866396761133601</c:v>
                </c:pt>
                <c:pt idx="16">
                  <c:v>89.608177172061332</c:v>
                </c:pt>
                <c:pt idx="17">
                  <c:v>88.785046728971963</c:v>
                </c:pt>
                <c:pt idx="18">
                  <c:v>88.901601830663608</c:v>
                </c:pt>
                <c:pt idx="19">
                  <c:v>89.159891598915991</c:v>
                </c:pt>
                <c:pt idx="20">
                  <c:v>88.203017832647461</c:v>
                </c:pt>
                <c:pt idx="21">
                  <c:v>89.220647773279353</c:v>
                </c:pt>
                <c:pt idx="22">
                  <c:v>89.123196448390672</c:v>
                </c:pt>
                <c:pt idx="23">
                  <c:v>89.297752808988761</c:v>
                </c:pt>
                <c:pt idx="24">
                  <c:v>89.790143834001412</c:v>
                </c:pt>
                <c:pt idx="25">
                  <c:v>89.915446483811095</c:v>
                </c:pt>
                <c:pt idx="26">
                  <c:v>90.316166235832171</c:v>
                </c:pt>
                <c:pt idx="27">
                  <c:v>89.312695780357473</c:v>
                </c:pt>
                <c:pt idx="28">
                  <c:v>89.006486855582111</c:v>
                </c:pt>
                <c:pt idx="29">
                  <c:v>89.959963042808738</c:v>
                </c:pt>
                <c:pt idx="30">
                  <c:v>90.102301790281331</c:v>
                </c:pt>
                <c:pt idx="31">
                  <c:v>90.064315812818805</c:v>
                </c:pt>
                <c:pt idx="32">
                  <c:v>90.320512820512818</c:v>
                </c:pt>
                <c:pt idx="33">
                  <c:v>90.926109459310638</c:v>
                </c:pt>
                <c:pt idx="34">
                  <c:v>91.768826619964969</c:v>
                </c:pt>
                <c:pt idx="35">
                  <c:v>91.40764849471114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98.387096774193552</c:v>
                </c:pt>
                <c:pt idx="1">
                  <c:v>96.618357487922708</c:v>
                </c:pt>
                <c:pt idx="2">
                  <c:v>97.826086956521735</c:v>
                </c:pt>
                <c:pt idx="3">
                  <c:v>95.391705069124427</c:v>
                </c:pt>
                <c:pt idx="4">
                  <c:v>94.930875576036868</c:v>
                </c:pt>
                <c:pt idx="5">
                  <c:v>93.680297397769522</c:v>
                </c:pt>
                <c:pt idx="6">
                  <c:v>95.9375</c:v>
                </c:pt>
                <c:pt idx="7">
                  <c:v>96.507936507936506</c:v>
                </c:pt>
                <c:pt idx="8">
                  <c:v>95.439739413680783</c:v>
                </c:pt>
                <c:pt idx="9">
                  <c:v>96.92307692307692</c:v>
                </c:pt>
                <c:pt idx="10">
                  <c:v>91.83673469387756</c:v>
                </c:pt>
                <c:pt idx="11">
                  <c:v>94.855305466237937</c:v>
                </c:pt>
                <c:pt idx="12">
                  <c:v>88.150289017341038</c:v>
                </c:pt>
                <c:pt idx="13">
                  <c:v>94.488188976377955</c:v>
                </c:pt>
                <c:pt idx="14">
                  <c:v>94.045534150612966</c:v>
                </c:pt>
                <c:pt idx="15">
                  <c:v>91.368421052631575</c:v>
                </c:pt>
                <c:pt idx="16">
                  <c:v>94.063926940639263</c:v>
                </c:pt>
                <c:pt idx="17">
                  <c:v>93.574297188755011</c:v>
                </c:pt>
                <c:pt idx="18">
                  <c:v>91.242362525458248</c:v>
                </c:pt>
                <c:pt idx="19">
                  <c:v>91.911764705882348</c:v>
                </c:pt>
                <c:pt idx="20">
                  <c:v>93.037974683544306</c:v>
                </c:pt>
                <c:pt idx="21">
                  <c:v>92.479108635097489</c:v>
                </c:pt>
                <c:pt idx="22">
                  <c:v>91.587677725118482</c:v>
                </c:pt>
                <c:pt idx="23">
                  <c:v>92.687950566426366</c:v>
                </c:pt>
                <c:pt idx="24">
                  <c:v>91.9921875</c:v>
                </c:pt>
                <c:pt idx="25">
                  <c:v>92.070484581497809</c:v>
                </c:pt>
                <c:pt idx="26">
                  <c:v>91.350040420371869</c:v>
                </c:pt>
                <c:pt idx="27">
                  <c:v>89.903069466882073</c:v>
                </c:pt>
                <c:pt idx="28">
                  <c:v>89.07630522088354</c:v>
                </c:pt>
                <c:pt idx="29">
                  <c:v>90.763358778625957</c:v>
                </c:pt>
                <c:pt idx="30">
                  <c:v>90.591900311526473</c:v>
                </c:pt>
                <c:pt idx="31">
                  <c:v>91.827637444279347</c:v>
                </c:pt>
                <c:pt idx="32">
                  <c:v>92.165354330708666</c:v>
                </c:pt>
                <c:pt idx="33">
                  <c:v>92.273098937040061</c:v>
                </c:pt>
                <c:pt idx="34">
                  <c:v>92.457142857142856</c:v>
                </c:pt>
                <c:pt idx="35">
                  <c:v>93.537015276145709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Core clinical journal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98.112369531423496</c:v>
                </c:pt>
                <c:pt idx="1">
                  <c:v>98.428571428571431</c:v>
                </c:pt>
                <c:pt idx="2">
                  <c:v>97.898775808514529</c:v>
                </c:pt>
                <c:pt idx="3">
                  <c:v>97.32850741123751</c:v>
                </c:pt>
                <c:pt idx="4">
                  <c:v>97.034956304619229</c:v>
                </c:pt>
                <c:pt idx="5">
                  <c:v>97.223051657211116</c:v>
                </c:pt>
                <c:pt idx="6">
                  <c:v>97.327911704908516</c:v>
                </c:pt>
                <c:pt idx="7">
                  <c:v>97.08070175438597</c:v>
                </c:pt>
                <c:pt idx="8">
                  <c:v>96.593776282590412</c:v>
                </c:pt>
                <c:pt idx="9">
                  <c:v>96.281826754681404</c:v>
                </c:pt>
                <c:pt idx="10">
                  <c:v>96.912990028684604</c:v>
                </c:pt>
                <c:pt idx="11">
                  <c:v>96.517346803137045</c:v>
                </c:pt>
                <c:pt idx="12">
                  <c:v>96.034963263237898</c:v>
                </c:pt>
                <c:pt idx="13">
                  <c:v>96.008682020981553</c:v>
                </c:pt>
                <c:pt idx="14">
                  <c:v>95.402035914445833</c:v>
                </c:pt>
                <c:pt idx="15">
                  <c:v>95.388064481691046</c:v>
                </c:pt>
                <c:pt idx="16">
                  <c:v>95.464007888681934</c:v>
                </c:pt>
                <c:pt idx="17">
                  <c:v>95.304759853542961</c:v>
                </c:pt>
                <c:pt idx="18">
                  <c:v>94.916148085644963</c:v>
                </c:pt>
                <c:pt idx="19">
                  <c:v>94.987709736026503</c:v>
                </c:pt>
                <c:pt idx="20">
                  <c:v>94.892686804451515</c:v>
                </c:pt>
                <c:pt idx="21">
                  <c:v>95.088689681480062</c:v>
                </c:pt>
                <c:pt idx="22">
                  <c:v>94.767606297727909</c:v>
                </c:pt>
                <c:pt idx="23">
                  <c:v>94.700223329324857</c:v>
                </c:pt>
                <c:pt idx="24">
                  <c:v>94.160401002506262</c:v>
                </c:pt>
                <c:pt idx="25">
                  <c:v>94.227719632096424</c:v>
                </c:pt>
                <c:pt idx="26">
                  <c:v>94.299360603959641</c:v>
                </c:pt>
                <c:pt idx="27">
                  <c:v>93.649635036496349</c:v>
                </c:pt>
                <c:pt idx="28">
                  <c:v>93.233269757027955</c:v>
                </c:pt>
                <c:pt idx="29">
                  <c:v>93.694073949012321</c:v>
                </c:pt>
                <c:pt idx="30">
                  <c:v>93.48392701998263</c:v>
                </c:pt>
                <c:pt idx="31">
                  <c:v>93.517855722580137</c:v>
                </c:pt>
                <c:pt idx="32">
                  <c:v>93.311291963377414</c:v>
                </c:pt>
                <c:pt idx="33">
                  <c:v>93.439309014058622</c:v>
                </c:pt>
                <c:pt idx="34">
                  <c:v>93.847503900155999</c:v>
                </c:pt>
                <c:pt idx="35">
                  <c:v>93.624311038283921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98.003179947624403</c:v>
                </c:pt>
                <c:pt idx="1">
                  <c:v>98.066452304394431</c:v>
                </c:pt>
                <c:pt idx="2">
                  <c:v>98.010955285342447</c:v>
                </c:pt>
                <c:pt idx="3">
                  <c:v>97.52080877362198</c:v>
                </c:pt>
                <c:pt idx="4">
                  <c:v>97.385599367005142</c:v>
                </c:pt>
                <c:pt idx="5">
                  <c:v>97.169380611779033</c:v>
                </c:pt>
                <c:pt idx="6">
                  <c:v>97.134037552037611</c:v>
                </c:pt>
                <c:pt idx="7">
                  <c:v>97.065877838183567</c:v>
                </c:pt>
                <c:pt idx="8">
                  <c:v>96.812597947525404</c:v>
                </c:pt>
                <c:pt idx="9">
                  <c:v>96.839012369082027</c:v>
                </c:pt>
                <c:pt idx="10">
                  <c:v>96.720417896888492</c:v>
                </c:pt>
                <c:pt idx="11">
                  <c:v>96.639316384661171</c:v>
                </c:pt>
                <c:pt idx="12">
                  <c:v>96.41501225974848</c:v>
                </c:pt>
                <c:pt idx="13">
                  <c:v>96.300500124144293</c:v>
                </c:pt>
                <c:pt idx="14">
                  <c:v>96.142319096081422</c:v>
                </c:pt>
                <c:pt idx="15">
                  <c:v>96.125843947936247</c:v>
                </c:pt>
                <c:pt idx="16">
                  <c:v>96.024680589050234</c:v>
                </c:pt>
                <c:pt idx="17">
                  <c:v>96.05804026279732</c:v>
                </c:pt>
                <c:pt idx="18">
                  <c:v>95.90697573984302</c:v>
                </c:pt>
                <c:pt idx="19">
                  <c:v>95.882097525017414</c:v>
                </c:pt>
                <c:pt idx="20">
                  <c:v>95.648972980932044</c:v>
                </c:pt>
                <c:pt idx="21">
                  <c:v>95.642561335775213</c:v>
                </c:pt>
                <c:pt idx="22">
                  <c:v>95.628481656319735</c:v>
                </c:pt>
                <c:pt idx="23">
                  <c:v>95.513203279218274</c:v>
                </c:pt>
                <c:pt idx="24">
                  <c:v>95.488706775934446</c:v>
                </c:pt>
                <c:pt idx="25">
                  <c:v>95.432752000916892</c:v>
                </c:pt>
                <c:pt idx="26">
                  <c:v>95.149115364067754</c:v>
                </c:pt>
                <c:pt idx="27">
                  <c:v>94.85282757683062</c:v>
                </c:pt>
                <c:pt idx="28">
                  <c:v>94.683149303888626</c:v>
                </c:pt>
                <c:pt idx="29">
                  <c:v>94.766490378817892</c:v>
                </c:pt>
                <c:pt idx="30">
                  <c:v>94.796306465718871</c:v>
                </c:pt>
                <c:pt idx="31">
                  <c:v>94.781364859232312</c:v>
                </c:pt>
                <c:pt idx="32">
                  <c:v>94.835472996489685</c:v>
                </c:pt>
                <c:pt idx="33">
                  <c:v>94.872991898942743</c:v>
                </c:pt>
                <c:pt idx="34">
                  <c:v>94.964024945544793</c:v>
                </c:pt>
                <c:pt idx="35">
                  <c:v>95.272837228054399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ser>
          <c:idx val="6"/>
          <c:order val="6"/>
          <c:tx>
            <c:strRef>
              <c:f>Sheet1!$I$8</c:f>
              <c:strCache>
                <c:ptCount val="1"/>
                <c:pt idx="0">
                  <c:v>Observational study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Sheet1!$J$8:$AS$8</c:f>
              <c:numCache>
                <c:formatCode>General</c:formatCode>
                <c:ptCount val="36"/>
                <c:pt idx="22">
                  <c:v>95.959595959595958</c:v>
                </c:pt>
                <c:pt idx="23">
                  <c:v>95.165394402035616</c:v>
                </c:pt>
                <c:pt idx="24">
                  <c:v>95.456955983736975</c:v>
                </c:pt>
                <c:pt idx="25">
                  <c:v>94.693819016205367</c:v>
                </c:pt>
                <c:pt idx="26">
                  <c:v>94.667519181585675</c:v>
                </c:pt>
                <c:pt idx="27">
                  <c:v>94.904756339838727</c:v>
                </c:pt>
                <c:pt idx="28">
                  <c:v>94.725534429047158</c:v>
                </c:pt>
                <c:pt idx="29">
                  <c:v>94.781661550648579</c:v>
                </c:pt>
                <c:pt idx="30">
                  <c:v>95.172537099946368</c:v>
                </c:pt>
                <c:pt idx="31">
                  <c:v>95.181046043808664</c:v>
                </c:pt>
                <c:pt idx="32">
                  <c:v>94.988610478359917</c:v>
                </c:pt>
                <c:pt idx="33">
                  <c:v>94.948857178936734</c:v>
                </c:pt>
                <c:pt idx="34">
                  <c:v>94.303934284479027</c:v>
                </c:pt>
                <c:pt idx="35">
                  <c:v>94.757625272331154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8-4A64-981A-39E8AFE456FF}"/>
            </c:ext>
          </c:extLst>
        </c:ser>
        <c:ser>
          <c:idx val="7"/>
          <c:order val="7"/>
          <c:tx>
            <c:strRef>
              <c:f>Sheet1!$I$9</c:f>
              <c:strCache>
                <c:ptCount val="1"/>
                <c:pt idx="0">
                  <c:v>Systematic review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Sheet1!$J$9:$AS$9</c:f>
              <c:numCache>
                <c:formatCode>General</c:formatCode>
                <c:ptCount val="36"/>
                <c:pt idx="12">
                  <c:v>81.521739130434781</c:v>
                </c:pt>
                <c:pt idx="13">
                  <c:v>88.970588235294116</c:v>
                </c:pt>
                <c:pt idx="14">
                  <c:v>84.705882352941174</c:v>
                </c:pt>
                <c:pt idx="15">
                  <c:v>88.679245283018872</c:v>
                </c:pt>
                <c:pt idx="16">
                  <c:v>90.706319702602229</c:v>
                </c:pt>
                <c:pt idx="17">
                  <c:v>87.989556135770229</c:v>
                </c:pt>
                <c:pt idx="18">
                  <c:v>87.472035794183441</c:v>
                </c:pt>
                <c:pt idx="19">
                  <c:v>88.908450704225345</c:v>
                </c:pt>
                <c:pt idx="20">
                  <c:v>88.300835654596099</c:v>
                </c:pt>
                <c:pt idx="21">
                  <c:v>88.789237668161434</c:v>
                </c:pt>
                <c:pt idx="22">
                  <c:v>88.217054263565885</c:v>
                </c:pt>
                <c:pt idx="23">
                  <c:v>89.37282229965156</c:v>
                </c:pt>
                <c:pt idx="24">
                  <c:v>89.078014184397162</c:v>
                </c:pt>
                <c:pt idx="25">
                  <c:v>89.68609865470853</c:v>
                </c:pt>
                <c:pt idx="26">
                  <c:v>89.793882978723403</c:v>
                </c:pt>
                <c:pt idx="27">
                  <c:v>89.442567567567565</c:v>
                </c:pt>
                <c:pt idx="28">
                  <c:v>89.403341288782812</c:v>
                </c:pt>
                <c:pt idx="29">
                  <c:v>90.329416297437874</c:v>
                </c:pt>
                <c:pt idx="30">
                  <c:v>90.088105726872243</c:v>
                </c:pt>
                <c:pt idx="31">
                  <c:v>90.536068828590331</c:v>
                </c:pt>
                <c:pt idx="32">
                  <c:v>90.919689119170982</c:v>
                </c:pt>
                <c:pt idx="33">
                  <c:v>91.134047902606852</c:v>
                </c:pt>
                <c:pt idx="34">
                  <c:v>91.883685624197128</c:v>
                </c:pt>
                <c:pt idx="35">
                  <c:v>91.648282382603213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8-4A64-981A-39E8AFE4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1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Pubmed Abstracts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309431559150358"/>
          <c:y val="0.57322015915119362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339725</xdr:colOff>
      <xdr:row>9</xdr:row>
      <xdr:rowOff>101600</xdr:rowOff>
    </xdr:from>
    <xdr:to>
      <xdr:col>21</xdr:col>
      <xdr:colOff>187325</xdr:colOff>
      <xdr:row>36</xdr:row>
      <xdr:rowOff>171450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cuments\&#52852;&#52852;&#50724;&#53665;%20&#48155;&#51008;%20&#54028;&#51068;\20250923\Total%20-%20Copy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  <sheetName val="Sheet2"/>
      <sheetName val="Sheet1"/>
    </sheetNames>
    <sheetDataSet>
      <sheetData sheetId="0">
        <row r="1">
          <cell r="C1" t="str">
            <v>HasPvalue</v>
          </cell>
          <cell r="D1" t="str">
            <v>Pvalue0.05</v>
          </cell>
        </row>
        <row r="2">
          <cell r="C2">
            <v>2135</v>
          </cell>
          <cell r="D2">
            <v>2051</v>
          </cell>
        </row>
        <row r="3">
          <cell r="C3">
            <v>2535</v>
          </cell>
          <cell r="D3">
            <v>2417</v>
          </cell>
        </row>
        <row r="4">
          <cell r="C4">
            <v>2792</v>
          </cell>
          <cell r="D4">
            <v>2660</v>
          </cell>
        </row>
        <row r="5">
          <cell r="C5">
            <v>3143</v>
          </cell>
          <cell r="D5">
            <v>2990</v>
          </cell>
        </row>
        <row r="6">
          <cell r="C6">
            <v>3718</v>
          </cell>
          <cell r="D6">
            <v>3517</v>
          </cell>
        </row>
        <row r="7">
          <cell r="C7">
            <v>4180</v>
          </cell>
          <cell r="D7">
            <v>3972</v>
          </cell>
        </row>
        <row r="8">
          <cell r="C8">
            <v>4291</v>
          </cell>
          <cell r="D8">
            <v>4101</v>
          </cell>
        </row>
        <row r="9">
          <cell r="C9">
            <v>4562</v>
          </cell>
          <cell r="D9">
            <v>4316</v>
          </cell>
        </row>
        <row r="10">
          <cell r="C10">
            <v>4862</v>
          </cell>
          <cell r="D10">
            <v>4584</v>
          </cell>
        </row>
        <row r="11">
          <cell r="C11">
            <v>5381</v>
          </cell>
          <cell r="D11">
            <v>5067</v>
          </cell>
        </row>
        <row r="12">
          <cell r="C12">
            <v>5256</v>
          </cell>
          <cell r="D12">
            <v>4947</v>
          </cell>
        </row>
        <row r="13">
          <cell r="C13">
            <v>5743</v>
          </cell>
          <cell r="D13">
            <v>5375</v>
          </cell>
        </row>
        <row r="14">
          <cell r="C14">
            <v>6056</v>
          </cell>
          <cell r="D14">
            <v>5661</v>
          </cell>
        </row>
        <row r="15">
          <cell r="C15">
            <v>6904</v>
          </cell>
          <cell r="D15">
            <v>6437</v>
          </cell>
        </row>
        <row r="16">
          <cell r="C16">
            <v>7725</v>
          </cell>
          <cell r="D16">
            <v>7217</v>
          </cell>
        </row>
        <row r="17">
          <cell r="C17">
            <v>8588</v>
          </cell>
          <cell r="D17">
            <v>7961</v>
          </cell>
        </row>
        <row r="18">
          <cell r="C18">
            <v>9143</v>
          </cell>
          <cell r="D18">
            <v>8492</v>
          </cell>
        </row>
        <row r="19">
          <cell r="C19">
            <v>10018</v>
          </cell>
          <cell r="D19">
            <v>9306</v>
          </cell>
        </row>
        <row r="20">
          <cell r="C20">
            <v>10396</v>
          </cell>
          <cell r="D20">
            <v>9633</v>
          </cell>
        </row>
        <row r="21">
          <cell r="C21">
            <v>11123</v>
          </cell>
          <cell r="D21">
            <v>10307</v>
          </cell>
        </row>
        <row r="22">
          <cell r="C22">
            <v>12049</v>
          </cell>
          <cell r="D22">
            <v>11123</v>
          </cell>
        </row>
        <row r="23">
          <cell r="C23">
            <v>13412</v>
          </cell>
          <cell r="D23">
            <v>12414</v>
          </cell>
        </row>
        <row r="24">
          <cell r="C24">
            <v>14759</v>
          </cell>
          <cell r="D24">
            <v>13631</v>
          </cell>
        </row>
        <row r="25">
          <cell r="C25">
            <v>15621</v>
          </cell>
          <cell r="D25">
            <v>14391</v>
          </cell>
        </row>
        <row r="26">
          <cell r="C26">
            <v>16034</v>
          </cell>
          <cell r="D26">
            <v>14752</v>
          </cell>
        </row>
        <row r="27">
          <cell r="C27">
            <v>16158</v>
          </cell>
          <cell r="D27">
            <v>14801</v>
          </cell>
        </row>
        <row r="28">
          <cell r="C28">
            <v>15629</v>
          </cell>
          <cell r="D28">
            <v>14263</v>
          </cell>
        </row>
        <row r="29">
          <cell r="C29">
            <v>15752</v>
          </cell>
          <cell r="D29">
            <v>14360</v>
          </cell>
        </row>
        <row r="30">
          <cell r="C30">
            <v>15369</v>
          </cell>
          <cell r="D30">
            <v>13940</v>
          </cell>
        </row>
        <row r="31">
          <cell r="C31">
            <v>15319</v>
          </cell>
          <cell r="D31">
            <v>13884</v>
          </cell>
        </row>
        <row r="32">
          <cell r="C32">
            <v>16614</v>
          </cell>
          <cell r="D32">
            <v>14970</v>
          </cell>
        </row>
        <row r="33">
          <cell r="C33">
            <v>17203</v>
          </cell>
          <cell r="D33">
            <v>15543</v>
          </cell>
        </row>
        <row r="34">
          <cell r="C34">
            <v>16516</v>
          </cell>
          <cell r="D34">
            <v>14931</v>
          </cell>
        </row>
        <row r="35">
          <cell r="C35">
            <v>14646</v>
          </cell>
          <cell r="D35">
            <v>13208</v>
          </cell>
        </row>
        <row r="36">
          <cell r="C36">
            <v>16344</v>
          </cell>
          <cell r="D36">
            <v>14871</v>
          </cell>
        </row>
        <row r="37">
          <cell r="C37">
            <v>10371</v>
          </cell>
          <cell r="D37">
            <v>9408</v>
          </cell>
        </row>
        <row r="38">
          <cell r="C38">
            <v>360347</v>
          </cell>
          <cell r="D38">
            <v>331501</v>
          </cell>
        </row>
        <row r="39">
          <cell r="C39">
            <v>17203</v>
          </cell>
          <cell r="D39">
            <v>15543</v>
          </cell>
        </row>
        <row r="40">
          <cell r="C40">
            <v>2135</v>
          </cell>
          <cell r="D40">
            <v>2051</v>
          </cell>
        </row>
      </sheetData>
      <sheetData sheetId="1">
        <row r="1">
          <cell r="C1" t="str">
            <v>HasPvalue</v>
          </cell>
          <cell r="D1" t="str">
            <v>Pvalue0.05</v>
          </cell>
        </row>
        <row r="2">
          <cell r="C2">
            <v>767</v>
          </cell>
          <cell r="D2">
            <v>751</v>
          </cell>
        </row>
        <row r="3">
          <cell r="C3">
            <v>882</v>
          </cell>
          <cell r="D3">
            <v>868</v>
          </cell>
        </row>
        <row r="4">
          <cell r="C4">
            <v>805</v>
          </cell>
          <cell r="D4">
            <v>789</v>
          </cell>
        </row>
        <row r="5">
          <cell r="C5">
            <v>884</v>
          </cell>
          <cell r="D5">
            <v>856</v>
          </cell>
        </row>
        <row r="6">
          <cell r="C6">
            <v>2194</v>
          </cell>
          <cell r="D6">
            <v>2136</v>
          </cell>
        </row>
        <row r="7">
          <cell r="C7">
            <v>2332</v>
          </cell>
          <cell r="D7">
            <v>2266</v>
          </cell>
        </row>
        <row r="8">
          <cell r="C8">
            <v>2296</v>
          </cell>
          <cell r="D8">
            <v>2220</v>
          </cell>
        </row>
        <row r="9">
          <cell r="C9">
            <v>2633</v>
          </cell>
          <cell r="D9">
            <v>2560</v>
          </cell>
        </row>
        <row r="10">
          <cell r="C10">
            <v>2743</v>
          </cell>
          <cell r="D10">
            <v>2662</v>
          </cell>
        </row>
        <row r="11">
          <cell r="C11">
            <v>3158</v>
          </cell>
          <cell r="D11">
            <v>3059</v>
          </cell>
        </row>
        <row r="12">
          <cell r="C12">
            <v>3218</v>
          </cell>
          <cell r="D12">
            <v>3112</v>
          </cell>
        </row>
        <row r="13">
          <cell r="C13">
            <v>2665</v>
          </cell>
          <cell r="D13">
            <v>2590</v>
          </cell>
        </row>
        <row r="14">
          <cell r="C14">
            <v>2894</v>
          </cell>
          <cell r="D14">
            <v>2779</v>
          </cell>
        </row>
        <row r="15">
          <cell r="C15">
            <v>3655</v>
          </cell>
          <cell r="D15">
            <v>3535</v>
          </cell>
        </row>
        <row r="16">
          <cell r="C16">
            <v>3918</v>
          </cell>
          <cell r="D16">
            <v>3781</v>
          </cell>
        </row>
        <row r="17">
          <cell r="C17">
            <v>4419</v>
          </cell>
          <cell r="D17">
            <v>4253</v>
          </cell>
        </row>
        <row r="18">
          <cell r="C18">
            <v>4205</v>
          </cell>
          <cell r="D18">
            <v>4011</v>
          </cell>
        </row>
        <row r="19">
          <cell r="C19">
            <v>4191</v>
          </cell>
          <cell r="D19">
            <v>3998</v>
          </cell>
        </row>
        <row r="20">
          <cell r="C20">
            <v>3939</v>
          </cell>
          <cell r="D20">
            <v>3746</v>
          </cell>
        </row>
        <row r="21">
          <cell r="C21">
            <v>3799</v>
          </cell>
          <cell r="D21">
            <v>3635</v>
          </cell>
        </row>
        <row r="22">
          <cell r="C22">
            <v>3989</v>
          </cell>
          <cell r="D22">
            <v>3815</v>
          </cell>
        </row>
        <row r="23">
          <cell r="C23">
            <v>4644</v>
          </cell>
          <cell r="D23">
            <v>4442</v>
          </cell>
        </row>
        <row r="24">
          <cell r="C24">
            <v>5129</v>
          </cell>
          <cell r="D24">
            <v>4891</v>
          </cell>
        </row>
        <row r="25">
          <cell r="C25">
            <v>5497</v>
          </cell>
          <cell r="D25">
            <v>5258</v>
          </cell>
        </row>
        <row r="26">
          <cell r="C26">
            <v>5119</v>
          </cell>
          <cell r="D26">
            <v>4896</v>
          </cell>
        </row>
        <row r="27">
          <cell r="C27">
            <v>4727</v>
          </cell>
          <cell r="D27">
            <v>4515</v>
          </cell>
        </row>
        <row r="28">
          <cell r="C28">
            <v>4107</v>
          </cell>
          <cell r="D28">
            <v>3911</v>
          </cell>
        </row>
        <row r="29">
          <cell r="C29">
            <v>3842</v>
          </cell>
          <cell r="D29">
            <v>3628</v>
          </cell>
        </row>
        <row r="30">
          <cell r="C30">
            <v>3826</v>
          </cell>
          <cell r="D30">
            <v>3613</v>
          </cell>
        </row>
        <row r="31">
          <cell r="C31">
            <v>3787</v>
          </cell>
          <cell r="D31">
            <v>3596</v>
          </cell>
        </row>
        <row r="32">
          <cell r="C32">
            <v>2963</v>
          </cell>
          <cell r="D32">
            <v>2839</v>
          </cell>
        </row>
        <row r="33">
          <cell r="C33">
            <v>2766</v>
          </cell>
          <cell r="D33">
            <v>2625</v>
          </cell>
        </row>
        <row r="34">
          <cell r="C34">
            <v>2065</v>
          </cell>
          <cell r="D34">
            <v>1950</v>
          </cell>
        </row>
        <row r="35">
          <cell r="C35">
            <v>1669</v>
          </cell>
          <cell r="D35">
            <v>1577</v>
          </cell>
        </row>
        <row r="36">
          <cell r="C36">
            <v>1381</v>
          </cell>
          <cell r="D36">
            <v>1291</v>
          </cell>
        </row>
        <row r="37">
          <cell r="C37">
            <v>887</v>
          </cell>
          <cell r="D37">
            <v>847</v>
          </cell>
        </row>
        <row r="38">
          <cell r="C38">
            <v>111995</v>
          </cell>
          <cell r="D38">
            <v>107301</v>
          </cell>
        </row>
        <row r="39">
          <cell r="C39">
            <v>5497</v>
          </cell>
          <cell r="D39">
            <v>5258</v>
          </cell>
        </row>
        <row r="40">
          <cell r="C40">
            <v>767</v>
          </cell>
          <cell r="D40">
            <v>751</v>
          </cell>
        </row>
      </sheetData>
      <sheetData sheetId="2">
        <row r="1">
          <cell r="C1" t="str">
            <v>HasPvalue</v>
          </cell>
          <cell r="D1" t="str">
            <v>Pvalue0.05</v>
          </cell>
        </row>
        <row r="2">
          <cell r="C2">
            <v>30</v>
          </cell>
          <cell r="D2">
            <v>27</v>
          </cell>
        </row>
        <row r="3">
          <cell r="C3">
            <v>37</v>
          </cell>
          <cell r="D3">
            <v>33</v>
          </cell>
        </row>
        <row r="4">
          <cell r="C4">
            <v>44</v>
          </cell>
          <cell r="D4">
            <v>40</v>
          </cell>
        </row>
        <row r="5">
          <cell r="C5">
            <v>61</v>
          </cell>
          <cell r="D5">
            <v>59</v>
          </cell>
        </row>
        <row r="6">
          <cell r="C6">
            <v>65</v>
          </cell>
          <cell r="D6">
            <v>60</v>
          </cell>
        </row>
        <row r="7">
          <cell r="C7">
            <v>90</v>
          </cell>
          <cell r="D7">
            <v>83</v>
          </cell>
        </row>
        <row r="8">
          <cell r="C8">
            <v>96</v>
          </cell>
          <cell r="D8">
            <v>91</v>
          </cell>
        </row>
        <row r="9">
          <cell r="C9">
            <v>121</v>
          </cell>
          <cell r="D9">
            <v>115</v>
          </cell>
        </row>
        <row r="10">
          <cell r="C10">
            <v>116</v>
          </cell>
          <cell r="D10">
            <v>102</v>
          </cell>
        </row>
        <row r="11">
          <cell r="C11">
            <v>129</v>
          </cell>
          <cell r="D11">
            <v>124</v>
          </cell>
        </row>
        <row r="12">
          <cell r="C12">
            <v>177</v>
          </cell>
          <cell r="D12">
            <v>165</v>
          </cell>
        </row>
        <row r="13">
          <cell r="C13">
            <v>167</v>
          </cell>
          <cell r="D13">
            <v>145</v>
          </cell>
        </row>
        <row r="14">
          <cell r="C14">
            <v>213</v>
          </cell>
          <cell r="D14">
            <v>195</v>
          </cell>
        </row>
        <row r="15">
          <cell r="C15">
            <v>315</v>
          </cell>
          <cell r="D15">
            <v>275</v>
          </cell>
        </row>
        <row r="16">
          <cell r="C16">
            <v>346</v>
          </cell>
          <cell r="D16">
            <v>298</v>
          </cell>
        </row>
        <row r="17">
          <cell r="C17">
            <v>494</v>
          </cell>
          <cell r="D17">
            <v>439</v>
          </cell>
        </row>
        <row r="18">
          <cell r="C18">
            <v>587</v>
          </cell>
          <cell r="D18">
            <v>526</v>
          </cell>
        </row>
        <row r="19">
          <cell r="C19">
            <v>749</v>
          </cell>
          <cell r="D19">
            <v>665</v>
          </cell>
        </row>
        <row r="20">
          <cell r="C20">
            <v>874</v>
          </cell>
          <cell r="D20">
            <v>777</v>
          </cell>
        </row>
        <row r="21">
          <cell r="C21">
            <v>1107</v>
          </cell>
          <cell r="D21">
            <v>987</v>
          </cell>
        </row>
        <row r="22">
          <cell r="C22">
            <v>1458</v>
          </cell>
          <cell r="D22">
            <v>1286</v>
          </cell>
        </row>
        <row r="23">
          <cell r="C23">
            <v>1976</v>
          </cell>
          <cell r="D23">
            <v>1763</v>
          </cell>
        </row>
        <row r="24">
          <cell r="C24">
            <v>2703</v>
          </cell>
          <cell r="D24">
            <v>2409</v>
          </cell>
        </row>
        <row r="25">
          <cell r="C25">
            <v>3560</v>
          </cell>
          <cell r="D25">
            <v>3179</v>
          </cell>
        </row>
        <row r="26">
          <cell r="C26">
            <v>4241</v>
          </cell>
          <cell r="D26">
            <v>3808</v>
          </cell>
        </row>
        <row r="27">
          <cell r="C27">
            <v>4849</v>
          </cell>
          <cell r="D27">
            <v>4360</v>
          </cell>
        </row>
        <row r="28">
          <cell r="C28">
            <v>5029</v>
          </cell>
          <cell r="D28">
            <v>4542</v>
          </cell>
        </row>
        <row r="29">
          <cell r="C29">
            <v>5427</v>
          </cell>
          <cell r="D29">
            <v>4847</v>
          </cell>
        </row>
        <row r="30">
          <cell r="C30">
            <v>5858</v>
          </cell>
          <cell r="D30">
            <v>5214</v>
          </cell>
        </row>
        <row r="31">
          <cell r="C31">
            <v>6494</v>
          </cell>
          <cell r="D31">
            <v>5842</v>
          </cell>
        </row>
        <row r="32">
          <cell r="C32">
            <v>7820</v>
          </cell>
          <cell r="D32">
            <v>7046</v>
          </cell>
        </row>
        <row r="33">
          <cell r="C33">
            <v>9018</v>
          </cell>
          <cell r="D33">
            <v>8122</v>
          </cell>
        </row>
        <row r="34">
          <cell r="C34">
            <v>9360</v>
          </cell>
          <cell r="D34">
            <v>8454</v>
          </cell>
        </row>
        <row r="35">
          <cell r="C35">
            <v>9081</v>
          </cell>
          <cell r="D35">
            <v>8257</v>
          </cell>
        </row>
        <row r="36">
          <cell r="C36">
            <v>9707</v>
          </cell>
          <cell r="D36">
            <v>8908</v>
          </cell>
        </row>
        <row r="37">
          <cell r="C37">
            <v>6145</v>
          </cell>
          <cell r="D37">
            <v>5617</v>
          </cell>
        </row>
        <row r="38">
          <cell r="C38">
            <v>98544</v>
          </cell>
          <cell r="D38">
            <v>88860</v>
          </cell>
        </row>
        <row r="39">
          <cell r="C39">
            <v>9707</v>
          </cell>
          <cell r="D39">
            <v>8908</v>
          </cell>
        </row>
        <row r="40">
          <cell r="C40">
            <v>30</v>
          </cell>
          <cell r="D40">
            <v>27</v>
          </cell>
        </row>
      </sheetData>
      <sheetData sheetId="3">
        <row r="1">
          <cell r="C1" t="str">
            <v>HasPvalue</v>
          </cell>
          <cell r="D1" t="str">
            <v>Pvalue0.05</v>
          </cell>
        </row>
        <row r="2">
          <cell r="C2">
            <v>186</v>
          </cell>
          <cell r="D2">
            <v>183</v>
          </cell>
        </row>
        <row r="3">
          <cell r="C3">
            <v>207</v>
          </cell>
          <cell r="D3">
            <v>200</v>
          </cell>
        </row>
        <row r="4">
          <cell r="C4">
            <v>230</v>
          </cell>
          <cell r="D4">
            <v>225</v>
          </cell>
        </row>
        <row r="5">
          <cell r="C5">
            <v>217</v>
          </cell>
          <cell r="D5">
            <v>207</v>
          </cell>
        </row>
        <row r="6">
          <cell r="C6">
            <v>217</v>
          </cell>
          <cell r="D6">
            <v>206</v>
          </cell>
        </row>
        <row r="7">
          <cell r="C7">
            <v>269</v>
          </cell>
          <cell r="D7">
            <v>252</v>
          </cell>
        </row>
        <row r="8">
          <cell r="C8">
            <v>320</v>
          </cell>
          <cell r="D8">
            <v>307</v>
          </cell>
        </row>
        <row r="9">
          <cell r="C9">
            <v>315</v>
          </cell>
          <cell r="D9">
            <v>304</v>
          </cell>
        </row>
        <row r="10">
          <cell r="C10">
            <v>307</v>
          </cell>
          <cell r="D10">
            <v>293</v>
          </cell>
        </row>
        <row r="11">
          <cell r="C11">
            <v>260</v>
          </cell>
          <cell r="D11">
            <v>252</v>
          </cell>
        </row>
        <row r="12">
          <cell r="C12">
            <v>294</v>
          </cell>
          <cell r="D12">
            <v>270</v>
          </cell>
        </row>
        <row r="13">
          <cell r="C13">
            <v>311</v>
          </cell>
          <cell r="D13">
            <v>295</v>
          </cell>
        </row>
        <row r="14">
          <cell r="C14">
            <v>346</v>
          </cell>
          <cell r="D14">
            <v>305</v>
          </cell>
        </row>
        <row r="15">
          <cell r="C15">
            <v>508</v>
          </cell>
          <cell r="D15">
            <v>480</v>
          </cell>
        </row>
        <row r="16">
          <cell r="C16">
            <v>571</v>
          </cell>
          <cell r="D16">
            <v>537</v>
          </cell>
        </row>
        <row r="17">
          <cell r="C17">
            <v>475</v>
          </cell>
          <cell r="D17">
            <v>434</v>
          </cell>
        </row>
        <row r="18">
          <cell r="C18">
            <v>438</v>
          </cell>
          <cell r="D18">
            <v>412</v>
          </cell>
        </row>
        <row r="19">
          <cell r="C19">
            <v>498</v>
          </cell>
          <cell r="D19">
            <v>466</v>
          </cell>
        </row>
        <row r="20">
          <cell r="C20">
            <v>491</v>
          </cell>
          <cell r="D20">
            <v>448</v>
          </cell>
        </row>
        <row r="21">
          <cell r="C21">
            <v>544</v>
          </cell>
          <cell r="D21">
            <v>500</v>
          </cell>
        </row>
        <row r="22">
          <cell r="C22">
            <v>632</v>
          </cell>
          <cell r="D22">
            <v>588</v>
          </cell>
        </row>
        <row r="23">
          <cell r="C23">
            <v>718</v>
          </cell>
          <cell r="D23">
            <v>664</v>
          </cell>
        </row>
        <row r="24">
          <cell r="C24">
            <v>844</v>
          </cell>
          <cell r="D24">
            <v>773</v>
          </cell>
        </row>
        <row r="25">
          <cell r="C25">
            <v>971</v>
          </cell>
          <cell r="D25">
            <v>900</v>
          </cell>
        </row>
        <row r="26">
          <cell r="C26">
            <v>1024</v>
          </cell>
          <cell r="D26">
            <v>942</v>
          </cell>
        </row>
        <row r="27">
          <cell r="C27">
            <v>1135</v>
          </cell>
          <cell r="D27">
            <v>1045</v>
          </cell>
        </row>
        <row r="28">
          <cell r="C28">
            <v>1237</v>
          </cell>
          <cell r="D28">
            <v>1130</v>
          </cell>
        </row>
        <row r="29">
          <cell r="C29">
            <v>1238</v>
          </cell>
          <cell r="D29">
            <v>1113</v>
          </cell>
        </row>
        <row r="30">
          <cell r="C30">
            <v>1245</v>
          </cell>
          <cell r="D30">
            <v>1109</v>
          </cell>
        </row>
        <row r="31">
          <cell r="C31">
            <v>1310</v>
          </cell>
          <cell r="D31">
            <v>1189</v>
          </cell>
        </row>
        <row r="32">
          <cell r="C32">
            <v>1605</v>
          </cell>
          <cell r="D32">
            <v>1454</v>
          </cell>
        </row>
        <row r="33">
          <cell r="C33">
            <v>2019</v>
          </cell>
          <cell r="D33">
            <v>1854</v>
          </cell>
        </row>
        <row r="34">
          <cell r="C34">
            <v>2540</v>
          </cell>
          <cell r="D34">
            <v>2341</v>
          </cell>
        </row>
        <row r="35">
          <cell r="C35">
            <v>2446</v>
          </cell>
          <cell r="D35">
            <v>2257</v>
          </cell>
        </row>
        <row r="36">
          <cell r="C36">
            <v>1750</v>
          </cell>
          <cell r="D36">
            <v>1618</v>
          </cell>
        </row>
        <row r="37">
          <cell r="C37">
            <v>851</v>
          </cell>
          <cell r="D37">
            <v>796</v>
          </cell>
        </row>
        <row r="38">
          <cell r="C38">
            <v>28569</v>
          </cell>
          <cell r="D38">
            <v>26349</v>
          </cell>
        </row>
        <row r="39">
          <cell r="C39">
            <v>2540</v>
          </cell>
          <cell r="D39">
            <v>2341</v>
          </cell>
        </row>
        <row r="40">
          <cell r="C40">
            <v>186</v>
          </cell>
          <cell r="D40">
            <v>183</v>
          </cell>
        </row>
      </sheetData>
      <sheetData sheetId="4">
        <row r="1">
          <cell r="C1" t="str">
            <v>HasPvalue</v>
          </cell>
          <cell r="D1" t="str">
            <v>Pvalue0.05</v>
          </cell>
        </row>
        <row r="2">
          <cell r="C2">
            <v>4503</v>
          </cell>
          <cell r="D2">
            <v>4418</v>
          </cell>
        </row>
        <row r="3">
          <cell r="C3">
            <v>4900</v>
          </cell>
          <cell r="D3">
            <v>4823</v>
          </cell>
        </row>
        <row r="4">
          <cell r="C4">
            <v>5473</v>
          </cell>
          <cell r="D4">
            <v>5358</v>
          </cell>
        </row>
        <row r="5">
          <cell r="C5">
            <v>5802</v>
          </cell>
          <cell r="D5">
            <v>5647</v>
          </cell>
        </row>
        <row r="6">
          <cell r="C6">
            <v>6408</v>
          </cell>
          <cell r="D6">
            <v>6218</v>
          </cell>
        </row>
        <row r="7">
          <cell r="C7">
            <v>6698</v>
          </cell>
          <cell r="D7">
            <v>6512</v>
          </cell>
        </row>
        <row r="8">
          <cell r="C8">
            <v>6886</v>
          </cell>
          <cell r="D8">
            <v>6702</v>
          </cell>
        </row>
        <row r="9">
          <cell r="C9">
            <v>7125</v>
          </cell>
          <cell r="D9">
            <v>6917</v>
          </cell>
        </row>
        <row r="10">
          <cell r="C10">
            <v>7134</v>
          </cell>
          <cell r="D10">
            <v>6891</v>
          </cell>
        </row>
        <row r="11">
          <cell r="C11">
            <v>7423</v>
          </cell>
          <cell r="D11">
            <v>7147</v>
          </cell>
        </row>
        <row r="12">
          <cell r="C12">
            <v>7321</v>
          </cell>
          <cell r="D12">
            <v>7095</v>
          </cell>
        </row>
        <row r="13">
          <cell r="C13">
            <v>7523</v>
          </cell>
          <cell r="D13">
            <v>7261</v>
          </cell>
        </row>
        <row r="14">
          <cell r="C14">
            <v>7894</v>
          </cell>
          <cell r="D14">
            <v>7581</v>
          </cell>
        </row>
        <row r="15">
          <cell r="C15">
            <v>8293</v>
          </cell>
          <cell r="D15">
            <v>7962</v>
          </cell>
        </row>
        <row r="16">
          <cell r="C16">
            <v>8743</v>
          </cell>
          <cell r="D16">
            <v>8341</v>
          </cell>
        </row>
        <row r="17">
          <cell r="C17">
            <v>9367</v>
          </cell>
          <cell r="D17">
            <v>8935</v>
          </cell>
        </row>
        <row r="18">
          <cell r="C18">
            <v>9127</v>
          </cell>
          <cell r="D18">
            <v>8713</v>
          </cell>
        </row>
        <row r="19">
          <cell r="C19">
            <v>9286</v>
          </cell>
          <cell r="D19">
            <v>8850</v>
          </cell>
        </row>
        <row r="20">
          <cell r="C20">
            <v>9481</v>
          </cell>
          <cell r="D20">
            <v>8999</v>
          </cell>
        </row>
        <row r="21">
          <cell r="C21">
            <v>9357</v>
          </cell>
          <cell r="D21">
            <v>8888</v>
          </cell>
        </row>
        <row r="22">
          <cell r="C22">
            <v>10064</v>
          </cell>
          <cell r="D22">
            <v>9550</v>
          </cell>
        </row>
        <row r="23">
          <cell r="C23">
            <v>10486</v>
          </cell>
          <cell r="D23">
            <v>9971</v>
          </cell>
        </row>
        <row r="24">
          <cell r="C24">
            <v>10607</v>
          </cell>
          <cell r="D24">
            <v>10052</v>
          </cell>
        </row>
        <row r="25">
          <cell r="C25">
            <v>11642</v>
          </cell>
          <cell r="D25">
            <v>11025</v>
          </cell>
        </row>
        <row r="26">
          <cell r="C26">
            <v>11970</v>
          </cell>
          <cell r="D26">
            <v>11271</v>
          </cell>
        </row>
        <row r="27">
          <cell r="C27">
            <v>12612</v>
          </cell>
          <cell r="D27">
            <v>11884</v>
          </cell>
        </row>
        <row r="28">
          <cell r="C28">
            <v>12981</v>
          </cell>
          <cell r="D28">
            <v>12241</v>
          </cell>
        </row>
        <row r="29">
          <cell r="C29">
            <v>12330</v>
          </cell>
          <cell r="D29">
            <v>11547</v>
          </cell>
        </row>
        <row r="30">
          <cell r="C30">
            <v>12059</v>
          </cell>
          <cell r="D30">
            <v>11243</v>
          </cell>
        </row>
        <row r="31">
          <cell r="C31">
            <v>11846</v>
          </cell>
          <cell r="D31">
            <v>11099</v>
          </cell>
        </row>
        <row r="32">
          <cell r="C32">
            <v>12661</v>
          </cell>
          <cell r="D32">
            <v>11836</v>
          </cell>
        </row>
        <row r="33">
          <cell r="C33">
            <v>12573</v>
          </cell>
          <cell r="D33">
            <v>11758</v>
          </cell>
        </row>
        <row r="34">
          <cell r="C34">
            <v>11796</v>
          </cell>
          <cell r="D34">
            <v>11007</v>
          </cell>
        </row>
        <row r="35">
          <cell r="C35">
            <v>10883</v>
          </cell>
          <cell r="D35">
            <v>10169</v>
          </cell>
        </row>
        <row r="36">
          <cell r="C36">
            <v>10256</v>
          </cell>
          <cell r="D36">
            <v>9625</v>
          </cell>
        </row>
        <row r="37">
          <cell r="C37">
            <v>6713</v>
          </cell>
          <cell r="D37">
            <v>6285</v>
          </cell>
        </row>
        <row r="38">
          <cell r="C38">
            <v>330223</v>
          </cell>
          <cell r="D38">
            <v>313821</v>
          </cell>
        </row>
        <row r="39">
          <cell r="C39">
            <v>12981</v>
          </cell>
          <cell r="D39">
            <v>12241</v>
          </cell>
        </row>
        <row r="40">
          <cell r="C40">
            <v>4503</v>
          </cell>
          <cell r="D40">
            <v>4418</v>
          </cell>
        </row>
      </sheetData>
      <sheetData sheetId="5">
        <row r="1">
          <cell r="C1" t="str">
            <v>HasPvalue</v>
          </cell>
          <cell r="D1" t="str">
            <v>Pvalue0.05</v>
          </cell>
        </row>
        <row r="2">
          <cell r="C2">
            <v>21384</v>
          </cell>
          <cell r="D2">
            <v>20957</v>
          </cell>
        </row>
        <row r="3">
          <cell r="C3">
            <v>23325</v>
          </cell>
          <cell r="D3">
            <v>22874</v>
          </cell>
        </row>
        <row r="4">
          <cell r="C4">
            <v>25741</v>
          </cell>
          <cell r="D4">
            <v>25229</v>
          </cell>
        </row>
        <row r="5">
          <cell r="C5">
            <v>27993</v>
          </cell>
          <cell r="D5">
            <v>27299</v>
          </cell>
        </row>
        <row r="6">
          <cell r="C6">
            <v>30332</v>
          </cell>
          <cell r="D6">
            <v>29539</v>
          </cell>
        </row>
        <row r="7">
          <cell r="C7">
            <v>32855</v>
          </cell>
          <cell r="D7">
            <v>31925</v>
          </cell>
        </row>
        <row r="8">
          <cell r="C8">
            <v>35311</v>
          </cell>
          <cell r="D8">
            <v>34299</v>
          </cell>
        </row>
        <row r="9">
          <cell r="C9">
            <v>37524</v>
          </cell>
          <cell r="D9">
            <v>36423</v>
          </cell>
        </row>
        <row r="10">
          <cell r="C10">
            <v>39562</v>
          </cell>
          <cell r="D10">
            <v>38301</v>
          </cell>
        </row>
        <row r="11">
          <cell r="C11">
            <v>42202</v>
          </cell>
          <cell r="D11">
            <v>40868</v>
          </cell>
        </row>
        <row r="12">
          <cell r="C12">
            <v>44030</v>
          </cell>
          <cell r="D12">
            <v>42586</v>
          </cell>
        </row>
        <row r="13">
          <cell r="C13">
            <v>47044</v>
          </cell>
          <cell r="D13">
            <v>45463</v>
          </cell>
        </row>
        <row r="14">
          <cell r="C14">
            <v>50572</v>
          </cell>
          <cell r="D14">
            <v>48759</v>
          </cell>
        </row>
        <row r="15">
          <cell r="C15">
            <v>56386</v>
          </cell>
          <cell r="D15">
            <v>54300</v>
          </cell>
        </row>
        <row r="16">
          <cell r="C16">
            <v>62395</v>
          </cell>
          <cell r="D16">
            <v>59988</v>
          </cell>
        </row>
        <row r="17">
          <cell r="C17">
            <v>71835</v>
          </cell>
          <cell r="D17">
            <v>69052</v>
          </cell>
        </row>
        <row r="18">
          <cell r="C18">
            <v>77956</v>
          </cell>
          <cell r="D18">
            <v>74857</v>
          </cell>
        </row>
        <row r="19">
          <cell r="C19">
            <v>85389</v>
          </cell>
          <cell r="D19">
            <v>82023</v>
          </cell>
        </row>
        <row r="20">
          <cell r="C20">
            <v>92621</v>
          </cell>
          <cell r="D20">
            <v>88830</v>
          </cell>
        </row>
        <row r="21">
          <cell r="C21">
            <v>99031</v>
          </cell>
          <cell r="D21">
            <v>94953</v>
          </cell>
        </row>
        <row r="22">
          <cell r="C22">
            <v>108664</v>
          </cell>
          <cell r="D22">
            <v>103936</v>
          </cell>
        </row>
        <row r="23">
          <cell r="C23">
            <v>121218</v>
          </cell>
          <cell r="D23">
            <v>115936</v>
          </cell>
        </row>
        <row r="24">
          <cell r="C24">
            <v>131762</v>
          </cell>
          <cell r="D24">
            <v>126002</v>
          </cell>
        </row>
        <row r="25">
          <cell r="C25">
            <v>142351</v>
          </cell>
          <cell r="D25">
            <v>135964</v>
          </cell>
        </row>
        <row r="26">
          <cell r="C26">
            <v>150090</v>
          </cell>
          <cell r="D26">
            <v>143319</v>
          </cell>
        </row>
        <row r="27">
          <cell r="C27">
            <v>157053</v>
          </cell>
          <cell r="D27">
            <v>149880</v>
          </cell>
        </row>
        <row r="28">
          <cell r="C28">
            <v>159105</v>
          </cell>
          <cell r="D28">
            <v>151387</v>
          </cell>
        </row>
        <row r="29">
          <cell r="C29">
            <v>161817</v>
          </cell>
          <cell r="D29">
            <v>153488</v>
          </cell>
        </row>
        <row r="30">
          <cell r="C30">
            <v>166640</v>
          </cell>
          <cell r="D30">
            <v>157780</v>
          </cell>
        </row>
        <row r="31">
          <cell r="C31">
            <v>174147</v>
          </cell>
          <cell r="D31">
            <v>165033</v>
          </cell>
        </row>
        <row r="32">
          <cell r="C32">
            <v>196668</v>
          </cell>
          <cell r="D32">
            <v>186434</v>
          </cell>
        </row>
        <row r="33">
          <cell r="C33">
            <v>211128</v>
          </cell>
          <cell r="D33">
            <v>200110</v>
          </cell>
        </row>
        <row r="34">
          <cell r="C34">
            <v>201122</v>
          </cell>
          <cell r="D34">
            <v>190735</v>
          </cell>
        </row>
        <row r="35">
          <cell r="C35">
            <v>182075</v>
          </cell>
          <cell r="D35">
            <v>172740</v>
          </cell>
        </row>
        <row r="36">
          <cell r="C36">
            <v>187769</v>
          </cell>
          <cell r="D36">
            <v>178313</v>
          </cell>
        </row>
        <row r="37">
          <cell r="C37">
            <v>128978</v>
          </cell>
          <cell r="D37">
            <v>122881</v>
          </cell>
        </row>
        <row r="38">
          <cell r="C38">
            <v>3584075</v>
          </cell>
          <cell r="D38">
            <v>3422463</v>
          </cell>
        </row>
        <row r="39">
          <cell r="C39">
            <v>211128</v>
          </cell>
          <cell r="D39">
            <v>200110</v>
          </cell>
        </row>
        <row r="40">
          <cell r="C40">
            <v>21384</v>
          </cell>
          <cell r="D40">
            <v>20957</v>
          </cell>
        </row>
      </sheetData>
      <sheetData sheetId="6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1</v>
          </cell>
          <cell r="D14">
            <v>1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2</v>
          </cell>
          <cell r="D21">
            <v>2</v>
          </cell>
        </row>
        <row r="22">
          <cell r="C22">
            <v>19</v>
          </cell>
          <cell r="D22">
            <v>18</v>
          </cell>
        </row>
        <row r="23">
          <cell r="C23">
            <v>42</v>
          </cell>
          <cell r="D23">
            <v>41</v>
          </cell>
        </row>
        <row r="24">
          <cell r="C24">
            <v>297</v>
          </cell>
          <cell r="D24">
            <v>285</v>
          </cell>
        </row>
        <row r="25">
          <cell r="C25">
            <v>2751</v>
          </cell>
          <cell r="D25">
            <v>2618</v>
          </cell>
        </row>
        <row r="26">
          <cell r="C26">
            <v>5657</v>
          </cell>
          <cell r="D26">
            <v>5400</v>
          </cell>
        </row>
        <row r="27">
          <cell r="C27">
            <v>6973</v>
          </cell>
          <cell r="D27">
            <v>6603</v>
          </cell>
        </row>
        <row r="28">
          <cell r="C28">
            <v>7820</v>
          </cell>
          <cell r="D28">
            <v>7403</v>
          </cell>
        </row>
        <row r="29">
          <cell r="C29">
            <v>8557</v>
          </cell>
          <cell r="D29">
            <v>8121</v>
          </cell>
        </row>
        <row r="30">
          <cell r="C30">
            <v>9309</v>
          </cell>
          <cell r="D30">
            <v>8818</v>
          </cell>
        </row>
        <row r="31">
          <cell r="C31">
            <v>10099</v>
          </cell>
          <cell r="D31">
            <v>9572</v>
          </cell>
        </row>
        <row r="32">
          <cell r="C32">
            <v>11186</v>
          </cell>
          <cell r="D32">
            <v>10646</v>
          </cell>
        </row>
        <row r="33">
          <cell r="C33">
            <v>11185</v>
          </cell>
          <cell r="D33">
            <v>10646</v>
          </cell>
        </row>
        <row r="34">
          <cell r="C34">
            <v>8780</v>
          </cell>
          <cell r="D34">
            <v>8340</v>
          </cell>
        </row>
        <row r="35">
          <cell r="C35">
            <v>7919</v>
          </cell>
          <cell r="D35">
            <v>7519</v>
          </cell>
        </row>
        <row r="36">
          <cell r="C36">
            <v>9252</v>
          </cell>
          <cell r="D36">
            <v>8725</v>
          </cell>
        </row>
        <row r="37">
          <cell r="C37">
            <v>7344</v>
          </cell>
          <cell r="D37">
            <v>6959</v>
          </cell>
        </row>
        <row r="38">
          <cell r="C38">
            <v>107193</v>
          </cell>
          <cell r="D38">
            <v>101717</v>
          </cell>
        </row>
        <row r="39">
          <cell r="C39">
            <v>11186</v>
          </cell>
          <cell r="D39">
            <v>10646</v>
          </cell>
        </row>
        <row r="40">
          <cell r="C40">
            <v>0</v>
          </cell>
          <cell r="D40">
            <v>0</v>
          </cell>
        </row>
      </sheetData>
      <sheetData sheetId="7">
        <row r="1">
          <cell r="C1" t="str">
            <v>HasPvalue</v>
          </cell>
          <cell r="D1" t="str">
            <v>Pvalue0.05</v>
          </cell>
        </row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3</v>
          </cell>
          <cell r="D7">
            <v>3</v>
          </cell>
        </row>
        <row r="8">
          <cell r="C8">
            <v>4</v>
          </cell>
          <cell r="D8">
            <v>4</v>
          </cell>
        </row>
        <row r="9">
          <cell r="C9">
            <v>9</v>
          </cell>
          <cell r="D9">
            <v>9</v>
          </cell>
        </row>
        <row r="10">
          <cell r="C10">
            <v>8</v>
          </cell>
          <cell r="D10">
            <v>7</v>
          </cell>
        </row>
        <row r="11">
          <cell r="C11">
            <v>17</v>
          </cell>
          <cell r="D11">
            <v>15</v>
          </cell>
        </row>
        <row r="12">
          <cell r="C12">
            <v>74</v>
          </cell>
          <cell r="D12">
            <v>63</v>
          </cell>
        </row>
        <row r="13">
          <cell r="C13">
            <v>70</v>
          </cell>
          <cell r="D13">
            <v>60</v>
          </cell>
        </row>
        <row r="14">
          <cell r="C14">
            <v>92</v>
          </cell>
          <cell r="D14">
            <v>75</v>
          </cell>
        </row>
        <row r="15">
          <cell r="C15">
            <v>136</v>
          </cell>
          <cell r="D15">
            <v>121</v>
          </cell>
        </row>
        <row r="16">
          <cell r="C16">
            <v>170</v>
          </cell>
          <cell r="D16">
            <v>144</v>
          </cell>
        </row>
        <row r="17">
          <cell r="C17">
            <v>212</v>
          </cell>
          <cell r="D17">
            <v>188</v>
          </cell>
        </row>
        <row r="18">
          <cell r="C18">
            <v>269</v>
          </cell>
          <cell r="D18">
            <v>244</v>
          </cell>
        </row>
        <row r="19">
          <cell r="C19">
            <v>383</v>
          </cell>
          <cell r="D19">
            <v>337</v>
          </cell>
        </row>
        <row r="20">
          <cell r="C20">
            <v>447</v>
          </cell>
          <cell r="D20">
            <v>391</v>
          </cell>
        </row>
        <row r="21">
          <cell r="C21">
            <v>568</v>
          </cell>
          <cell r="D21">
            <v>505</v>
          </cell>
        </row>
        <row r="22">
          <cell r="C22">
            <v>718</v>
          </cell>
          <cell r="D22">
            <v>634</v>
          </cell>
        </row>
        <row r="23">
          <cell r="C23">
            <v>892</v>
          </cell>
          <cell r="D23">
            <v>792</v>
          </cell>
        </row>
        <row r="24">
          <cell r="C24">
            <v>1290</v>
          </cell>
          <cell r="D24">
            <v>1138</v>
          </cell>
        </row>
        <row r="25">
          <cell r="C25">
            <v>1722</v>
          </cell>
          <cell r="D25">
            <v>1539</v>
          </cell>
        </row>
        <row r="26">
          <cell r="C26">
            <v>2115</v>
          </cell>
          <cell r="D26">
            <v>1884</v>
          </cell>
        </row>
        <row r="27">
          <cell r="C27">
            <v>2676</v>
          </cell>
          <cell r="D27">
            <v>2400</v>
          </cell>
        </row>
        <row r="28">
          <cell r="C28">
            <v>3008</v>
          </cell>
          <cell r="D28">
            <v>2701</v>
          </cell>
        </row>
        <row r="29">
          <cell r="C29">
            <v>3552</v>
          </cell>
          <cell r="D29">
            <v>3177</v>
          </cell>
        </row>
        <row r="30">
          <cell r="C30">
            <v>4190</v>
          </cell>
          <cell r="D30">
            <v>3746</v>
          </cell>
        </row>
        <row r="31">
          <cell r="C31">
            <v>5191</v>
          </cell>
          <cell r="D31">
            <v>4689</v>
          </cell>
        </row>
        <row r="32">
          <cell r="C32">
            <v>6356</v>
          </cell>
          <cell r="D32">
            <v>5726</v>
          </cell>
        </row>
        <row r="33">
          <cell r="C33">
            <v>7555</v>
          </cell>
          <cell r="D33">
            <v>6840</v>
          </cell>
        </row>
        <row r="34">
          <cell r="C34">
            <v>7720</v>
          </cell>
          <cell r="D34">
            <v>7019</v>
          </cell>
        </row>
        <row r="35">
          <cell r="C35">
            <v>7557</v>
          </cell>
          <cell r="D35">
            <v>6887</v>
          </cell>
        </row>
        <row r="36">
          <cell r="C36">
            <v>8563</v>
          </cell>
          <cell r="D36">
            <v>7868</v>
          </cell>
        </row>
        <row r="37">
          <cell r="C37">
            <v>6346</v>
          </cell>
          <cell r="D37">
            <v>5816</v>
          </cell>
        </row>
        <row r="38">
          <cell r="C38">
            <v>71913</v>
          </cell>
          <cell r="D38">
            <v>65022</v>
          </cell>
        </row>
        <row r="39">
          <cell r="C39">
            <v>8563</v>
          </cell>
          <cell r="D39">
            <v>7868</v>
          </cell>
        </row>
        <row r="40">
          <cell r="C40">
            <v>0</v>
          </cell>
          <cell r="D40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D40"/>
  <sheetViews>
    <sheetView topLeftCell="A19" workbookViewId="0">
      <selection activeCell="C2" sqref="C1:C2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[1]RCT!C1</f>
        <v>HasPvalue</v>
      </c>
      <c r="C1" t="str">
        <f>[1]RCT!D1</f>
        <v>Pvalue0.05</v>
      </c>
      <c r="D1" t="s">
        <v>1</v>
      </c>
    </row>
    <row r="2" spans="1:4" x14ac:dyDescent="0.3">
      <c r="A2">
        <v>1990</v>
      </c>
      <c r="B2">
        <f>[1]RCT!C2</f>
        <v>2135</v>
      </c>
      <c r="C2">
        <f>[1]RCT!D2</f>
        <v>2051</v>
      </c>
      <c r="D2">
        <f>C2/B2*100</f>
        <v>96.06557377049181</v>
      </c>
    </row>
    <row r="3" spans="1:4" x14ac:dyDescent="0.3">
      <c r="A3">
        <v>1991</v>
      </c>
      <c r="B3">
        <f>[1]RCT!C3</f>
        <v>2535</v>
      </c>
      <c r="C3">
        <f>[1]RCT!D3</f>
        <v>2417</v>
      </c>
      <c r="D3">
        <f t="shared" ref="D3:D37" si="0">C3/B3*100</f>
        <v>95.345167652859971</v>
      </c>
    </row>
    <row r="4" spans="1:4" x14ac:dyDescent="0.3">
      <c r="A4">
        <f>A2+2</f>
        <v>1992</v>
      </c>
      <c r="B4">
        <f>[1]RCT!C4</f>
        <v>2792</v>
      </c>
      <c r="C4">
        <f>[1]RCT!D4</f>
        <v>2660</v>
      </c>
      <c r="D4">
        <f t="shared" si="0"/>
        <v>95.272206303724928</v>
      </c>
    </row>
    <row r="5" spans="1:4" x14ac:dyDescent="0.3">
      <c r="A5">
        <f t="shared" ref="A5:A36" si="1">A3+2</f>
        <v>1993</v>
      </c>
      <c r="B5">
        <f>[1]RCT!C5</f>
        <v>3143</v>
      </c>
      <c r="C5">
        <f>[1]RCT!D5</f>
        <v>2990</v>
      </c>
      <c r="D5">
        <f t="shared" si="0"/>
        <v>95.132039452752153</v>
      </c>
    </row>
    <row r="6" spans="1:4" x14ac:dyDescent="0.3">
      <c r="A6">
        <f t="shared" si="1"/>
        <v>1994</v>
      </c>
      <c r="B6">
        <f>[1]RCT!C6</f>
        <v>3718</v>
      </c>
      <c r="C6">
        <f>[1]RCT!D6</f>
        <v>3517</v>
      </c>
      <c r="D6">
        <f t="shared" si="0"/>
        <v>94.593867670790743</v>
      </c>
    </row>
    <row r="7" spans="1:4" x14ac:dyDescent="0.3">
      <c r="A7">
        <f t="shared" si="1"/>
        <v>1995</v>
      </c>
      <c r="B7">
        <f>[1]RCT!C7</f>
        <v>4180</v>
      </c>
      <c r="C7">
        <f>[1]RCT!D7</f>
        <v>3972</v>
      </c>
      <c r="D7">
        <f t="shared" si="0"/>
        <v>95.023923444976077</v>
      </c>
    </row>
    <row r="8" spans="1:4" x14ac:dyDescent="0.3">
      <c r="A8">
        <f t="shared" si="1"/>
        <v>1996</v>
      </c>
      <c r="B8">
        <f>[1]RCT!C8</f>
        <v>4291</v>
      </c>
      <c r="C8">
        <f>[1]RCT!D8</f>
        <v>4101</v>
      </c>
      <c r="D8">
        <f t="shared" si="0"/>
        <v>95.572127709158707</v>
      </c>
    </row>
    <row r="9" spans="1:4" x14ac:dyDescent="0.3">
      <c r="A9">
        <f t="shared" si="1"/>
        <v>1997</v>
      </c>
      <c r="B9">
        <f>[1]RCT!C9</f>
        <v>4562</v>
      </c>
      <c r="C9">
        <f>[1]RCT!D9</f>
        <v>4316</v>
      </c>
      <c r="D9">
        <f t="shared" si="0"/>
        <v>94.60762823323104</v>
      </c>
    </row>
    <row r="10" spans="1:4" x14ac:dyDescent="0.3">
      <c r="A10">
        <f t="shared" si="1"/>
        <v>1998</v>
      </c>
      <c r="B10">
        <f>[1]RCT!C10</f>
        <v>4862</v>
      </c>
      <c r="C10">
        <f>[1]RCT!D10</f>
        <v>4584</v>
      </c>
      <c r="D10">
        <f t="shared" si="0"/>
        <v>94.282188399835448</v>
      </c>
    </row>
    <row r="11" spans="1:4" x14ac:dyDescent="0.3">
      <c r="A11">
        <f t="shared" si="1"/>
        <v>1999</v>
      </c>
      <c r="B11">
        <f>[1]RCT!C11</f>
        <v>5381</v>
      </c>
      <c r="C11">
        <f>[1]RCT!D11</f>
        <v>5067</v>
      </c>
      <c r="D11">
        <f t="shared" si="0"/>
        <v>94.164653410146812</v>
      </c>
    </row>
    <row r="12" spans="1:4" x14ac:dyDescent="0.3">
      <c r="A12">
        <f t="shared" si="1"/>
        <v>2000</v>
      </c>
      <c r="B12">
        <f>[1]RCT!C12</f>
        <v>5256</v>
      </c>
      <c r="C12">
        <f>[1]RCT!D12</f>
        <v>4947</v>
      </c>
      <c r="D12">
        <f t="shared" si="0"/>
        <v>94.121004566210047</v>
      </c>
    </row>
    <row r="13" spans="1:4" x14ac:dyDescent="0.3">
      <c r="A13">
        <f t="shared" si="1"/>
        <v>2001</v>
      </c>
      <c r="B13">
        <f>[1]RCT!C13</f>
        <v>5743</v>
      </c>
      <c r="C13">
        <f>[1]RCT!D13</f>
        <v>5375</v>
      </c>
      <c r="D13">
        <f t="shared" si="0"/>
        <v>93.59219919902489</v>
      </c>
    </row>
    <row r="14" spans="1:4" x14ac:dyDescent="0.3">
      <c r="A14">
        <f t="shared" si="1"/>
        <v>2002</v>
      </c>
      <c r="B14">
        <f>[1]RCT!C14</f>
        <v>6056</v>
      </c>
      <c r="C14">
        <f>[1]RCT!D14</f>
        <v>5661</v>
      </c>
      <c r="D14">
        <f t="shared" si="0"/>
        <v>93.477542932628793</v>
      </c>
    </row>
    <row r="15" spans="1:4" x14ac:dyDescent="0.3">
      <c r="A15">
        <f t="shared" si="1"/>
        <v>2003</v>
      </c>
      <c r="B15">
        <f>[1]RCT!C15</f>
        <v>6904</v>
      </c>
      <c r="C15">
        <f>[1]RCT!D15</f>
        <v>6437</v>
      </c>
      <c r="D15">
        <f t="shared" si="0"/>
        <v>93.235805330243338</v>
      </c>
    </row>
    <row r="16" spans="1:4" x14ac:dyDescent="0.3">
      <c r="A16">
        <f t="shared" si="1"/>
        <v>2004</v>
      </c>
      <c r="B16">
        <f>[1]RCT!C16</f>
        <v>7725</v>
      </c>
      <c r="C16">
        <f>[1]RCT!D16</f>
        <v>7217</v>
      </c>
      <c r="D16">
        <f t="shared" si="0"/>
        <v>93.423948220064716</v>
      </c>
    </row>
    <row r="17" spans="1:4" x14ac:dyDescent="0.3">
      <c r="A17">
        <f t="shared" si="1"/>
        <v>2005</v>
      </c>
      <c r="B17">
        <f>[1]RCT!C17</f>
        <v>8588</v>
      </c>
      <c r="C17">
        <f>[1]RCT!D17</f>
        <v>7961</v>
      </c>
      <c r="D17">
        <f t="shared" si="0"/>
        <v>92.69911504424779</v>
      </c>
    </row>
    <row r="18" spans="1:4" x14ac:dyDescent="0.3">
      <c r="A18">
        <f t="shared" si="1"/>
        <v>2006</v>
      </c>
      <c r="B18">
        <f>[1]RCT!C18</f>
        <v>9143</v>
      </c>
      <c r="C18">
        <f>[1]RCT!D18</f>
        <v>8492</v>
      </c>
      <c r="D18">
        <f t="shared" si="0"/>
        <v>92.879798753144485</v>
      </c>
    </row>
    <row r="19" spans="1:4" x14ac:dyDescent="0.3">
      <c r="A19">
        <f t="shared" si="1"/>
        <v>2007</v>
      </c>
      <c r="B19">
        <f>[1]RCT!C19</f>
        <v>10018</v>
      </c>
      <c r="C19">
        <f>[1]RCT!D19</f>
        <v>9306</v>
      </c>
      <c r="D19">
        <f t="shared" si="0"/>
        <v>92.892792972649232</v>
      </c>
    </row>
    <row r="20" spans="1:4" x14ac:dyDescent="0.3">
      <c r="A20">
        <f t="shared" si="1"/>
        <v>2008</v>
      </c>
      <c r="B20">
        <f>[1]RCT!C20</f>
        <v>10396</v>
      </c>
      <c r="C20">
        <f>[1]RCT!D20</f>
        <v>9633</v>
      </c>
      <c r="D20">
        <f t="shared" si="0"/>
        <v>92.660638707195076</v>
      </c>
    </row>
    <row r="21" spans="1:4" x14ac:dyDescent="0.3">
      <c r="A21">
        <f t="shared" si="1"/>
        <v>2009</v>
      </c>
      <c r="B21">
        <f>[1]RCT!C21</f>
        <v>11123</v>
      </c>
      <c r="C21">
        <f>[1]RCT!D21</f>
        <v>10307</v>
      </c>
      <c r="D21">
        <f t="shared" si="0"/>
        <v>92.663849680841508</v>
      </c>
    </row>
    <row r="22" spans="1:4" x14ac:dyDescent="0.3">
      <c r="A22">
        <f t="shared" si="1"/>
        <v>2010</v>
      </c>
      <c r="B22">
        <f>[1]RCT!C22</f>
        <v>12049</v>
      </c>
      <c r="C22">
        <f>[1]RCT!D22</f>
        <v>11123</v>
      </c>
      <c r="D22">
        <f t="shared" si="0"/>
        <v>92.314714914100762</v>
      </c>
    </row>
    <row r="23" spans="1:4" x14ac:dyDescent="0.3">
      <c r="A23">
        <f t="shared" si="1"/>
        <v>2011</v>
      </c>
      <c r="B23">
        <f>[1]RCT!C23</f>
        <v>13412</v>
      </c>
      <c r="C23">
        <f>[1]RCT!D23</f>
        <v>12414</v>
      </c>
      <c r="D23">
        <f t="shared" si="0"/>
        <v>92.558902475395172</v>
      </c>
    </row>
    <row r="24" spans="1:4" x14ac:dyDescent="0.3">
      <c r="A24">
        <f>A22+2</f>
        <v>2012</v>
      </c>
      <c r="B24">
        <f>[1]RCT!C24</f>
        <v>14759</v>
      </c>
      <c r="C24">
        <f>[1]RCT!D24</f>
        <v>13631</v>
      </c>
      <c r="D24">
        <f t="shared" si="0"/>
        <v>92.357205772748827</v>
      </c>
    </row>
    <row r="25" spans="1:4" x14ac:dyDescent="0.3">
      <c r="A25">
        <f t="shared" si="1"/>
        <v>2013</v>
      </c>
      <c r="B25">
        <f>[1]RCT!C25</f>
        <v>15621</v>
      </c>
      <c r="C25">
        <f>[1]RCT!D25</f>
        <v>14391</v>
      </c>
      <c r="D25">
        <f t="shared" si="0"/>
        <v>92.125984251968504</v>
      </c>
    </row>
    <row r="26" spans="1:4" x14ac:dyDescent="0.3">
      <c r="A26">
        <f t="shared" si="1"/>
        <v>2014</v>
      </c>
      <c r="B26">
        <f>[1]RCT!C26</f>
        <v>16034</v>
      </c>
      <c r="C26">
        <f>[1]RCT!D26</f>
        <v>14752</v>
      </c>
      <c r="D26">
        <f t="shared" si="0"/>
        <v>92.004490457777223</v>
      </c>
    </row>
    <row r="27" spans="1:4" x14ac:dyDescent="0.3">
      <c r="A27">
        <f t="shared" si="1"/>
        <v>2015</v>
      </c>
      <c r="B27">
        <f>[1]RCT!C27</f>
        <v>16158</v>
      </c>
      <c r="C27">
        <f>[1]RCT!D27</f>
        <v>14801</v>
      </c>
      <c r="D27">
        <f t="shared" si="0"/>
        <v>91.601683376655529</v>
      </c>
    </row>
    <row r="28" spans="1:4" x14ac:dyDescent="0.3">
      <c r="A28">
        <f t="shared" si="1"/>
        <v>2016</v>
      </c>
      <c r="B28">
        <f>[1]RCT!C28</f>
        <v>15629</v>
      </c>
      <c r="C28">
        <f>[1]RCT!D28</f>
        <v>14263</v>
      </c>
      <c r="D28">
        <f t="shared" si="0"/>
        <v>91.259837481604706</v>
      </c>
    </row>
    <row r="29" spans="1:4" x14ac:dyDescent="0.3">
      <c r="A29">
        <f t="shared" si="1"/>
        <v>2017</v>
      </c>
      <c r="B29">
        <f>[1]RCT!C29</f>
        <v>15752</v>
      </c>
      <c r="C29">
        <f>[1]RCT!D29</f>
        <v>14360</v>
      </c>
      <c r="D29">
        <f t="shared" si="0"/>
        <v>91.163026917216854</v>
      </c>
    </row>
    <row r="30" spans="1:4" x14ac:dyDescent="0.3">
      <c r="A30">
        <f t="shared" si="1"/>
        <v>2018</v>
      </c>
      <c r="B30">
        <f>[1]RCT!C30</f>
        <v>15369</v>
      </c>
      <c r="C30">
        <f>[1]RCT!D30</f>
        <v>13940</v>
      </c>
      <c r="D30">
        <f t="shared" si="0"/>
        <v>90.702062593532446</v>
      </c>
    </row>
    <row r="31" spans="1:4" x14ac:dyDescent="0.3">
      <c r="A31">
        <f t="shared" si="1"/>
        <v>2019</v>
      </c>
      <c r="B31">
        <f>[1]RCT!C31</f>
        <v>15319</v>
      </c>
      <c r="C31">
        <f>[1]RCT!D31</f>
        <v>13884</v>
      </c>
      <c r="D31">
        <f t="shared" si="0"/>
        <v>90.632547816437096</v>
      </c>
    </row>
    <row r="32" spans="1:4" x14ac:dyDescent="0.3">
      <c r="A32">
        <f t="shared" si="1"/>
        <v>2020</v>
      </c>
      <c r="B32">
        <f>[1]RCT!C32</f>
        <v>16614</v>
      </c>
      <c r="C32">
        <f>[1]RCT!D32</f>
        <v>14970</v>
      </c>
      <c r="D32">
        <f t="shared" si="0"/>
        <v>90.104730949801365</v>
      </c>
    </row>
    <row r="33" spans="1:4" x14ac:dyDescent="0.3">
      <c r="A33">
        <f t="shared" si="1"/>
        <v>2021</v>
      </c>
      <c r="B33">
        <f>[1]RCT!C33</f>
        <v>17203</v>
      </c>
      <c r="C33">
        <f>[1]RCT!D33</f>
        <v>15543</v>
      </c>
      <c r="D33">
        <f t="shared" si="0"/>
        <v>90.350520258094519</v>
      </c>
    </row>
    <row r="34" spans="1:4" x14ac:dyDescent="0.3">
      <c r="A34">
        <f t="shared" si="1"/>
        <v>2022</v>
      </c>
      <c r="B34">
        <f>[1]RCT!C34</f>
        <v>16516</v>
      </c>
      <c r="C34">
        <f>[1]RCT!D34</f>
        <v>14931</v>
      </c>
      <c r="D34">
        <f t="shared" si="0"/>
        <v>90.403245337854202</v>
      </c>
    </row>
    <row r="35" spans="1:4" x14ac:dyDescent="0.3">
      <c r="A35">
        <f t="shared" si="1"/>
        <v>2023</v>
      </c>
      <c r="B35">
        <f>[1]RCT!C35</f>
        <v>14646</v>
      </c>
      <c r="C35">
        <f>[1]RCT!D35</f>
        <v>13208</v>
      </c>
      <c r="D35">
        <f t="shared" si="0"/>
        <v>90.18161955482725</v>
      </c>
    </row>
    <row r="36" spans="1:4" x14ac:dyDescent="0.3">
      <c r="A36">
        <f t="shared" si="1"/>
        <v>2024</v>
      </c>
      <c r="B36">
        <f>[1]RCT!C36</f>
        <v>16344</v>
      </c>
      <c r="C36">
        <f>[1]RCT!D36</f>
        <v>14871</v>
      </c>
      <c r="D36">
        <f t="shared" si="0"/>
        <v>90.987518355359768</v>
      </c>
    </row>
    <row r="37" spans="1:4" x14ac:dyDescent="0.3">
      <c r="A37">
        <v>2025</v>
      </c>
      <c r="B37">
        <f>[1]RCT!C37</f>
        <v>10371</v>
      </c>
      <c r="C37">
        <f>[1]RCT!D37</f>
        <v>9408</v>
      </c>
      <c r="D37">
        <f t="shared" si="0"/>
        <v>90.714492334393981</v>
      </c>
    </row>
    <row r="38" spans="1:4" x14ac:dyDescent="0.3">
      <c r="A38" t="s">
        <v>9</v>
      </c>
      <c r="B38">
        <f>[1]RCT!C38</f>
        <v>360347</v>
      </c>
      <c r="C38">
        <f>[1]RCT!D38</f>
        <v>331501</v>
      </c>
    </row>
    <row r="39" spans="1:4" x14ac:dyDescent="0.3">
      <c r="A39" t="s">
        <v>7</v>
      </c>
      <c r="B39">
        <f>[1]RCT!C39</f>
        <v>17203</v>
      </c>
      <c r="C39">
        <f>[1]RCT!D39</f>
        <v>15543</v>
      </c>
      <c r="D39">
        <f>MAX(D2:D37)</f>
        <v>96.06557377049181</v>
      </c>
    </row>
    <row r="40" spans="1:4" x14ac:dyDescent="0.3">
      <c r="A40" t="s">
        <v>8</v>
      </c>
      <c r="B40">
        <f>[1]RCT!C40</f>
        <v>2135</v>
      </c>
      <c r="C40">
        <f>[1]RCT!D40</f>
        <v>2051</v>
      </c>
      <c r="D40">
        <f>MIN(D2:D37)</f>
        <v>90.104730949801365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D40"/>
  <sheetViews>
    <sheetView workbookViewId="0">
      <selection activeCell="C2" sqref="C1:C2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[1]CT!C1</f>
        <v>HasPvalue</v>
      </c>
      <c r="C1" t="str">
        <f>[1]CT!D1</f>
        <v>Pvalue0.05</v>
      </c>
      <c r="D1" t="s">
        <v>1</v>
      </c>
    </row>
    <row r="2" spans="1:4" x14ac:dyDescent="0.3">
      <c r="A2">
        <v>1990</v>
      </c>
      <c r="B2">
        <f>[1]CT!C2</f>
        <v>767</v>
      </c>
      <c r="C2">
        <f>[1]CT!D2</f>
        <v>751</v>
      </c>
      <c r="D2">
        <f>C2/B2*100</f>
        <v>97.913950456323334</v>
      </c>
    </row>
    <row r="3" spans="1:4" x14ac:dyDescent="0.3">
      <c r="A3">
        <v>1991</v>
      </c>
      <c r="B3">
        <f>[1]CT!C3</f>
        <v>882</v>
      </c>
      <c r="C3">
        <f>[1]CT!D3</f>
        <v>868</v>
      </c>
      <c r="D3">
        <f t="shared" ref="D3:D37" si="0">C3/B3*100</f>
        <v>98.412698412698404</v>
      </c>
    </row>
    <row r="4" spans="1:4" x14ac:dyDescent="0.3">
      <c r="A4">
        <f>A2+2</f>
        <v>1992</v>
      </c>
      <c r="B4">
        <f>[1]CT!C4</f>
        <v>805</v>
      </c>
      <c r="C4">
        <f>[1]CT!D4</f>
        <v>789</v>
      </c>
      <c r="D4">
        <f t="shared" si="0"/>
        <v>98.012422360248451</v>
      </c>
    </row>
    <row r="5" spans="1:4" x14ac:dyDescent="0.3">
      <c r="A5">
        <f t="shared" ref="A5:A36" si="1">A3+2</f>
        <v>1993</v>
      </c>
      <c r="B5">
        <f>[1]CT!C5</f>
        <v>884</v>
      </c>
      <c r="C5">
        <f>[1]CT!D5</f>
        <v>856</v>
      </c>
      <c r="D5">
        <f t="shared" si="0"/>
        <v>96.832579185520359</v>
      </c>
    </row>
    <row r="6" spans="1:4" x14ac:dyDescent="0.3">
      <c r="A6">
        <f t="shared" si="1"/>
        <v>1994</v>
      </c>
      <c r="B6">
        <f>[1]CT!C6</f>
        <v>2194</v>
      </c>
      <c r="C6">
        <f>[1]CT!D6</f>
        <v>2136</v>
      </c>
      <c r="D6">
        <f t="shared" si="0"/>
        <v>97.356426618049227</v>
      </c>
    </row>
    <row r="7" spans="1:4" x14ac:dyDescent="0.3">
      <c r="A7">
        <f t="shared" si="1"/>
        <v>1995</v>
      </c>
      <c r="B7">
        <f>[1]CT!C7</f>
        <v>2332</v>
      </c>
      <c r="C7">
        <f>[1]CT!D7</f>
        <v>2266</v>
      </c>
      <c r="D7">
        <f t="shared" si="0"/>
        <v>97.169811320754718</v>
      </c>
    </row>
    <row r="8" spans="1:4" x14ac:dyDescent="0.3">
      <c r="A8">
        <f t="shared" si="1"/>
        <v>1996</v>
      </c>
      <c r="B8">
        <f>[1]CT!C8</f>
        <v>2296</v>
      </c>
      <c r="C8">
        <f>[1]CT!D8</f>
        <v>2220</v>
      </c>
      <c r="D8">
        <f t="shared" si="0"/>
        <v>96.689895470383277</v>
      </c>
    </row>
    <row r="9" spans="1:4" x14ac:dyDescent="0.3">
      <c r="A9">
        <f t="shared" si="1"/>
        <v>1997</v>
      </c>
      <c r="B9">
        <f>[1]CT!C9</f>
        <v>2633</v>
      </c>
      <c r="C9">
        <f>[1]CT!D9</f>
        <v>2560</v>
      </c>
      <c r="D9">
        <f t="shared" si="0"/>
        <v>97.227497151538174</v>
      </c>
    </row>
    <row r="10" spans="1:4" x14ac:dyDescent="0.3">
      <c r="A10">
        <f t="shared" si="1"/>
        <v>1998</v>
      </c>
      <c r="B10">
        <f>[1]CT!C10</f>
        <v>2743</v>
      </c>
      <c r="C10">
        <f>[1]CT!D10</f>
        <v>2662</v>
      </c>
      <c r="D10">
        <f t="shared" si="0"/>
        <v>97.047028800583305</v>
      </c>
    </row>
    <row r="11" spans="1:4" x14ac:dyDescent="0.3">
      <c r="A11">
        <f t="shared" si="1"/>
        <v>1999</v>
      </c>
      <c r="B11">
        <f>[1]CT!C11</f>
        <v>3158</v>
      </c>
      <c r="C11">
        <f>[1]CT!D11</f>
        <v>3059</v>
      </c>
      <c r="D11">
        <f t="shared" si="0"/>
        <v>96.865104496516778</v>
      </c>
    </row>
    <row r="12" spans="1:4" x14ac:dyDescent="0.3">
      <c r="A12">
        <f t="shared" si="1"/>
        <v>2000</v>
      </c>
      <c r="B12">
        <f>[1]CT!C12</f>
        <v>3218</v>
      </c>
      <c r="C12">
        <f>[1]CT!D12</f>
        <v>3112</v>
      </c>
      <c r="D12">
        <f t="shared" si="0"/>
        <v>96.706028589185834</v>
      </c>
    </row>
    <row r="13" spans="1:4" x14ac:dyDescent="0.3">
      <c r="A13">
        <f t="shared" si="1"/>
        <v>2001</v>
      </c>
      <c r="B13">
        <f>[1]CT!C13</f>
        <v>2665</v>
      </c>
      <c r="C13">
        <f>[1]CT!D13</f>
        <v>2590</v>
      </c>
      <c r="D13">
        <f t="shared" si="0"/>
        <v>97.185741088180109</v>
      </c>
    </row>
    <row r="14" spans="1:4" x14ac:dyDescent="0.3">
      <c r="A14">
        <f t="shared" si="1"/>
        <v>2002</v>
      </c>
      <c r="B14">
        <f>[1]CT!C14</f>
        <v>2894</v>
      </c>
      <c r="C14">
        <f>[1]CT!D14</f>
        <v>2779</v>
      </c>
      <c r="D14">
        <f t="shared" si="0"/>
        <v>96.026261230131311</v>
      </c>
    </row>
    <row r="15" spans="1:4" x14ac:dyDescent="0.3">
      <c r="A15">
        <f t="shared" si="1"/>
        <v>2003</v>
      </c>
      <c r="B15">
        <f>[1]CT!C15</f>
        <v>3655</v>
      </c>
      <c r="C15">
        <f>[1]CT!D15</f>
        <v>3535</v>
      </c>
      <c r="D15">
        <f t="shared" si="0"/>
        <v>96.716826265389884</v>
      </c>
    </row>
    <row r="16" spans="1:4" x14ac:dyDescent="0.3">
      <c r="A16">
        <f t="shared" si="1"/>
        <v>2004</v>
      </c>
      <c r="B16">
        <f>[1]CT!C16</f>
        <v>3918</v>
      </c>
      <c r="C16">
        <f>[1]CT!D16</f>
        <v>3781</v>
      </c>
      <c r="D16">
        <f t="shared" si="0"/>
        <v>96.503318019397653</v>
      </c>
    </row>
    <row r="17" spans="1:4" x14ac:dyDescent="0.3">
      <c r="A17">
        <f t="shared" si="1"/>
        <v>2005</v>
      </c>
      <c r="B17">
        <f>[1]CT!C17</f>
        <v>4419</v>
      </c>
      <c r="C17">
        <f>[1]CT!D17</f>
        <v>4253</v>
      </c>
      <c r="D17">
        <f t="shared" si="0"/>
        <v>96.243494003168138</v>
      </c>
    </row>
    <row r="18" spans="1:4" x14ac:dyDescent="0.3">
      <c r="A18">
        <f t="shared" si="1"/>
        <v>2006</v>
      </c>
      <c r="B18">
        <f>[1]CT!C18</f>
        <v>4205</v>
      </c>
      <c r="C18">
        <f>[1]CT!D18</f>
        <v>4011</v>
      </c>
      <c r="D18">
        <f t="shared" si="0"/>
        <v>95.386444708680145</v>
      </c>
    </row>
    <row r="19" spans="1:4" x14ac:dyDescent="0.3">
      <c r="A19">
        <f t="shared" si="1"/>
        <v>2007</v>
      </c>
      <c r="B19">
        <f>[1]CT!C19</f>
        <v>4191</v>
      </c>
      <c r="C19">
        <f>[1]CT!D19</f>
        <v>3998</v>
      </c>
      <c r="D19">
        <f t="shared" si="0"/>
        <v>95.394893820090672</v>
      </c>
    </row>
    <row r="20" spans="1:4" x14ac:dyDescent="0.3">
      <c r="A20">
        <f t="shared" si="1"/>
        <v>2008</v>
      </c>
      <c r="B20">
        <f>[1]CT!C20</f>
        <v>3939</v>
      </c>
      <c r="C20">
        <f>[1]CT!D20</f>
        <v>3746</v>
      </c>
      <c r="D20">
        <f t="shared" si="0"/>
        <v>95.100279258695096</v>
      </c>
    </row>
    <row r="21" spans="1:4" x14ac:dyDescent="0.3">
      <c r="A21">
        <f t="shared" si="1"/>
        <v>2009</v>
      </c>
      <c r="B21">
        <f>[1]CT!C21</f>
        <v>3799</v>
      </c>
      <c r="C21">
        <f>[1]CT!D21</f>
        <v>3635</v>
      </c>
      <c r="D21">
        <f t="shared" si="0"/>
        <v>95.683074493287705</v>
      </c>
    </row>
    <row r="22" spans="1:4" x14ac:dyDescent="0.3">
      <c r="A22">
        <f t="shared" si="1"/>
        <v>2010</v>
      </c>
      <c r="B22">
        <f>[1]CT!C22</f>
        <v>3989</v>
      </c>
      <c r="C22">
        <f>[1]CT!D22</f>
        <v>3815</v>
      </c>
      <c r="D22">
        <f t="shared" si="0"/>
        <v>95.638004512409125</v>
      </c>
    </row>
    <row r="23" spans="1:4" x14ac:dyDescent="0.3">
      <c r="A23">
        <f t="shared" si="1"/>
        <v>2011</v>
      </c>
      <c r="B23">
        <f>[1]CT!C23</f>
        <v>4644</v>
      </c>
      <c r="C23">
        <f>[1]CT!D23</f>
        <v>4442</v>
      </c>
      <c r="D23">
        <f t="shared" si="0"/>
        <v>95.650301464254952</v>
      </c>
    </row>
    <row r="24" spans="1:4" x14ac:dyDescent="0.3">
      <c r="A24">
        <f>A22+2</f>
        <v>2012</v>
      </c>
      <c r="B24">
        <f>[1]CT!C24</f>
        <v>5129</v>
      </c>
      <c r="C24">
        <f>[1]CT!D24</f>
        <v>4891</v>
      </c>
      <c r="D24">
        <f t="shared" si="0"/>
        <v>95.359719243517262</v>
      </c>
    </row>
    <row r="25" spans="1:4" x14ac:dyDescent="0.3">
      <c r="A25">
        <f t="shared" si="1"/>
        <v>2013</v>
      </c>
      <c r="B25">
        <f>[1]CT!C25</f>
        <v>5497</v>
      </c>
      <c r="C25">
        <f>[1]CT!D25</f>
        <v>5258</v>
      </c>
      <c r="D25">
        <f t="shared" si="0"/>
        <v>95.652173913043484</v>
      </c>
    </row>
    <row r="26" spans="1:4" x14ac:dyDescent="0.3">
      <c r="A26">
        <f t="shared" si="1"/>
        <v>2014</v>
      </c>
      <c r="B26">
        <f>[1]CT!C26</f>
        <v>5119</v>
      </c>
      <c r="C26">
        <f>[1]CT!D26</f>
        <v>4896</v>
      </c>
      <c r="D26">
        <f t="shared" si="0"/>
        <v>95.643680406329352</v>
      </c>
    </row>
    <row r="27" spans="1:4" x14ac:dyDescent="0.3">
      <c r="A27">
        <f t="shared" si="1"/>
        <v>2015</v>
      </c>
      <c r="B27">
        <f>[1]CT!C27</f>
        <v>4727</v>
      </c>
      <c r="C27">
        <f>[1]CT!D27</f>
        <v>4515</v>
      </c>
      <c r="D27">
        <f t="shared" si="0"/>
        <v>95.515125872646507</v>
      </c>
    </row>
    <row r="28" spans="1:4" x14ac:dyDescent="0.3">
      <c r="A28">
        <f t="shared" si="1"/>
        <v>2016</v>
      </c>
      <c r="B28">
        <f>[1]CT!C28</f>
        <v>4107</v>
      </c>
      <c r="C28">
        <f>[1]CT!D28</f>
        <v>3911</v>
      </c>
      <c r="D28">
        <f t="shared" si="0"/>
        <v>95.227660092524957</v>
      </c>
    </row>
    <row r="29" spans="1:4" x14ac:dyDescent="0.3">
      <c r="A29">
        <f t="shared" si="1"/>
        <v>2017</v>
      </c>
      <c r="B29">
        <f>[1]CT!C29</f>
        <v>3842</v>
      </c>
      <c r="C29">
        <f>[1]CT!D29</f>
        <v>3628</v>
      </c>
      <c r="D29">
        <f t="shared" si="0"/>
        <v>94.429984383133785</v>
      </c>
    </row>
    <row r="30" spans="1:4" x14ac:dyDescent="0.3">
      <c r="A30">
        <f t="shared" si="1"/>
        <v>2018</v>
      </c>
      <c r="B30">
        <f>[1]CT!C30</f>
        <v>3826</v>
      </c>
      <c r="C30">
        <f>[1]CT!D30</f>
        <v>3613</v>
      </c>
      <c r="D30">
        <f t="shared" si="0"/>
        <v>94.432828018818611</v>
      </c>
    </row>
    <row r="31" spans="1:4" x14ac:dyDescent="0.3">
      <c r="A31">
        <f t="shared" si="1"/>
        <v>2019</v>
      </c>
      <c r="B31">
        <f>[1]CT!C31</f>
        <v>3787</v>
      </c>
      <c r="C31">
        <f>[1]CT!D31</f>
        <v>3596</v>
      </c>
      <c r="D31">
        <f t="shared" si="0"/>
        <v>94.956429891734885</v>
      </c>
    </row>
    <row r="32" spans="1:4" x14ac:dyDescent="0.3">
      <c r="A32">
        <f t="shared" si="1"/>
        <v>2020</v>
      </c>
      <c r="B32">
        <f>[1]CT!C32</f>
        <v>2963</v>
      </c>
      <c r="C32">
        <f>[1]CT!D32</f>
        <v>2839</v>
      </c>
      <c r="D32">
        <f t="shared" si="0"/>
        <v>95.815052311846102</v>
      </c>
    </row>
    <row r="33" spans="1:4" x14ac:dyDescent="0.3">
      <c r="A33">
        <f t="shared" si="1"/>
        <v>2021</v>
      </c>
      <c r="B33">
        <f>[1]CT!C33</f>
        <v>2766</v>
      </c>
      <c r="C33">
        <f>[1]CT!D33</f>
        <v>2625</v>
      </c>
      <c r="D33">
        <f t="shared" si="0"/>
        <v>94.902386117136658</v>
      </c>
    </row>
    <row r="34" spans="1:4" x14ac:dyDescent="0.3">
      <c r="A34">
        <f t="shared" si="1"/>
        <v>2022</v>
      </c>
      <c r="B34">
        <f>[1]CT!C34</f>
        <v>2065</v>
      </c>
      <c r="C34">
        <f>[1]CT!D34</f>
        <v>1950</v>
      </c>
      <c r="D34">
        <f t="shared" si="0"/>
        <v>94.430992736077485</v>
      </c>
    </row>
    <row r="35" spans="1:4" x14ac:dyDescent="0.3">
      <c r="A35">
        <f t="shared" si="1"/>
        <v>2023</v>
      </c>
      <c r="B35">
        <f>[1]CT!C35</f>
        <v>1669</v>
      </c>
      <c r="C35">
        <f>[1]CT!D35</f>
        <v>1577</v>
      </c>
      <c r="D35">
        <f t="shared" si="0"/>
        <v>94.487717195925697</v>
      </c>
    </row>
    <row r="36" spans="1:4" x14ac:dyDescent="0.3">
      <c r="A36">
        <f t="shared" si="1"/>
        <v>2024</v>
      </c>
      <c r="B36">
        <f>[1]CT!C36</f>
        <v>1381</v>
      </c>
      <c r="C36">
        <f>[1]CT!D36</f>
        <v>1291</v>
      </c>
      <c r="D36">
        <f t="shared" si="0"/>
        <v>93.482983345401877</v>
      </c>
    </row>
    <row r="37" spans="1:4" x14ac:dyDescent="0.3">
      <c r="A37">
        <v>2025</v>
      </c>
      <c r="B37">
        <f>[1]CT!C37</f>
        <v>887</v>
      </c>
      <c r="C37">
        <f>[1]CT!D37</f>
        <v>847</v>
      </c>
      <c r="D37">
        <f t="shared" si="0"/>
        <v>95.490417136414891</v>
      </c>
    </row>
    <row r="38" spans="1:4" x14ac:dyDescent="0.3">
      <c r="A38" t="s">
        <v>9</v>
      </c>
      <c r="B38">
        <f>[1]CT!C38</f>
        <v>111995</v>
      </c>
      <c r="C38">
        <f>[1]CT!D38</f>
        <v>107301</v>
      </c>
    </row>
    <row r="39" spans="1:4" x14ac:dyDescent="0.3">
      <c r="A39" t="s">
        <v>7</v>
      </c>
      <c r="B39">
        <f>[1]CT!C39</f>
        <v>5497</v>
      </c>
      <c r="C39">
        <f>[1]CT!D39</f>
        <v>5258</v>
      </c>
      <c r="D39">
        <f>MAX(D2:D37)</f>
        <v>98.412698412698404</v>
      </c>
    </row>
    <row r="40" spans="1:4" x14ac:dyDescent="0.3">
      <c r="A40" t="s">
        <v>8</v>
      </c>
      <c r="B40">
        <f>[1]CT!C40</f>
        <v>767</v>
      </c>
      <c r="C40">
        <f>[1]CT!D40</f>
        <v>751</v>
      </c>
      <c r="D40">
        <f>MIN(D2:D37)</f>
        <v>93.482983345401877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D40"/>
  <sheetViews>
    <sheetView topLeftCell="A13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[1]META!C1</f>
        <v>HasPvalue</v>
      </c>
      <c r="C1" t="str">
        <f>[1]META!D1</f>
        <v>Pvalue0.05</v>
      </c>
      <c r="D1" t="s">
        <v>1</v>
      </c>
    </row>
    <row r="2" spans="1:4" x14ac:dyDescent="0.3">
      <c r="A2">
        <v>1990</v>
      </c>
      <c r="B2">
        <f>[1]META!C2</f>
        <v>30</v>
      </c>
      <c r="C2">
        <f>[1]META!D2</f>
        <v>27</v>
      </c>
      <c r="D2">
        <f>C2/B2*100</f>
        <v>90</v>
      </c>
    </row>
    <row r="3" spans="1:4" x14ac:dyDescent="0.3">
      <c r="A3">
        <v>1991</v>
      </c>
      <c r="B3">
        <f>[1]META!C3</f>
        <v>37</v>
      </c>
      <c r="C3">
        <f>[1]META!D3</f>
        <v>33</v>
      </c>
      <c r="D3">
        <f t="shared" ref="D3:D37" si="0">C3/B3*100</f>
        <v>89.189189189189193</v>
      </c>
    </row>
    <row r="4" spans="1:4" x14ac:dyDescent="0.3">
      <c r="A4">
        <f>A2+2</f>
        <v>1992</v>
      </c>
      <c r="B4">
        <f>[1]META!C4</f>
        <v>44</v>
      </c>
      <c r="C4">
        <f>[1]META!D4</f>
        <v>40</v>
      </c>
      <c r="D4">
        <f t="shared" si="0"/>
        <v>90.909090909090907</v>
      </c>
    </row>
    <row r="5" spans="1:4" x14ac:dyDescent="0.3">
      <c r="A5">
        <f t="shared" ref="A5:A20" si="1">A3+2</f>
        <v>1993</v>
      </c>
      <c r="B5">
        <f>[1]META!C5</f>
        <v>61</v>
      </c>
      <c r="C5">
        <f>[1]META!D5</f>
        <v>59</v>
      </c>
      <c r="D5">
        <f t="shared" si="0"/>
        <v>96.721311475409834</v>
      </c>
    </row>
    <row r="6" spans="1:4" x14ac:dyDescent="0.3">
      <c r="A6">
        <f t="shared" si="1"/>
        <v>1994</v>
      </c>
      <c r="B6">
        <f>[1]META!C6</f>
        <v>65</v>
      </c>
      <c r="C6">
        <f>[1]META!D6</f>
        <v>60</v>
      </c>
      <c r="D6">
        <f t="shared" si="0"/>
        <v>92.307692307692307</v>
      </c>
    </row>
    <row r="7" spans="1:4" x14ac:dyDescent="0.3">
      <c r="A7">
        <f t="shared" si="1"/>
        <v>1995</v>
      </c>
      <c r="B7">
        <f>[1]META!C7</f>
        <v>90</v>
      </c>
      <c r="C7">
        <f>[1]META!D7</f>
        <v>83</v>
      </c>
      <c r="D7">
        <f t="shared" si="0"/>
        <v>92.222222222222229</v>
      </c>
    </row>
    <row r="8" spans="1:4" x14ac:dyDescent="0.3">
      <c r="A8">
        <f t="shared" si="1"/>
        <v>1996</v>
      </c>
      <c r="B8">
        <f>[1]META!C8</f>
        <v>96</v>
      </c>
      <c r="C8">
        <f>[1]META!D8</f>
        <v>91</v>
      </c>
      <c r="D8">
        <f t="shared" si="0"/>
        <v>94.791666666666657</v>
      </c>
    </row>
    <row r="9" spans="1:4" x14ac:dyDescent="0.3">
      <c r="A9">
        <f t="shared" si="1"/>
        <v>1997</v>
      </c>
      <c r="B9">
        <f>[1]META!C9</f>
        <v>121</v>
      </c>
      <c r="C9">
        <f>[1]META!D9</f>
        <v>115</v>
      </c>
      <c r="D9">
        <f t="shared" si="0"/>
        <v>95.041322314049594</v>
      </c>
    </row>
    <row r="10" spans="1:4" x14ac:dyDescent="0.3">
      <c r="A10">
        <f t="shared" si="1"/>
        <v>1998</v>
      </c>
      <c r="B10">
        <f>[1]META!C10</f>
        <v>116</v>
      </c>
      <c r="C10">
        <f>[1]META!D10</f>
        <v>102</v>
      </c>
      <c r="D10">
        <f t="shared" si="0"/>
        <v>87.931034482758619</v>
      </c>
    </row>
    <row r="11" spans="1:4" x14ac:dyDescent="0.3">
      <c r="A11">
        <f t="shared" si="1"/>
        <v>1999</v>
      </c>
      <c r="B11">
        <f>[1]META!C11</f>
        <v>129</v>
      </c>
      <c r="C11">
        <f>[1]META!D11</f>
        <v>124</v>
      </c>
      <c r="D11">
        <f t="shared" si="0"/>
        <v>96.124031007751938</v>
      </c>
    </row>
    <row r="12" spans="1:4" x14ac:dyDescent="0.3">
      <c r="A12">
        <f t="shared" si="1"/>
        <v>2000</v>
      </c>
      <c r="B12">
        <f>[1]META!C12</f>
        <v>177</v>
      </c>
      <c r="C12">
        <f>[1]META!D12</f>
        <v>165</v>
      </c>
      <c r="D12">
        <f t="shared" si="0"/>
        <v>93.220338983050837</v>
      </c>
    </row>
    <row r="13" spans="1:4" x14ac:dyDescent="0.3">
      <c r="A13">
        <f t="shared" si="1"/>
        <v>2001</v>
      </c>
      <c r="B13">
        <f>[1]META!C13</f>
        <v>167</v>
      </c>
      <c r="C13">
        <f>[1]META!D13</f>
        <v>145</v>
      </c>
      <c r="D13">
        <f t="shared" si="0"/>
        <v>86.82634730538922</v>
      </c>
    </row>
    <row r="14" spans="1:4" x14ac:dyDescent="0.3">
      <c r="A14">
        <f t="shared" si="1"/>
        <v>2002</v>
      </c>
      <c r="B14">
        <f>[1]META!C14</f>
        <v>213</v>
      </c>
      <c r="C14">
        <f>[1]META!D14</f>
        <v>195</v>
      </c>
      <c r="D14">
        <f t="shared" si="0"/>
        <v>91.549295774647888</v>
      </c>
    </row>
    <row r="15" spans="1:4" x14ac:dyDescent="0.3">
      <c r="A15">
        <f t="shared" si="1"/>
        <v>2003</v>
      </c>
      <c r="B15">
        <f>[1]META!C15</f>
        <v>315</v>
      </c>
      <c r="C15">
        <f>[1]META!D15</f>
        <v>275</v>
      </c>
      <c r="D15">
        <f t="shared" si="0"/>
        <v>87.301587301587304</v>
      </c>
    </row>
    <row r="16" spans="1:4" x14ac:dyDescent="0.3">
      <c r="A16">
        <f t="shared" si="1"/>
        <v>2004</v>
      </c>
      <c r="B16">
        <f>[1]META!C16</f>
        <v>346</v>
      </c>
      <c r="C16">
        <f>[1]META!D16</f>
        <v>298</v>
      </c>
      <c r="D16">
        <f t="shared" si="0"/>
        <v>86.127167630057798</v>
      </c>
    </row>
    <row r="17" spans="1:4" x14ac:dyDescent="0.3">
      <c r="A17">
        <f t="shared" si="1"/>
        <v>2005</v>
      </c>
      <c r="B17">
        <f>[1]META!C17</f>
        <v>494</v>
      </c>
      <c r="C17">
        <f>[1]META!D17</f>
        <v>439</v>
      </c>
      <c r="D17">
        <f t="shared" si="0"/>
        <v>88.866396761133601</v>
      </c>
    </row>
    <row r="18" spans="1:4" x14ac:dyDescent="0.3">
      <c r="A18">
        <f t="shared" si="1"/>
        <v>2006</v>
      </c>
      <c r="B18">
        <f>[1]META!C18</f>
        <v>587</v>
      </c>
      <c r="C18">
        <f>[1]META!D18</f>
        <v>526</v>
      </c>
      <c r="D18">
        <f t="shared" si="0"/>
        <v>89.608177172061332</v>
      </c>
    </row>
    <row r="19" spans="1:4" x14ac:dyDescent="0.3">
      <c r="A19">
        <f t="shared" si="1"/>
        <v>2007</v>
      </c>
      <c r="B19">
        <f>[1]META!C19</f>
        <v>749</v>
      </c>
      <c r="C19">
        <f>[1]META!D19</f>
        <v>665</v>
      </c>
      <c r="D19">
        <f t="shared" si="0"/>
        <v>88.785046728971963</v>
      </c>
    </row>
    <row r="20" spans="1:4" x14ac:dyDescent="0.3">
      <c r="A20">
        <f t="shared" si="1"/>
        <v>2008</v>
      </c>
      <c r="B20">
        <f>[1]META!C20</f>
        <v>874</v>
      </c>
      <c r="C20">
        <f>[1]META!D20</f>
        <v>777</v>
      </c>
      <c r="D20">
        <f t="shared" si="0"/>
        <v>88.901601830663608</v>
      </c>
    </row>
    <row r="21" spans="1:4" x14ac:dyDescent="0.3">
      <c r="A21">
        <f t="shared" ref="A21:A36" si="2">A19+2</f>
        <v>2009</v>
      </c>
      <c r="B21">
        <f>[1]META!C21</f>
        <v>1107</v>
      </c>
      <c r="C21">
        <f>[1]META!D21</f>
        <v>987</v>
      </c>
      <c r="D21">
        <f t="shared" si="0"/>
        <v>89.159891598915991</v>
      </c>
    </row>
    <row r="22" spans="1:4" x14ac:dyDescent="0.3">
      <c r="A22">
        <f t="shared" si="2"/>
        <v>2010</v>
      </c>
      <c r="B22">
        <f>[1]META!C22</f>
        <v>1458</v>
      </c>
      <c r="C22">
        <f>[1]META!D22</f>
        <v>1286</v>
      </c>
      <c r="D22">
        <f t="shared" si="0"/>
        <v>88.203017832647461</v>
      </c>
    </row>
    <row r="23" spans="1:4" x14ac:dyDescent="0.3">
      <c r="A23">
        <f t="shared" si="2"/>
        <v>2011</v>
      </c>
      <c r="B23">
        <f>[1]META!C23</f>
        <v>1976</v>
      </c>
      <c r="C23">
        <f>[1]META!D23</f>
        <v>1763</v>
      </c>
      <c r="D23">
        <f t="shared" si="0"/>
        <v>89.220647773279353</v>
      </c>
    </row>
    <row r="24" spans="1:4" x14ac:dyDescent="0.3">
      <c r="A24">
        <f>A22+2</f>
        <v>2012</v>
      </c>
      <c r="B24">
        <f>[1]META!C24</f>
        <v>2703</v>
      </c>
      <c r="C24">
        <f>[1]META!D24</f>
        <v>2409</v>
      </c>
      <c r="D24">
        <f t="shared" si="0"/>
        <v>89.123196448390672</v>
      </c>
    </row>
    <row r="25" spans="1:4" x14ac:dyDescent="0.3">
      <c r="A25">
        <f t="shared" si="2"/>
        <v>2013</v>
      </c>
      <c r="B25">
        <f>[1]META!C25</f>
        <v>3560</v>
      </c>
      <c r="C25">
        <f>[1]META!D25</f>
        <v>3179</v>
      </c>
      <c r="D25">
        <f t="shared" si="0"/>
        <v>89.297752808988761</v>
      </c>
    </row>
    <row r="26" spans="1:4" x14ac:dyDescent="0.3">
      <c r="A26">
        <f t="shared" si="2"/>
        <v>2014</v>
      </c>
      <c r="B26">
        <f>[1]META!C26</f>
        <v>4241</v>
      </c>
      <c r="C26">
        <f>[1]META!D26</f>
        <v>3808</v>
      </c>
      <c r="D26">
        <f t="shared" si="0"/>
        <v>89.790143834001412</v>
      </c>
    </row>
    <row r="27" spans="1:4" x14ac:dyDescent="0.3">
      <c r="A27">
        <f t="shared" si="2"/>
        <v>2015</v>
      </c>
      <c r="B27">
        <f>[1]META!C27</f>
        <v>4849</v>
      </c>
      <c r="C27">
        <f>[1]META!D27</f>
        <v>4360</v>
      </c>
      <c r="D27">
        <f t="shared" si="0"/>
        <v>89.915446483811095</v>
      </c>
    </row>
    <row r="28" spans="1:4" x14ac:dyDescent="0.3">
      <c r="A28">
        <f t="shared" si="2"/>
        <v>2016</v>
      </c>
      <c r="B28">
        <f>[1]META!C28</f>
        <v>5029</v>
      </c>
      <c r="C28">
        <f>[1]META!D28</f>
        <v>4542</v>
      </c>
      <c r="D28">
        <f t="shared" si="0"/>
        <v>90.316166235832171</v>
      </c>
    </row>
    <row r="29" spans="1:4" x14ac:dyDescent="0.3">
      <c r="A29">
        <f t="shared" si="2"/>
        <v>2017</v>
      </c>
      <c r="B29">
        <f>[1]META!C29</f>
        <v>5427</v>
      </c>
      <c r="C29">
        <f>[1]META!D29</f>
        <v>4847</v>
      </c>
      <c r="D29">
        <f t="shared" si="0"/>
        <v>89.312695780357473</v>
      </c>
    </row>
    <row r="30" spans="1:4" x14ac:dyDescent="0.3">
      <c r="A30">
        <f t="shared" si="2"/>
        <v>2018</v>
      </c>
      <c r="B30">
        <f>[1]META!C30</f>
        <v>5858</v>
      </c>
      <c r="C30">
        <f>[1]META!D30</f>
        <v>5214</v>
      </c>
      <c r="D30">
        <f t="shared" si="0"/>
        <v>89.006486855582111</v>
      </c>
    </row>
    <row r="31" spans="1:4" x14ac:dyDescent="0.3">
      <c r="A31">
        <f t="shared" si="2"/>
        <v>2019</v>
      </c>
      <c r="B31">
        <f>[1]META!C31</f>
        <v>6494</v>
      </c>
      <c r="C31">
        <f>[1]META!D31</f>
        <v>5842</v>
      </c>
      <c r="D31">
        <f t="shared" si="0"/>
        <v>89.959963042808738</v>
      </c>
    </row>
    <row r="32" spans="1:4" x14ac:dyDescent="0.3">
      <c r="A32">
        <f t="shared" si="2"/>
        <v>2020</v>
      </c>
      <c r="B32">
        <f>[1]META!C32</f>
        <v>7820</v>
      </c>
      <c r="C32">
        <f>[1]META!D32</f>
        <v>7046</v>
      </c>
      <c r="D32">
        <f t="shared" si="0"/>
        <v>90.102301790281331</v>
      </c>
    </row>
    <row r="33" spans="1:4" x14ac:dyDescent="0.3">
      <c r="A33">
        <f t="shared" si="2"/>
        <v>2021</v>
      </c>
      <c r="B33">
        <f>[1]META!C33</f>
        <v>9018</v>
      </c>
      <c r="C33">
        <f>[1]META!D33</f>
        <v>8122</v>
      </c>
      <c r="D33">
        <f t="shared" si="0"/>
        <v>90.064315812818805</v>
      </c>
    </row>
    <row r="34" spans="1:4" x14ac:dyDescent="0.3">
      <c r="A34">
        <f t="shared" si="2"/>
        <v>2022</v>
      </c>
      <c r="B34">
        <f>[1]META!C34</f>
        <v>9360</v>
      </c>
      <c r="C34">
        <f>[1]META!D34</f>
        <v>8454</v>
      </c>
      <c r="D34">
        <f t="shared" si="0"/>
        <v>90.320512820512818</v>
      </c>
    </row>
    <row r="35" spans="1:4" x14ac:dyDescent="0.3">
      <c r="A35">
        <f t="shared" si="2"/>
        <v>2023</v>
      </c>
      <c r="B35">
        <f>[1]META!C35</f>
        <v>9081</v>
      </c>
      <c r="C35">
        <f>[1]META!D35</f>
        <v>8257</v>
      </c>
      <c r="D35">
        <f t="shared" si="0"/>
        <v>90.926109459310638</v>
      </c>
    </row>
    <row r="36" spans="1:4" x14ac:dyDescent="0.3">
      <c r="A36">
        <f t="shared" si="2"/>
        <v>2024</v>
      </c>
      <c r="B36">
        <f>[1]META!C36</f>
        <v>9707</v>
      </c>
      <c r="C36">
        <f>[1]META!D36</f>
        <v>8908</v>
      </c>
      <c r="D36">
        <f t="shared" si="0"/>
        <v>91.768826619964969</v>
      </c>
    </row>
    <row r="37" spans="1:4" x14ac:dyDescent="0.3">
      <c r="A37">
        <v>2025</v>
      </c>
      <c r="B37">
        <f>[1]META!C37</f>
        <v>6145</v>
      </c>
      <c r="C37">
        <f>[1]META!D37</f>
        <v>5617</v>
      </c>
      <c r="D37">
        <f t="shared" si="0"/>
        <v>91.40764849471114</v>
      </c>
    </row>
    <row r="38" spans="1:4" x14ac:dyDescent="0.3">
      <c r="A38" t="s">
        <v>9</v>
      </c>
      <c r="B38">
        <f>[1]META!C38</f>
        <v>98544</v>
      </c>
      <c r="C38">
        <f>[1]META!D38</f>
        <v>88860</v>
      </c>
    </row>
    <row r="39" spans="1:4" x14ac:dyDescent="0.3">
      <c r="A39" t="s">
        <v>7</v>
      </c>
      <c r="B39">
        <f>[1]META!C39</f>
        <v>9707</v>
      </c>
      <c r="C39">
        <f>[1]META!D39</f>
        <v>8908</v>
      </c>
      <c r="D39">
        <f>MAX(D2:D37)</f>
        <v>96.721311475409834</v>
      </c>
    </row>
    <row r="40" spans="1:4" x14ac:dyDescent="0.3">
      <c r="A40" t="s">
        <v>8</v>
      </c>
      <c r="B40">
        <f>[1]META!C40</f>
        <v>30</v>
      </c>
      <c r="C40">
        <f>[1]META!D40</f>
        <v>27</v>
      </c>
      <c r="D40">
        <f>MIN(D2:D37)</f>
        <v>86.127167630057798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D40"/>
  <sheetViews>
    <sheetView topLeftCell="A13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[1]REVIEW!C1</f>
        <v>HasPvalue</v>
      </c>
      <c r="C1" t="str">
        <f>[1]REVIEW!D1</f>
        <v>Pvalue0.05</v>
      </c>
      <c r="D1" t="s">
        <v>1</v>
      </c>
    </row>
    <row r="2" spans="1:4" x14ac:dyDescent="0.3">
      <c r="A2">
        <v>1990</v>
      </c>
      <c r="B2">
        <f>[1]REVIEW!C2</f>
        <v>186</v>
      </c>
      <c r="C2">
        <f>[1]REVIEW!D2</f>
        <v>183</v>
      </c>
      <c r="D2">
        <f>C2/B2*100</f>
        <v>98.387096774193552</v>
      </c>
    </row>
    <row r="3" spans="1:4" x14ac:dyDescent="0.3">
      <c r="A3">
        <v>1991</v>
      </c>
      <c r="B3">
        <f>[1]REVIEW!C3</f>
        <v>207</v>
      </c>
      <c r="C3">
        <f>[1]REVIEW!D3</f>
        <v>200</v>
      </c>
      <c r="D3">
        <f t="shared" ref="D3:D37" si="0">C3/B3*100</f>
        <v>96.618357487922708</v>
      </c>
    </row>
    <row r="4" spans="1:4" x14ac:dyDescent="0.3">
      <c r="A4">
        <f>A2+2</f>
        <v>1992</v>
      </c>
      <c r="B4">
        <f>[1]REVIEW!C4</f>
        <v>230</v>
      </c>
      <c r="C4">
        <f>[1]REVIEW!D4</f>
        <v>225</v>
      </c>
      <c r="D4">
        <f t="shared" si="0"/>
        <v>97.826086956521735</v>
      </c>
    </row>
    <row r="5" spans="1:4" x14ac:dyDescent="0.3">
      <c r="A5">
        <f t="shared" ref="A5:A20" si="1">A3+2</f>
        <v>1993</v>
      </c>
      <c r="B5">
        <f>[1]REVIEW!C5</f>
        <v>217</v>
      </c>
      <c r="C5">
        <f>[1]REVIEW!D5</f>
        <v>207</v>
      </c>
      <c r="D5">
        <f t="shared" si="0"/>
        <v>95.391705069124427</v>
      </c>
    </row>
    <row r="6" spans="1:4" x14ac:dyDescent="0.3">
      <c r="A6">
        <f t="shared" si="1"/>
        <v>1994</v>
      </c>
      <c r="B6">
        <f>[1]REVIEW!C6</f>
        <v>217</v>
      </c>
      <c r="C6">
        <f>[1]REVIEW!D6</f>
        <v>206</v>
      </c>
      <c r="D6">
        <f t="shared" si="0"/>
        <v>94.930875576036868</v>
      </c>
    </row>
    <row r="7" spans="1:4" x14ac:dyDescent="0.3">
      <c r="A7">
        <f t="shared" si="1"/>
        <v>1995</v>
      </c>
      <c r="B7">
        <f>[1]REVIEW!C7</f>
        <v>269</v>
      </c>
      <c r="C7">
        <f>[1]REVIEW!D7</f>
        <v>252</v>
      </c>
      <c r="D7">
        <f t="shared" si="0"/>
        <v>93.680297397769522</v>
      </c>
    </row>
    <row r="8" spans="1:4" x14ac:dyDescent="0.3">
      <c r="A8">
        <f t="shared" si="1"/>
        <v>1996</v>
      </c>
      <c r="B8">
        <f>[1]REVIEW!C8</f>
        <v>320</v>
      </c>
      <c r="C8">
        <f>[1]REVIEW!D8</f>
        <v>307</v>
      </c>
      <c r="D8">
        <f t="shared" si="0"/>
        <v>95.9375</v>
      </c>
    </row>
    <row r="9" spans="1:4" x14ac:dyDescent="0.3">
      <c r="A9">
        <f t="shared" si="1"/>
        <v>1997</v>
      </c>
      <c r="B9">
        <f>[1]REVIEW!C9</f>
        <v>315</v>
      </c>
      <c r="C9">
        <f>[1]REVIEW!D9</f>
        <v>304</v>
      </c>
      <c r="D9">
        <f t="shared" si="0"/>
        <v>96.507936507936506</v>
      </c>
    </row>
    <row r="10" spans="1:4" x14ac:dyDescent="0.3">
      <c r="A10">
        <f t="shared" si="1"/>
        <v>1998</v>
      </c>
      <c r="B10">
        <f>[1]REVIEW!C10</f>
        <v>307</v>
      </c>
      <c r="C10">
        <f>[1]REVIEW!D10</f>
        <v>293</v>
      </c>
      <c r="D10">
        <f t="shared" si="0"/>
        <v>95.439739413680783</v>
      </c>
    </row>
    <row r="11" spans="1:4" x14ac:dyDescent="0.3">
      <c r="A11">
        <f t="shared" si="1"/>
        <v>1999</v>
      </c>
      <c r="B11">
        <f>[1]REVIEW!C11</f>
        <v>260</v>
      </c>
      <c r="C11">
        <f>[1]REVIEW!D11</f>
        <v>252</v>
      </c>
      <c r="D11">
        <f t="shared" si="0"/>
        <v>96.92307692307692</v>
      </c>
    </row>
    <row r="12" spans="1:4" x14ac:dyDescent="0.3">
      <c r="A12">
        <f t="shared" si="1"/>
        <v>2000</v>
      </c>
      <c r="B12">
        <f>[1]REVIEW!C12</f>
        <v>294</v>
      </c>
      <c r="C12">
        <f>[1]REVIEW!D12</f>
        <v>270</v>
      </c>
      <c r="D12">
        <f t="shared" si="0"/>
        <v>91.83673469387756</v>
      </c>
    </row>
    <row r="13" spans="1:4" x14ac:dyDescent="0.3">
      <c r="A13">
        <f t="shared" si="1"/>
        <v>2001</v>
      </c>
      <c r="B13">
        <f>[1]REVIEW!C13</f>
        <v>311</v>
      </c>
      <c r="C13">
        <f>[1]REVIEW!D13</f>
        <v>295</v>
      </c>
      <c r="D13">
        <f t="shared" si="0"/>
        <v>94.855305466237937</v>
      </c>
    </row>
    <row r="14" spans="1:4" x14ac:dyDescent="0.3">
      <c r="A14">
        <f t="shared" si="1"/>
        <v>2002</v>
      </c>
      <c r="B14">
        <f>[1]REVIEW!C14</f>
        <v>346</v>
      </c>
      <c r="C14">
        <f>[1]REVIEW!D14</f>
        <v>305</v>
      </c>
      <c r="D14">
        <f t="shared" si="0"/>
        <v>88.150289017341038</v>
      </c>
    </row>
    <row r="15" spans="1:4" x14ac:dyDescent="0.3">
      <c r="A15">
        <f t="shared" si="1"/>
        <v>2003</v>
      </c>
      <c r="B15">
        <f>[1]REVIEW!C15</f>
        <v>508</v>
      </c>
      <c r="C15">
        <f>[1]REVIEW!D15</f>
        <v>480</v>
      </c>
      <c r="D15">
        <f t="shared" si="0"/>
        <v>94.488188976377955</v>
      </c>
    </row>
    <row r="16" spans="1:4" x14ac:dyDescent="0.3">
      <c r="A16">
        <f t="shared" si="1"/>
        <v>2004</v>
      </c>
      <c r="B16">
        <f>[1]REVIEW!C16</f>
        <v>571</v>
      </c>
      <c r="C16">
        <f>[1]REVIEW!D16</f>
        <v>537</v>
      </c>
      <c r="D16">
        <f t="shared" si="0"/>
        <v>94.045534150612966</v>
      </c>
    </row>
    <row r="17" spans="1:4" x14ac:dyDescent="0.3">
      <c r="A17">
        <f t="shared" si="1"/>
        <v>2005</v>
      </c>
      <c r="B17">
        <f>[1]REVIEW!C17</f>
        <v>475</v>
      </c>
      <c r="C17">
        <f>[1]REVIEW!D17</f>
        <v>434</v>
      </c>
      <c r="D17">
        <f t="shared" si="0"/>
        <v>91.368421052631575</v>
      </c>
    </row>
    <row r="18" spans="1:4" x14ac:dyDescent="0.3">
      <c r="A18">
        <f t="shared" si="1"/>
        <v>2006</v>
      </c>
      <c r="B18">
        <f>[1]REVIEW!C18</f>
        <v>438</v>
      </c>
      <c r="C18">
        <f>[1]REVIEW!D18</f>
        <v>412</v>
      </c>
      <c r="D18">
        <f t="shared" si="0"/>
        <v>94.063926940639263</v>
      </c>
    </row>
    <row r="19" spans="1:4" x14ac:dyDescent="0.3">
      <c r="A19">
        <f t="shared" si="1"/>
        <v>2007</v>
      </c>
      <c r="B19">
        <f>[1]REVIEW!C19</f>
        <v>498</v>
      </c>
      <c r="C19">
        <f>[1]REVIEW!D19</f>
        <v>466</v>
      </c>
      <c r="D19">
        <f t="shared" si="0"/>
        <v>93.574297188755011</v>
      </c>
    </row>
    <row r="20" spans="1:4" x14ac:dyDescent="0.3">
      <c r="A20">
        <f t="shared" si="1"/>
        <v>2008</v>
      </c>
      <c r="B20">
        <f>[1]REVIEW!C20</f>
        <v>491</v>
      </c>
      <c r="C20">
        <f>[1]REVIEW!D20</f>
        <v>448</v>
      </c>
      <c r="D20">
        <f t="shared" si="0"/>
        <v>91.242362525458248</v>
      </c>
    </row>
    <row r="21" spans="1:4" x14ac:dyDescent="0.3">
      <c r="A21">
        <f t="shared" ref="A21:A36" si="2">A19+2</f>
        <v>2009</v>
      </c>
      <c r="B21">
        <f>[1]REVIEW!C21</f>
        <v>544</v>
      </c>
      <c r="C21">
        <f>[1]REVIEW!D21</f>
        <v>500</v>
      </c>
      <c r="D21">
        <f t="shared" si="0"/>
        <v>91.911764705882348</v>
      </c>
    </row>
    <row r="22" spans="1:4" x14ac:dyDescent="0.3">
      <c r="A22">
        <f t="shared" si="2"/>
        <v>2010</v>
      </c>
      <c r="B22">
        <f>[1]REVIEW!C22</f>
        <v>632</v>
      </c>
      <c r="C22">
        <f>[1]REVIEW!D22</f>
        <v>588</v>
      </c>
      <c r="D22">
        <f t="shared" si="0"/>
        <v>93.037974683544306</v>
      </c>
    </row>
    <row r="23" spans="1:4" x14ac:dyDescent="0.3">
      <c r="A23">
        <f t="shared" si="2"/>
        <v>2011</v>
      </c>
      <c r="B23">
        <f>[1]REVIEW!C23</f>
        <v>718</v>
      </c>
      <c r="C23">
        <f>[1]REVIEW!D23</f>
        <v>664</v>
      </c>
      <c r="D23">
        <f t="shared" si="0"/>
        <v>92.479108635097489</v>
      </c>
    </row>
    <row r="24" spans="1:4" x14ac:dyDescent="0.3">
      <c r="A24">
        <f>A22+2</f>
        <v>2012</v>
      </c>
      <c r="B24">
        <f>[1]REVIEW!C24</f>
        <v>844</v>
      </c>
      <c r="C24">
        <f>[1]REVIEW!D24</f>
        <v>773</v>
      </c>
      <c r="D24">
        <f t="shared" si="0"/>
        <v>91.587677725118482</v>
      </c>
    </row>
    <row r="25" spans="1:4" x14ac:dyDescent="0.3">
      <c r="A25">
        <f t="shared" si="2"/>
        <v>2013</v>
      </c>
      <c r="B25">
        <f>[1]REVIEW!C25</f>
        <v>971</v>
      </c>
      <c r="C25">
        <f>[1]REVIEW!D25</f>
        <v>900</v>
      </c>
      <c r="D25">
        <f t="shared" si="0"/>
        <v>92.687950566426366</v>
      </c>
    </row>
    <row r="26" spans="1:4" x14ac:dyDescent="0.3">
      <c r="A26">
        <f t="shared" si="2"/>
        <v>2014</v>
      </c>
      <c r="B26">
        <f>[1]REVIEW!C26</f>
        <v>1024</v>
      </c>
      <c r="C26">
        <f>[1]REVIEW!D26</f>
        <v>942</v>
      </c>
      <c r="D26">
        <f t="shared" si="0"/>
        <v>91.9921875</v>
      </c>
    </row>
    <row r="27" spans="1:4" x14ac:dyDescent="0.3">
      <c r="A27">
        <f t="shared" si="2"/>
        <v>2015</v>
      </c>
      <c r="B27">
        <f>[1]REVIEW!C27</f>
        <v>1135</v>
      </c>
      <c r="C27">
        <f>[1]REVIEW!D27</f>
        <v>1045</v>
      </c>
      <c r="D27">
        <f t="shared" si="0"/>
        <v>92.070484581497809</v>
      </c>
    </row>
    <row r="28" spans="1:4" x14ac:dyDescent="0.3">
      <c r="A28">
        <f t="shared" si="2"/>
        <v>2016</v>
      </c>
      <c r="B28">
        <f>[1]REVIEW!C28</f>
        <v>1237</v>
      </c>
      <c r="C28">
        <f>[1]REVIEW!D28</f>
        <v>1130</v>
      </c>
      <c r="D28">
        <f t="shared" si="0"/>
        <v>91.350040420371869</v>
      </c>
    </row>
    <row r="29" spans="1:4" x14ac:dyDescent="0.3">
      <c r="A29">
        <f t="shared" si="2"/>
        <v>2017</v>
      </c>
      <c r="B29">
        <f>[1]REVIEW!C29</f>
        <v>1238</v>
      </c>
      <c r="C29">
        <f>[1]REVIEW!D29</f>
        <v>1113</v>
      </c>
      <c r="D29">
        <f t="shared" si="0"/>
        <v>89.903069466882073</v>
      </c>
    </row>
    <row r="30" spans="1:4" x14ac:dyDescent="0.3">
      <c r="A30">
        <f t="shared" si="2"/>
        <v>2018</v>
      </c>
      <c r="B30">
        <f>[1]REVIEW!C30</f>
        <v>1245</v>
      </c>
      <c r="C30">
        <f>[1]REVIEW!D30</f>
        <v>1109</v>
      </c>
      <c r="D30">
        <f t="shared" si="0"/>
        <v>89.07630522088354</v>
      </c>
    </row>
    <row r="31" spans="1:4" x14ac:dyDescent="0.3">
      <c r="A31">
        <f t="shared" si="2"/>
        <v>2019</v>
      </c>
      <c r="B31">
        <f>[1]REVIEW!C31</f>
        <v>1310</v>
      </c>
      <c r="C31">
        <f>[1]REVIEW!D31</f>
        <v>1189</v>
      </c>
      <c r="D31">
        <f t="shared" si="0"/>
        <v>90.763358778625957</v>
      </c>
    </row>
    <row r="32" spans="1:4" x14ac:dyDescent="0.3">
      <c r="A32">
        <f t="shared" si="2"/>
        <v>2020</v>
      </c>
      <c r="B32">
        <f>[1]REVIEW!C32</f>
        <v>1605</v>
      </c>
      <c r="C32">
        <f>[1]REVIEW!D32</f>
        <v>1454</v>
      </c>
      <c r="D32">
        <f t="shared" si="0"/>
        <v>90.591900311526473</v>
      </c>
    </row>
    <row r="33" spans="1:4" x14ac:dyDescent="0.3">
      <c r="A33">
        <f t="shared" si="2"/>
        <v>2021</v>
      </c>
      <c r="B33">
        <f>[1]REVIEW!C33</f>
        <v>2019</v>
      </c>
      <c r="C33">
        <f>[1]REVIEW!D33</f>
        <v>1854</v>
      </c>
      <c r="D33">
        <f t="shared" si="0"/>
        <v>91.827637444279347</v>
      </c>
    </row>
    <row r="34" spans="1:4" x14ac:dyDescent="0.3">
      <c r="A34">
        <f t="shared" si="2"/>
        <v>2022</v>
      </c>
      <c r="B34">
        <f>[1]REVIEW!C34</f>
        <v>2540</v>
      </c>
      <c r="C34">
        <f>[1]REVIEW!D34</f>
        <v>2341</v>
      </c>
      <c r="D34">
        <f t="shared" si="0"/>
        <v>92.165354330708666</v>
      </c>
    </row>
    <row r="35" spans="1:4" x14ac:dyDescent="0.3">
      <c r="A35">
        <f t="shared" si="2"/>
        <v>2023</v>
      </c>
      <c r="B35">
        <f>[1]REVIEW!C35</f>
        <v>2446</v>
      </c>
      <c r="C35">
        <f>[1]REVIEW!D35</f>
        <v>2257</v>
      </c>
      <c r="D35">
        <f t="shared" si="0"/>
        <v>92.273098937040061</v>
      </c>
    </row>
    <row r="36" spans="1:4" x14ac:dyDescent="0.3">
      <c r="A36">
        <f t="shared" si="2"/>
        <v>2024</v>
      </c>
      <c r="B36">
        <f>[1]REVIEW!C36</f>
        <v>1750</v>
      </c>
      <c r="C36">
        <f>[1]REVIEW!D36</f>
        <v>1618</v>
      </c>
      <c r="D36">
        <f t="shared" si="0"/>
        <v>92.457142857142856</v>
      </c>
    </row>
    <row r="37" spans="1:4" x14ac:dyDescent="0.3">
      <c r="A37">
        <v>2025</v>
      </c>
      <c r="B37">
        <f>[1]REVIEW!C37</f>
        <v>851</v>
      </c>
      <c r="C37">
        <f>[1]REVIEW!D37</f>
        <v>796</v>
      </c>
      <c r="D37">
        <f t="shared" si="0"/>
        <v>93.537015276145709</v>
      </c>
    </row>
    <row r="38" spans="1:4" x14ac:dyDescent="0.3">
      <c r="A38" t="s">
        <v>9</v>
      </c>
      <c r="B38">
        <f>[1]REVIEW!C38</f>
        <v>28569</v>
      </c>
      <c r="C38">
        <f>[1]REVIEW!D38</f>
        <v>26349</v>
      </c>
    </row>
    <row r="39" spans="1:4" x14ac:dyDescent="0.3">
      <c r="A39" t="s">
        <v>7</v>
      </c>
      <c r="B39">
        <f>[1]REVIEW!C39</f>
        <v>2540</v>
      </c>
      <c r="C39">
        <f>[1]REVIEW!D39</f>
        <v>2341</v>
      </c>
      <c r="D39">
        <f>MAX(D2:D37)</f>
        <v>98.387096774193552</v>
      </c>
    </row>
    <row r="40" spans="1:4" x14ac:dyDescent="0.3">
      <c r="A40" t="s">
        <v>8</v>
      </c>
      <c r="B40">
        <f>[1]REVIEW!C40</f>
        <v>186</v>
      </c>
      <c r="C40">
        <f>[1]REVIEW!D40</f>
        <v>183</v>
      </c>
      <c r="D40">
        <f>MIN(D2:D37)</f>
        <v>88.150289017341038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D40"/>
  <sheetViews>
    <sheetView workbookViewId="0">
      <selection activeCell="E27" sqref="E27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[1]CCJ!C1</f>
        <v>HasPvalue</v>
      </c>
      <c r="C1" t="str">
        <f>[1]CCJ!D1</f>
        <v>Pvalue0.05</v>
      </c>
      <c r="D1" t="s">
        <v>1</v>
      </c>
    </row>
    <row r="2" spans="1:4" x14ac:dyDescent="0.3">
      <c r="A2">
        <v>1990</v>
      </c>
      <c r="B2">
        <f>[1]CCJ!C2</f>
        <v>4503</v>
      </c>
      <c r="C2">
        <f>[1]CCJ!D2</f>
        <v>4418</v>
      </c>
      <c r="D2">
        <f>C2/B2*100</f>
        <v>98.112369531423496</v>
      </c>
    </row>
    <row r="3" spans="1:4" x14ac:dyDescent="0.3">
      <c r="A3">
        <v>1991</v>
      </c>
      <c r="B3">
        <f>[1]CCJ!C3</f>
        <v>4900</v>
      </c>
      <c r="C3">
        <f>[1]CCJ!D3</f>
        <v>4823</v>
      </c>
      <c r="D3">
        <f t="shared" ref="D3:D37" si="0">C3/B3*100</f>
        <v>98.428571428571431</v>
      </c>
    </row>
    <row r="4" spans="1:4" x14ac:dyDescent="0.3">
      <c r="A4">
        <f>A2+2</f>
        <v>1992</v>
      </c>
      <c r="B4">
        <f>[1]CCJ!C4</f>
        <v>5473</v>
      </c>
      <c r="C4">
        <f>[1]CCJ!D4</f>
        <v>5358</v>
      </c>
      <c r="D4">
        <f t="shared" si="0"/>
        <v>97.898775808514529</v>
      </c>
    </row>
    <row r="5" spans="1:4" x14ac:dyDescent="0.3">
      <c r="A5">
        <f t="shared" ref="A5:A20" si="1">A3+2</f>
        <v>1993</v>
      </c>
      <c r="B5">
        <f>[1]CCJ!C5</f>
        <v>5802</v>
      </c>
      <c r="C5">
        <f>[1]CCJ!D5</f>
        <v>5647</v>
      </c>
      <c r="D5">
        <f t="shared" si="0"/>
        <v>97.32850741123751</v>
      </c>
    </row>
    <row r="6" spans="1:4" x14ac:dyDescent="0.3">
      <c r="A6">
        <f t="shared" si="1"/>
        <v>1994</v>
      </c>
      <c r="B6">
        <f>[1]CCJ!C6</f>
        <v>6408</v>
      </c>
      <c r="C6">
        <f>[1]CCJ!D6</f>
        <v>6218</v>
      </c>
      <c r="D6">
        <f t="shared" si="0"/>
        <v>97.034956304619229</v>
      </c>
    </row>
    <row r="7" spans="1:4" x14ac:dyDescent="0.3">
      <c r="A7">
        <f t="shared" si="1"/>
        <v>1995</v>
      </c>
      <c r="B7">
        <f>[1]CCJ!C7</f>
        <v>6698</v>
      </c>
      <c r="C7">
        <f>[1]CCJ!D7</f>
        <v>6512</v>
      </c>
      <c r="D7">
        <f t="shared" si="0"/>
        <v>97.223051657211116</v>
      </c>
    </row>
    <row r="8" spans="1:4" x14ac:dyDescent="0.3">
      <c r="A8">
        <f t="shared" si="1"/>
        <v>1996</v>
      </c>
      <c r="B8">
        <f>[1]CCJ!C8</f>
        <v>6886</v>
      </c>
      <c r="C8">
        <f>[1]CCJ!D8</f>
        <v>6702</v>
      </c>
      <c r="D8">
        <f t="shared" si="0"/>
        <v>97.327911704908516</v>
      </c>
    </row>
    <row r="9" spans="1:4" x14ac:dyDescent="0.3">
      <c r="A9">
        <f t="shared" si="1"/>
        <v>1997</v>
      </c>
      <c r="B9">
        <f>[1]CCJ!C9</f>
        <v>7125</v>
      </c>
      <c r="C9">
        <f>[1]CCJ!D9</f>
        <v>6917</v>
      </c>
      <c r="D9">
        <f t="shared" si="0"/>
        <v>97.08070175438597</v>
      </c>
    </row>
    <row r="10" spans="1:4" x14ac:dyDescent="0.3">
      <c r="A10">
        <f t="shared" si="1"/>
        <v>1998</v>
      </c>
      <c r="B10">
        <f>[1]CCJ!C10</f>
        <v>7134</v>
      </c>
      <c r="C10">
        <f>[1]CCJ!D10</f>
        <v>6891</v>
      </c>
      <c r="D10">
        <f t="shared" si="0"/>
        <v>96.593776282590412</v>
      </c>
    </row>
    <row r="11" spans="1:4" x14ac:dyDescent="0.3">
      <c r="A11">
        <f t="shared" si="1"/>
        <v>1999</v>
      </c>
      <c r="B11">
        <f>[1]CCJ!C11</f>
        <v>7423</v>
      </c>
      <c r="C11">
        <f>[1]CCJ!D11</f>
        <v>7147</v>
      </c>
      <c r="D11">
        <f t="shared" si="0"/>
        <v>96.281826754681404</v>
      </c>
    </row>
    <row r="12" spans="1:4" x14ac:dyDescent="0.3">
      <c r="A12">
        <f t="shared" si="1"/>
        <v>2000</v>
      </c>
      <c r="B12">
        <f>[1]CCJ!C12</f>
        <v>7321</v>
      </c>
      <c r="C12">
        <f>[1]CCJ!D12</f>
        <v>7095</v>
      </c>
      <c r="D12">
        <f t="shared" si="0"/>
        <v>96.912990028684604</v>
      </c>
    </row>
    <row r="13" spans="1:4" x14ac:dyDescent="0.3">
      <c r="A13">
        <f t="shared" si="1"/>
        <v>2001</v>
      </c>
      <c r="B13">
        <f>[1]CCJ!C13</f>
        <v>7523</v>
      </c>
      <c r="C13">
        <f>[1]CCJ!D13</f>
        <v>7261</v>
      </c>
      <c r="D13">
        <f t="shared" si="0"/>
        <v>96.517346803137045</v>
      </c>
    </row>
    <row r="14" spans="1:4" x14ac:dyDescent="0.3">
      <c r="A14">
        <f t="shared" si="1"/>
        <v>2002</v>
      </c>
      <c r="B14">
        <f>[1]CCJ!C14</f>
        <v>7894</v>
      </c>
      <c r="C14">
        <f>[1]CCJ!D14</f>
        <v>7581</v>
      </c>
      <c r="D14">
        <f t="shared" si="0"/>
        <v>96.034963263237898</v>
      </c>
    </row>
    <row r="15" spans="1:4" x14ac:dyDescent="0.3">
      <c r="A15">
        <f t="shared" si="1"/>
        <v>2003</v>
      </c>
      <c r="B15">
        <f>[1]CCJ!C15</f>
        <v>8293</v>
      </c>
      <c r="C15">
        <f>[1]CCJ!D15</f>
        <v>7962</v>
      </c>
      <c r="D15">
        <f t="shared" si="0"/>
        <v>96.008682020981553</v>
      </c>
    </row>
    <row r="16" spans="1:4" x14ac:dyDescent="0.3">
      <c r="A16">
        <f t="shared" si="1"/>
        <v>2004</v>
      </c>
      <c r="B16">
        <f>[1]CCJ!C16</f>
        <v>8743</v>
      </c>
      <c r="C16">
        <f>[1]CCJ!D16</f>
        <v>8341</v>
      </c>
      <c r="D16">
        <f t="shared" si="0"/>
        <v>95.402035914445833</v>
      </c>
    </row>
    <row r="17" spans="1:4" x14ac:dyDescent="0.3">
      <c r="A17">
        <f t="shared" si="1"/>
        <v>2005</v>
      </c>
      <c r="B17">
        <f>[1]CCJ!C17</f>
        <v>9367</v>
      </c>
      <c r="C17">
        <f>[1]CCJ!D17</f>
        <v>8935</v>
      </c>
      <c r="D17">
        <f t="shared" si="0"/>
        <v>95.388064481691046</v>
      </c>
    </row>
    <row r="18" spans="1:4" x14ac:dyDescent="0.3">
      <c r="A18">
        <f t="shared" si="1"/>
        <v>2006</v>
      </c>
      <c r="B18">
        <f>[1]CCJ!C18</f>
        <v>9127</v>
      </c>
      <c r="C18">
        <f>[1]CCJ!D18</f>
        <v>8713</v>
      </c>
      <c r="D18">
        <f t="shared" si="0"/>
        <v>95.464007888681934</v>
      </c>
    </row>
    <row r="19" spans="1:4" x14ac:dyDescent="0.3">
      <c r="A19">
        <f t="shared" si="1"/>
        <v>2007</v>
      </c>
      <c r="B19">
        <f>[1]CCJ!C19</f>
        <v>9286</v>
      </c>
      <c r="C19">
        <f>[1]CCJ!D19</f>
        <v>8850</v>
      </c>
      <c r="D19">
        <f t="shared" si="0"/>
        <v>95.304759853542961</v>
      </c>
    </row>
    <row r="20" spans="1:4" x14ac:dyDescent="0.3">
      <c r="A20">
        <f t="shared" si="1"/>
        <v>2008</v>
      </c>
      <c r="B20">
        <f>[1]CCJ!C20</f>
        <v>9481</v>
      </c>
      <c r="C20">
        <f>[1]CCJ!D20</f>
        <v>8999</v>
      </c>
      <c r="D20">
        <f t="shared" si="0"/>
        <v>94.916148085644963</v>
      </c>
    </row>
    <row r="21" spans="1:4" x14ac:dyDescent="0.3">
      <c r="A21">
        <f t="shared" ref="A21:A36" si="2">A19+2</f>
        <v>2009</v>
      </c>
      <c r="B21">
        <f>[1]CCJ!C21</f>
        <v>9357</v>
      </c>
      <c r="C21">
        <f>[1]CCJ!D21</f>
        <v>8888</v>
      </c>
      <c r="D21">
        <f t="shared" si="0"/>
        <v>94.987709736026503</v>
      </c>
    </row>
    <row r="22" spans="1:4" x14ac:dyDescent="0.3">
      <c r="A22">
        <f t="shared" si="2"/>
        <v>2010</v>
      </c>
      <c r="B22">
        <f>[1]CCJ!C22</f>
        <v>10064</v>
      </c>
      <c r="C22">
        <f>[1]CCJ!D22</f>
        <v>9550</v>
      </c>
      <c r="D22">
        <f t="shared" si="0"/>
        <v>94.892686804451515</v>
      </c>
    </row>
    <row r="23" spans="1:4" x14ac:dyDescent="0.3">
      <c r="A23">
        <f t="shared" si="2"/>
        <v>2011</v>
      </c>
      <c r="B23">
        <f>[1]CCJ!C23</f>
        <v>10486</v>
      </c>
      <c r="C23">
        <f>[1]CCJ!D23</f>
        <v>9971</v>
      </c>
      <c r="D23">
        <f t="shared" si="0"/>
        <v>95.088689681480062</v>
      </c>
    </row>
    <row r="24" spans="1:4" x14ac:dyDescent="0.3">
      <c r="A24">
        <f>A22+2</f>
        <v>2012</v>
      </c>
      <c r="B24">
        <f>[1]CCJ!C24</f>
        <v>10607</v>
      </c>
      <c r="C24">
        <f>[1]CCJ!D24</f>
        <v>10052</v>
      </c>
      <c r="D24">
        <f t="shared" si="0"/>
        <v>94.767606297727909</v>
      </c>
    </row>
    <row r="25" spans="1:4" x14ac:dyDescent="0.3">
      <c r="A25">
        <f t="shared" si="2"/>
        <v>2013</v>
      </c>
      <c r="B25">
        <f>[1]CCJ!C25</f>
        <v>11642</v>
      </c>
      <c r="C25">
        <f>[1]CCJ!D25</f>
        <v>11025</v>
      </c>
      <c r="D25">
        <f t="shared" si="0"/>
        <v>94.700223329324857</v>
      </c>
    </row>
    <row r="26" spans="1:4" x14ac:dyDescent="0.3">
      <c r="A26">
        <f t="shared" si="2"/>
        <v>2014</v>
      </c>
      <c r="B26">
        <f>[1]CCJ!C26</f>
        <v>11970</v>
      </c>
      <c r="C26">
        <f>[1]CCJ!D26</f>
        <v>11271</v>
      </c>
      <c r="D26">
        <f t="shared" si="0"/>
        <v>94.160401002506262</v>
      </c>
    </row>
    <row r="27" spans="1:4" x14ac:dyDescent="0.3">
      <c r="A27">
        <f t="shared" si="2"/>
        <v>2015</v>
      </c>
      <c r="B27">
        <f>[1]CCJ!C27</f>
        <v>12612</v>
      </c>
      <c r="C27">
        <f>[1]CCJ!D27</f>
        <v>11884</v>
      </c>
      <c r="D27">
        <f t="shared" si="0"/>
        <v>94.227719632096424</v>
      </c>
    </row>
    <row r="28" spans="1:4" x14ac:dyDescent="0.3">
      <c r="A28">
        <f t="shared" si="2"/>
        <v>2016</v>
      </c>
      <c r="B28">
        <f>[1]CCJ!C28</f>
        <v>12981</v>
      </c>
      <c r="C28">
        <f>[1]CCJ!D28</f>
        <v>12241</v>
      </c>
      <c r="D28">
        <f t="shared" si="0"/>
        <v>94.299360603959641</v>
      </c>
    </row>
    <row r="29" spans="1:4" x14ac:dyDescent="0.3">
      <c r="A29">
        <f t="shared" si="2"/>
        <v>2017</v>
      </c>
      <c r="B29">
        <f>[1]CCJ!C29</f>
        <v>12330</v>
      </c>
      <c r="C29">
        <f>[1]CCJ!D29</f>
        <v>11547</v>
      </c>
      <c r="D29">
        <f t="shared" si="0"/>
        <v>93.649635036496349</v>
      </c>
    </row>
    <row r="30" spans="1:4" x14ac:dyDescent="0.3">
      <c r="A30">
        <f t="shared" si="2"/>
        <v>2018</v>
      </c>
      <c r="B30">
        <f>[1]CCJ!C30</f>
        <v>12059</v>
      </c>
      <c r="C30">
        <f>[1]CCJ!D30</f>
        <v>11243</v>
      </c>
      <c r="D30">
        <f t="shared" si="0"/>
        <v>93.233269757027955</v>
      </c>
    </row>
    <row r="31" spans="1:4" x14ac:dyDescent="0.3">
      <c r="A31">
        <f t="shared" si="2"/>
        <v>2019</v>
      </c>
      <c r="B31">
        <f>[1]CCJ!C31</f>
        <v>11846</v>
      </c>
      <c r="C31">
        <f>[1]CCJ!D31</f>
        <v>11099</v>
      </c>
      <c r="D31">
        <f t="shared" si="0"/>
        <v>93.694073949012321</v>
      </c>
    </row>
    <row r="32" spans="1:4" x14ac:dyDescent="0.3">
      <c r="A32">
        <f t="shared" si="2"/>
        <v>2020</v>
      </c>
      <c r="B32">
        <f>[1]CCJ!C32</f>
        <v>12661</v>
      </c>
      <c r="C32">
        <f>[1]CCJ!D32</f>
        <v>11836</v>
      </c>
      <c r="D32">
        <f t="shared" si="0"/>
        <v>93.48392701998263</v>
      </c>
    </row>
    <row r="33" spans="1:4" x14ac:dyDescent="0.3">
      <c r="A33">
        <f t="shared" si="2"/>
        <v>2021</v>
      </c>
      <c r="B33">
        <f>[1]CCJ!C33</f>
        <v>12573</v>
      </c>
      <c r="C33">
        <f>[1]CCJ!D33</f>
        <v>11758</v>
      </c>
      <c r="D33">
        <f t="shared" si="0"/>
        <v>93.517855722580137</v>
      </c>
    </row>
    <row r="34" spans="1:4" x14ac:dyDescent="0.3">
      <c r="A34">
        <f t="shared" si="2"/>
        <v>2022</v>
      </c>
      <c r="B34">
        <f>[1]CCJ!C34</f>
        <v>11796</v>
      </c>
      <c r="C34">
        <f>[1]CCJ!D34</f>
        <v>11007</v>
      </c>
      <c r="D34">
        <f t="shared" si="0"/>
        <v>93.311291963377414</v>
      </c>
    </row>
    <row r="35" spans="1:4" x14ac:dyDescent="0.3">
      <c r="A35">
        <f t="shared" si="2"/>
        <v>2023</v>
      </c>
      <c r="B35">
        <f>[1]CCJ!C35</f>
        <v>10883</v>
      </c>
      <c r="C35">
        <f>[1]CCJ!D35</f>
        <v>10169</v>
      </c>
      <c r="D35">
        <f t="shared" si="0"/>
        <v>93.439309014058622</v>
      </c>
    </row>
    <row r="36" spans="1:4" x14ac:dyDescent="0.3">
      <c r="A36">
        <f t="shared" si="2"/>
        <v>2024</v>
      </c>
      <c r="B36">
        <f>[1]CCJ!C36</f>
        <v>10256</v>
      </c>
      <c r="C36">
        <f>[1]CCJ!D36</f>
        <v>9625</v>
      </c>
      <c r="D36">
        <f t="shared" si="0"/>
        <v>93.847503900155999</v>
      </c>
    </row>
    <row r="37" spans="1:4" x14ac:dyDescent="0.3">
      <c r="A37">
        <v>2025</v>
      </c>
      <c r="B37">
        <f>[1]CCJ!C37</f>
        <v>6713</v>
      </c>
      <c r="C37">
        <f>[1]CCJ!D37</f>
        <v>6285</v>
      </c>
      <c r="D37">
        <f t="shared" si="0"/>
        <v>93.624311038283921</v>
      </c>
    </row>
    <row r="38" spans="1:4" x14ac:dyDescent="0.3">
      <c r="A38" t="s">
        <v>9</v>
      </c>
      <c r="B38">
        <f>[1]CCJ!C38</f>
        <v>330223</v>
      </c>
      <c r="C38">
        <f>[1]CCJ!D38</f>
        <v>313821</v>
      </c>
    </row>
    <row r="39" spans="1:4" x14ac:dyDescent="0.3">
      <c r="A39" t="s">
        <v>7</v>
      </c>
      <c r="B39">
        <f>[1]CCJ!C39</f>
        <v>12981</v>
      </c>
      <c r="C39">
        <f>[1]CCJ!D39</f>
        <v>12241</v>
      </c>
      <c r="D39">
        <f>MAX(D2:D37)</f>
        <v>98.428571428571431</v>
      </c>
    </row>
    <row r="40" spans="1:4" x14ac:dyDescent="0.3">
      <c r="A40" t="s">
        <v>8</v>
      </c>
      <c r="B40">
        <f>[1]CCJ!C40</f>
        <v>4503</v>
      </c>
      <c r="C40">
        <f>[1]CCJ!D40</f>
        <v>4418</v>
      </c>
      <c r="D40">
        <f>MIN(D2:D37)</f>
        <v>93.233269757027955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D40"/>
  <sheetViews>
    <sheetView topLeftCell="A13" workbookViewId="0">
      <selection activeCell="C1" sqref="C1:C40"/>
    </sheetView>
  </sheetViews>
  <sheetFormatPr defaultColWidth="11.44140625" defaultRowHeight="17.25" x14ac:dyDescent="0.3"/>
  <sheetData>
    <row r="1" spans="1:4" x14ac:dyDescent="0.3">
      <c r="A1" t="s">
        <v>0</v>
      </c>
      <c r="B1" t="str">
        <f>[1]ALL!C1</f>
        <v>HasPvalue</v>
      </c>
      <c r="C1" t="str">
        <f>[1]ALL!D1</f>
        <v>Pvalue0.05</v>
      </c>
      <c r="D1" t="s">
        <v>1</v>
      </c>
    </row>
    <row r="2" spans="1:4" x14ac:dyDescent="0.3">
      <c r="A2">
        <v>1990</v>
      </c>
      <c r="B2">
        <f>[1]ALL!C2</f>
        <v>21384</v>
      </c>
      <c r="C2">
        <f>[1]ALL!D2</f>
        <v>20957</v>
      </c>
      <c r="D2">
        <f>C2/B2*100</f>
        <v>98.003179947624403</v>
      </c>
    </row>
    <row r="3" spans="1:4" x14ac:dyDescent="0.3">
      <c r="A3">
        <v>1991</v>
      </c>
      <c r="B3">
        <f>[1]ALL!C3</f>
        <v>23325</v>
      </c>
      <c r="C3">
        <f>[1]ALL!D3</f>
        <v>22874</v>
      </c>
      <c r="D3">
        <f t="shared" ref="D3:D37" si="0">C3/B3*100</f>
        <v>98.066452304394431</v>
      </c>
    </row>
    <row r="4" spans="1:4" x14ac:dyDescent="0.3">
      <c r="A4">
        <f>A2+2</f>
        <v>1992</v>
      </c>
      <c r="B4">
        <f>[1]ALL!C4</f>
        <v>25741</v>
      </c>
      <c r="C4">
        <f>[1]ALL!D4</f>
        <v>25229</v>
      </c>
      <c r="D4">
        <f t="shared" si="0"/>
        <v>98.010955285342447</v>
      </c>
    </row>
    <row r="5" spans="1:4" x14ac:dyDescent="0.3">
      <c r="A5">
        <f t="shared" ref="A5:A20" si="1">A3+2</f>
        <v>1993</v>
      </c>
      <c r="B5">
        <f>[1]ALL!C5</f>
        <v>27993</v>
      </c>
      <c r="C5">
        <f>[1]ALL!D5</f>
        <v>27299</v>
      </c>
      <c r="D5">
        <f t="shared" si="0"/>
        <v>97.52080877362198</v>
      </c>
    </row>
    <row r="6" spans="1:4" x14ac:dyDescent="0.3">
      <c r="A6">
        <f t="shared" si="1"/>
        <v>1994</v>
      </c>
      <c r="B6">
        <f>[1]ALL!C6</f>
        <v>30332</v>
      </c>
      <c r="C6">
        <f>[1]ALL!D6</f>
        <v>29539</v>
      </c>
      <c r="D6">
        <f t="shared" si="0"/>
        <v>97.385599367005142</v>
      </c>
    </row>
    <row r="7" spans="1:4" x14ac:dyDescent="0.3">
      <c r="A7">
        <f t="shared" si="1"/>
        <v>1995</v>
      </c>
      <c r="B7">
        <f>[1]ALL!C7</f>
        <v>32855</v>
      </c>
      <c r="C7">
        <f>[1]ALL!D7</f>
        <v>31925</v>
      </c>
      <c r="D7">
        <f t="shared" si="0"/>
        <v>97.169380611779033</v>
      </c>
    </row>
    <row r="8" spans="1:4" x14ac:dyDescent="0.3">
      <c r="A8">
        <f t="shared" si="1"/>
        <v>1996</v>
      </c>
      <c r="B8">
        <f>[1]ALL!C8</f>
        <v>35311</v>
      </c>
      <c r="C8">
        <f>[1]ALL!D8</f>
        <v>34299</v>
      </c>
      <c r="D8">
        <f t="shared" si="0"/>
        <v>97.134037552037611</v>
      </c>
    </row>
    <row r="9" spans="1:4" x14ac:dyDescent="0.3">
      <c r="A9">
        <f t="shared" si="1"/>
        <v>1997</v>
      </c>
      <c r="B9">
        <f>[1]ALL!C9</f>
        <v>37524</v>
      </c>
      <c r="C9">
        <f>[1]ALL!D9</f>
        <v>36423</v>
      </c>
      <c r="D9">
        <f t="shared" si="0"/>
        <v>97.065877838183567</v>
      </c>
    </row>
    <row r="10" spans="1:4" x14ac:dyDescent="0.3">
      <c r="A10">
        <f t="shared" si="1"/>
        <v>1998</v>
      </c>
      <c r="B10">
        <f>[1]ALL!C10</f>
        <v>39562</v>
      </c>
      <c r="C10">
        <f>[1]ALL!D10</f>
        <v>38301</v>
      </c>
      <c r="D10">
        <f t="shared" si="0"/>
        <v>96.812597947525404</v>
      </c>
    </row>
    <row r="11" spans="1:4" x14ac:dyDescent="0.3">
      <c r="A11">
        <f t="shared" si="1"/>
        <v>1999</v>
      </c>
      <c r="B11">
        <f>[1]ALL!C11</f>
        <v>42202</v>
      </c>
      <c r="C11">
        <f>[1]ALL!D11</f>
        <v>40868</v>
      </c>
      <c r="D11">
        <f t="shared" si="0"/>
        <v>96.839012369082027</v>
      </c>
    </row>
    <row r="12" spans="1:4" x14ac:dyDescent="0.3">
      <c r="A12">
        <f t="shared" si="1"/>
        <v>2000</v>
      </c>
      <c r="B12">
        <f>[1]ALL!C12</f>
        <v>44030</v>
      </c>
      <c r="C12">
        <f>[1]ALL!D12</f>
        <v>42586</v>
      </c>
      <c r="D12">
        <f t="shared" si="0"/>
        <v>96.720417896888492</v>
      </c>
    </row>
    <row r="13" spans="1:4" x14ac:dyDescent="0.3">
      <c r="A13">
        <f t="shared" si="1"/>
        <v>2001</v>
      </c>
      <c r="B13">
        <f>[1]ALL!C13</f>
        <v>47044</v>
      </c>
      <c r="C13">
        <f>[1]ALL!D13</f>
        <v>45463</v>
      </c>
      <c r="D13">
        <f t="shared" si="0"/>
        <v>96.639316384661171</v>
      </c>
    </row>
    <row r="14" spans="1:4" x14ac:dyDescent="0.3">
      <c r="A14">
        <f t="shared" si="1"/>
        <v>2002</v>
      </c>
      <c r="B14">
        <f>[1]ALL!C14</f>
        <v>50572</v>
      </c>
      <c r="C14">
        <f>[1]ALL!D14</f>
        <v>48759</v>
      </c>
      <c r="D14">
        <f t="shared" si="0"/>
        <v>96.41501225974848</v>
      </c>
    </row>
    <row r="15" spans="1:4" x14ac:dyDescent="0.3">
      <c r="A15">
        <f t="shared" si="1"/>
        <v>2003</v>
      </c>
      <c r="B15">
        <f>[1]ALL!C15</f>
        <v>56386</v>
      </c>
      <c r="C15">
        <f>[1]ALL!D15</f>
        <v>54300</v>
      </c>
      <c r="D15">
        <f t="shared" si="0"/>
        <v>96.300500124144293</v>
      </c>
    </row>
    <row r="16" spans="1:4" x14ac:dyDescent="0.3">
      <c r="A16">
        <f t="shared" si="1"/>
        <v>2004</v>
      </c>
      <c r="B16">
        <f>[1]ALL!C16</f>
        <v>62395</v>
      </c>
      <c r="C16">
        <f>[1]ALL!D16</f>
        <v>59988</v>
      </c>
      <c r="D16">
        <f t="shared" si="0"/>
        <v>96.142319096081422</v>
      </c>
    </row>
    <row r="17" spans="1:4" x14ac:dyDescent="0.3">
      <c r="A17">
        <f t="shared" si="1"/>
        <v>2005</v>
      </c>
      <c r="B17">
        <f>[1]ALL!C17</f>
        <v>71835</v>
      </c>
      <c r="C17">
        <f>[1]ALL!D17</f>
        <v>69052</v>
      </c>
      <c r="D17">
        <f t="shared" si="0"/>
        <v>96.125843947936247</v>
      </c>
    </row>
    <row r="18" spans="1:4" x14ac:dyDescent="0.3">
      <c r="A18">
        <f t="shared" si="1"/>
        <v>2006</v>
      </c>
      <c r="B18">
        <f>[1]ALL!C18</f>
        <v>77956</v>
      </c>
      <c r="C18">
        <f>[1]ALL!D18</f>
        <v>74857</v>
      </c>
      <c r="D18">
        <f t="shared" si="0"/>
        <v>96.024680589050234</v>
      </c>
    </row>
    <row r="19" spans="1:4" x14ac:dyDescent="0.3">
      <c r="A19">
        <f t="shared" si="1"/>
        <v>2007</v>
      </c>
      <c r="B19">
        <f>[1]ALL!C19</f>
        <v>85389</v>
      </c>
      <c r="C19">
        <f>[1]ALL!D19</f>
        <v>82023</v>
      </c>
      <c r="D19">
        <f t="shared" si="0"/>
        <v>96.05804026279732</v>
      </c>
    </row>
    <row r="20" spans="1:4" x14ac:dyDescent="0.3">
      <c r="A20">
        <f t="shared" si="1"/>
        <v>2008</v>
      </c>
      <c r="B20">
        <f>[1]ALL!C20</f>
        <v>92621</v>
      </c>
      <c r="C20">
        <f>[1]ALL!D20</f>
        <v>88830</v>
      </c>
      <c r="D20">
        <f t="shared" si="0"/>
        <v>95.90697573984302</v>
      </c>
    </row>
    <row r="21" spans="1:4" x14ac:dyDescent="0.3">
      <c r="A21">
        <f t="shared" ref="A21:A36" si="2">A19+2</f>
        <v>2009</v>
      </c>
      <c r="B21">
        <f>[1]ALL!C21</f>
        <v>99031</v>
      </c>
      <c r="C21">
        <f>[1]ALL!D21</f>
        <v>94953</v>
      </c>
      <c r="D21">
        <f t="shared" si="0"/>
        <v>95.882097525017414</v>
      </c>
    </row>
    <row r="22" spans="1:4" x14ac:dyDescent="0.3">
      <c r="A22">
        <f t="shared" si="2"/>
        <v>2010</v>
      </c>
      <c r="B22">
        <f>[1]ALL!C22</f>
        <v>108664</v>
      </c>
      <c r="C22">
        <f>[1]ALL!D22</f>
        <v>103936</v>
      </c>
      <c r="D22">
        <f t="shared" si="0"/>
        <v>95.648972980932044</v>
      </c>
    </row>
    <row r="23" spans="1:4" x14ac:dyDescent="0.3">
      <c r="A23">
        <f t="shared" si="2"/>
        <v>2011</v>
      </c>
      <c r="B23">
        <f>[1]ALL!C23</f>
        <v>121218</v>
      </c>
      <c r="C23">
        <f>[1]ALL!D23</f>
        <v>115936</v>
      </c>
      <c r="D23">
        <f t="shared" si="0"/>
        <v>95.642561335775213</v>
      </c>
    </row>
    <row r="24" spans="1:4" x14ac:dyDescent="0.3">
      <c r="A24">
        <f>A22+2</f>
        <v>2012</v>
      </c>
      <c r="B24">
        <f>[1]ALL!C24</f>
        <v>131762</v>
      </c>
      <c r="C24">
        <f>[1]ALL!D24</f>
        <v>126002</v>
      </c>
      <c r="D24">
        <f t="shared" si="0"/>
        <v>95.628481656319735</v>
      </c>
    </row>
    <row r="25" spans="1:4" x14ac:dyDescent="0.3">
      <c r="A25">
        <f t="shared" si="2"/>
        <v>2013</v>
      </c>
      <c r="B25">
        <f>[1]ALL!C25</f>
        <v>142351</v>
      </c>
      <c r="C25">
        <f>[1]ALL!D25</f>
        <v>135964</v>
      </c>
      <c r="D25">
        <f t="shared" si="0"/>
        <v>95.513203279218274</v>
      </c>
    </row>
    <row r="26" spans="1:4" x14ac:dyDescent="0.3">
      <c r="A26">
        <f t="shared" si="2"/>
        <v>2014</v>
      </c>
      <c r="B26">
        <f>[1]ALL!C26</f>
        <v>150090</v>
      </c>
      <c r="C26">
        <f>[1]ALL!D26</f>
        <v>143319</v>
      </c>
      <c r="D26">
        <f t="shared" si="0"/>
        <v>95.488706775934446</v>
      </c>
    </row>
    <row r="27" spans="1:4" x14ac:dyDescent="0.3">
      <c r="A27">
        <f t="shared" si="2"/>
        <v>2015</v>
      </c>
      <c r="B27">
        <f>[1]ALL!C27</f>
        <v>157053</v>
      </c>
      <c r="C27">
        <f>[1]ALL!D27</f>
        <v>149880</v>
      </c>
      <c r="D27">
        <f t="shared" si="0"/>
        <v>95.432752000916892</v>
      </c>
    </row>
    <row r="28" spans="1:4" x14ac:dyDescent="0.3">
      <c r="A28">
        <f t="shared" si="2"/>
        <v>2016</v>
      </c>
      <c r="B28">
        <f>[1]ALL!C28</f>
        <v>159105</v>
      </c>
      <c r="C28">
        <f>[1]ALL!D28</f>
        <v>151387</v>
      </c>
      <c r="D28">
        <f t="shared" si="0"/>
        <v>95.149115364067754</v>
      </c>
    </row>
    <row r="29" spans="1:4" x14ac:dyDescent="0.3">
      <c r="A29">
        <f t="shared" si="2"/>
        <v>2017</v>
      </c>
      <c r="B29">
        <f>[1]ALL!C29</f>
        <v>161817</v>
      </c>
      <c r="C29">
        <f>[1]ALL!D29</f>
        <v>153488</v>
      </c>
      <c r="D29">
        <f t="shared" si="0"/>
        <v>94.85282757683062</v>
      </c>
    </row>
    <row r="30" spans="1:4" x14ac:dyDescent="0.3">
      <c r="A30">
        <f t="shared" si="2"/>
        <v>2018</v>
      </c>
      <c r="B30">
        <f>[1]ALL!C30</f>
        <v>166640</v>
      </c>
      <c r="C30">
        <f>[1]ALL!D30</f>
        <v>157780</v>
      </c>
      <c r="D30">
        <f t="shared" si="0"/>
        <v>94.683149303888626</v>
      </c>
    </row>
    <row r="31" spans="1:4" x14ac:dyDescent="0.3">
      <c r="A31">
        <f t="shared" si="2"/>
        <v>2019</v>
      </c>
      <c r="B31">
        <f>[1]ALL!C31</f>
        <v>174147</v>
      </c>
      <c r="C31">
        <f>[1]ALL!D31</f>
        <v>165033</v>
      </c>
      <c r="D31">
        <f t="shared" si="0"/>
        <v>94.766490378817892</v>
      </c>
    </row>
    <row r="32" spans="1:4" x14ac:dyDescent="0.3">
      <c r="A32">
        <f t="shared" si="2"/>
        <v>2020</v>
      </c>
      <c r="B32">
        <f>[1]ALL!C32</f>
        <v>196668</v>
      </c>
      <c r="C32">
        <f>[1]ALL!D32</f>
        <v>186434</v>
      </c>
      <c r="D32">
        <f t="shared" si="0"/>
        <v>94.796306465718871</v>
      </c>
    </row>
    <row r="33" spans="1:4" x14ac:dyDescent="0.3">
      <c r="A33">
        <f t="shared" si="2"/>
        <v>2021</v>
      </c>
      <c r="B33">
        <f>[1]ALL!C33</f>
        <v>211128</v>
      </c>
      <c r="C33">
        <f>[1]ALL!D33</f>
        <v>200110</v>
      </c>
      <c r="D33">
        <f t="shared" si="0"/>
        <v>94.781364859232312</v>
      </c>
    </row>
    <row r="34" spans="1:4" x14ac:dyDescent="0.3">
      <c r="A34">
        <f t="shared" si="2"/>
        <v>2022</v>
      </c>
      <c r="B34">
        <f>[1]ALL!C34</f>
        <v>201122</v>
      </c>
      <c r="C34">
        <f>[1]ALL!D34</f>
        <v>190735</v>
      </c>
      <c r="D34">
        <f t="shared" si="0"/>
        <v>94.835472996489685</v>
      </c>
    </row>
    <row r="35" spans="1:4" x14ac:dyDescent="0.3">
      <c r="A35">
        <f t="shared" si="2"/>
        <v>2023</v>
      </c>
      <c r="B35">
        <f>[1]ALL!C35</f>
        <v>182075</v>
      </c>
      <c r="C35">
        <f>[1]ALL!D35</f>
        <v>172740</v>
      </c>
      <c r="D35">
        <f t="shared" si="0"/>
        <v>94.872991898942743</v>
      </c>
    </row>
    <row r="36" spans="1:4" x14ac:dyDescent="0.3">
      <c r="A36">
        <f t="shared" si="2"/>
        <v>2024</v>
      </c>
      <c r="B36">
        <f>[1]ALL!C36</f>
        <v>187769</v>
      </c>
      <c r="C36">
        <f>[1]ALL!D36</f>
        <v>178313</v>
      </c>
      <c r="D36">
        <f t="shared" si="0"/>
        <v>94.964024945544793</v>
      </c>
    </row>
    <row r="37" spans="1:4" x14ac:dyDescent="0.3">
      <c r="A37">
        <v>2025</v>
      </c>
      <c r="B37">
        <f>[1]ALL!C37</f>
        <v>128978</v>
      </c>
      <c r="C37">
        <f>[1]ALL!D37</f>
        <v>122881</v>
      </c>
      <c r="D37">
        <f t="shared" si="0"/>
        <v>95.272837228054399</v>
      </c>
    </row>
    <row r="38" spans="1:4" x14ac:dyDescent="0.3">
      <c r="A38" t="s">
        <v>9</v>
      </c>
      <c r="B38">
        <f>[1]ALL!C38</f>
        <v>3584075</v>
      </c>
      <c r="C38">
        <f>[1]ALL!D38</f>
        <v>3422463</v>
      </c>
    </row>
    <row r="39" spans="1:4" x14ac:dyDescent="0.3">
      <c r="A39" t="s">
        <v>7</v>
      </c>
      <c r="B39">
        <f>[1]ALL!C39</f>
        <v>211128</v>
      </c>
      <c r="C39">
        <f>[1]ALL!D39</f>
        <v>200110</v>
      </c>
      <c r="D39">
        <f>MAX(D2:D37)</f>
        <v>98.066452304394431</v>
      </c>
    </row>
    <row r="40" spans="1:4" x14ac:dyDescent="0.3">
      <c r="A40" t="s">
        <v>8</v>
      </c>
      <c r="B40">
        <f>[1]ALL!C40</f>
        <v>21384</v>
      </c>
      <c r="C40">
        <f>[1]ALL!D40</f>
        <v>20957</v>
      </c>
      <c r="D40">
        <f>MIN(D2:D37)</f>
        <v>94.683149303888626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A22" sqref="A22:A23"/>
    </sheetView>
  </sheetViews>
  <sheetFormatPr defaultRowHeight="17.25" x14ac:dyDescent="0.3"/>
  <sheetData>
    <row r="1" spans="1:4" x14ac:dyDescent="0.3">
      <c r="A1" t="s">
        <v>0</v>
      </c>
      <c r="B1" t="str">
        <f>[1]OBS!C1</f>
        <v>HasPvalue</v>
      </c>
      <c r="C1" t="str">
        <f>[1]OBS!D1</f>
        <v>Pvalue0.05</v>
      </c>
      <c r="D1" t="s">
        <v>1</v>
      </c>
    </row>
    <row r="2" spans="1:4" x14ac:dyDescent="0.3">
      <c r="A2">
        <v>1990</v>
      </c>
      <c r="B2">
        <f>[1]OBS!C2</f>
        <v>0</v>
      </c>
      <c r="C2">
        <f>[1]OBS!D2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[1]OBS!C3</f>
        <v>0</v>
      </c>
      <c r="C3">
        <f>[1]OBS!D3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[1]OBS!C4</f>
        <v>0</v>
      </c>
      <c r="C4">
        <f>[1]OBS!D4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[1]OBS!C5</f>
        <v>0</v>
      </c>
      <c r="C5">
        <f>[1]OBS!D5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[1]OBS!C6</f>
        <v>0</v>
      </c>
      <c r="C6">
        <f>[1]OBS!D6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[1]OBS!C7</f>
        <v>0</v>
      </c>
      <c r="C7">
        <f>[1]OBS!D7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[1]OBS!C8</f>
        <v>0</v>
      </c>
      <c r="C8">
        <f>[1]OBS!D8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[1]OBS!C9</f>
        <v>0</v>
      </c>
      <c r="C9">
        <f>[1]OBS!D9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[1]OBS!C10</f>
        <v>0</v>
      </c>
      <c r="C10">
        <f>[1]OBS!D10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[1]OBS!C11</f>
        <v>0</v>
      </c>
      <c r="C11">
        <f>[1]OBS!D11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[1]OBS!C12</f>
        <v>0</v>
      </c>
      <c r="C12">
        <f>[1]OBS!D12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[1]OBS!C13</f>
        <v>0</v>
      </c>
      <c r="C13">
        <f>[1]OBS!D13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[1]OBS!C14</f>
        <v>1</v>
      </c>
      <c r="C14">
        <f>[1]OBS!D14</f>
        <v>1</v>
      </c>
      <c r="D14">
        <f t="shared" si="0"/>
        <v>100</v>
      </c>
    </row>
    <row r="15" spans="1:4" x14ac:dyDescent="0.3">
      <c r="A15">
        <f t="shared" si="1"/>
        <v>2003</v>
      </c>
      <c r="B15">
        <f>[1]OBS!C15</f>
        <v>0</v>
      </c>
      <c r="C15">
        <f>[1]OBS!D15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[1]OBS!C16</f>
        <v>0</v>
      </c>
      <c r="C16">
        <f>[1]OBS!D16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[1]OBS!C17</f>
        <v>0</v>
      </c>
      <c r="C17">
        <f>[1]OBS!D17</f>
        <v>0</v>
      </c>
      <c r="D17" t="e">
        <f t="shared" si="0"/>
        <v>#DIV/0!</v>
      </c>
    </row>
    <row r="18" spans="1:4" x14ac:dyDescent="0.3">
      <c r="A18">
        <f t="shared" si="1"/>
        <v>2006</v>
      </c>
      <c r="B18">
        <f>[1]OBS!C18</f>
        <v>0</v>
      </c>
      <c r="C18">
        <f>[1]OBS!D18</f>
        <v>0</v>
      </c>
      <c r="D18" t="e">
        <f t="shared" si="0"/>
        <v>#DIV/0!</v>
      </c>
    </row>
    <row r="19" spans="1:4" x14ac:dyDescent="0.3">
      <c r="A19">
        <f t="shared" si="1"/>
        <v>2007</v>
      </c>
      <c r="B19">
        <f>[1]OBS!C19</f>
        <v>0</v>
      </c>
      <c r="C19">
        <f>[1]OBS!D19</f>
        <v>0</v>
      </c>
      <c r="D19" t="e">
        <f t="shared" si="0"/>
        <v>#DIV/0!</v>
      </c>
    </row>
    <row r="20" spans="1:4" x14ac:dyDescent="0.3">
      <c r="A20">
        <f t="shared" si="1"/>
        <v>2008</v>
      </c>
      <c r="B20">
        <f>[1]OBS!C20</f>
        <v>0</v>
      </c>
      <c r="C20">
        <f>[1]OBS!D20</f>
        <v>0</v>
      </c>
      <c r="D20" t="e">
        <f t="shared" si="0"/>
        <v>#DIV/0!</v>
      </c>
    </row>
    <row r="21" spans="1:4" x14ac:dyDescent="0.3">
      <c r="A21">
        <f t="shared" si="1"/>
        <v>2009</v>
      </c>
      <c r="B21">
        <f>[1]OBS!C21</f>
        <v>2</v>
      </c>
      <c r="C21">
        <f>[1]OBS!D21</f>
        <v>2</v>
      </c>
      <c r="D21">
        <f t="shared" si="0"/>
        <v>100</v>
      </c>
    </row>
    <row r="22" spans="1:4" x14ac:dyDescent="0.3">
      <c r="A22">
        <f t="shared" si="1"/>
        <v>2010</v>
      </c>
      <c r="B22">
        <f>[1]OBS!C22</f>
        <v>19</v>
      </c>
      <c r="C22">
        <f>[1]OBS!D22</f>
        <v>18</v>
      </c>
      <c r="D22">
        <f t="shared" si="0"/>
        <v>94.73684210526315</v>
      </c>
    </row>
    <row r="23" spans="1:4" x14ac:dyDescent="0.3">
      <c r="A23">
        <f t="shared" si="1"/>
        <v>2011</v>
      </c>
      <c r="B23">
        <f>[1]OBS!C23</f>
        <v>42</v>
      </c>
      <c r="C23">
        <f>[1]OBS!D23</f>
        <v>41</v>
      </c>
      <c r="D23">
        <f t="shared" si="0"/>
        <v>97.61904761904762</v>
      </c>
    </row>
    <row r="24" spans="1:4" x14ac:dyDescent="0.3">
      <c r="A24">
        <f t="shared" si="1"/>
        <v>2012</v>
      </c>
      <c r="B24">
        <f>[1]OBS!C24</f>
        <v>297</v>
      </c>
      <c r="C24">
        <f>[1]OBS!D24</f>
        <v>285</v>
      </c>
      <c r="D24">
        <f t="shared" si="0"/>
        <v>95.959595959595958</v>
      </c>
    </row>
    <row r="25" spans="1:4" x14ac:dyDescent="0.3">
      <c r="A25">
        <f t="shared" si="1"/>
        <v>2013</v>
      </c>
      <c r="B25">
        <f>[1]OBS!C25</f>
        <v>2751</v>
      </c>
      <c r="C25">
        <f>[1]OBS!D25</f>
        <v>2618</v>
      </c>
      <c r="D25">
        <f t="shared" si="0"/>
        <v>95.165394402035616</v>
      </c>
    </row>
    <row r="26" spans="1:4" x14ac:dyDescent="0.3">
      <c r="A26">
        <f t="shared" si="1"/>
        <v>2014</v>
      </c>
      <c r="B26">
        <f>[1]OBS!C26</f>
        <v>5657</v>
      </c>
      <c r="C26">
        <f>[1]OBS!D26</f>
        <v>5400</v>
      </c>
      <c r="D26">
        <f t="shared" si="0"/>
        <v>95.456955983736975</v>
      </c>
    </row>
    <row r="27" spans="1:4" x14ac:dyDescent="0.3">
      <c r="A27">
        <f t="shared" si="1"/>
        <v>2015</v>
      </c>
      <c r="B27">
        <f>[1]OBS!C27</f>
        <v>6973</v>
      </c>
      <c r="C27">
        <f>[1]OBS!D27</f>
        <v>6603</v>
      </c>
      <c r="D27">
        <f t="shared" si="0"/>
        <v>94.693819016205367</v>
      </c>
    </row>
    <row r="28" spans="1:4" x14ac:dyDescent="0.3">
      <c r="A28">
        <f t="shared" si="1"/>
        <v>2016</v>
      </c>
      <c r="B28">
        <f>[1]OBS!C28</f>
        <v>7820</v>
      </c>
      <c r="C28">
        <f>[1]OBS!D28</f>
        <v>7403</v>
      </c>
      <c r="D28">
        <f t="shared" si="0"/>
        <v>94.667519181585675</v>
      </c>
    </row>
    <row r="29" spans="1:4" x14ac:dyDescent="0.3">
      <c r="A29">
        <f t="shared" si="1"/>
        <v>2017</v>
      </c>
      <c r="B29">
        <f>[1]OBS!C29</f>
        <v>8557</v>
      </c>
      <c r="C29">
        <f>[1]OBS!D29</f>
        <v>8121</v>
      </c>
      <c r="D29">
        <f t="shared" si="0"/>
        <v>94.904756339838727</v>
      </c>
    </row>
    <row r="30" spans="1:4" x14ac:dyDescent="0.3">
      <c r="A30">
        <f t="shared" si="1"/>
        <v>2018</v>
      </c>
      <c r="B30">
        <f>[1]OBS!C30</f>
        <v>9309</v>
      </c>
      <c r="C30">
        <f>[1]OBS!D30</f>
        <v>8818</v>
      </c>
      <c r="D30">
        <f t="shared" si="0"/>
        <v>94.725534429047158</v>
      </c>
    </row>
    <row r="31" spans="1:4" x14ac:dyDescent="0.3">
      <c r="A31">
        <f t="shared" si="1"/>
        <v>2019</v>
      </c>
      <c r="B31">
        <f>[1]OBS!C31</f>
        <v>10099</v>
      </c>
      <c r="C31">
        <f>[1]OBS!D31</f>
        <v>9572</v>
      </c>
      <c r="D31">
        <f t="shared" si="0"/>
        <v>94.781661550648579</v>
      </c>
    </row>
    <row r="32" spans="1:4" x14ac:dyDescent="0.3">
      <c r="A32">
        <f t="shared" si="1"/>
        <v>2020</v>
      </c>
      <c r="B32">
        <f>[1]OBS!C32</f>
        <v>11186</v>
      </c>
      <c r="C32">
        <f>[1]OBS!D32</f>
        <v>10646</v>
      </c>
      <c r="D32">
        <f t="shared" si="0"/>
        <v>95.172537099946368</v>
      </c>
    </row>
    <row r="33" spans="1:4" x14ac:dyDescent="0.3">
      <c r="A33">
        <f t="shared" si="1"/>
        <v>2021</v>
      </c>
      <c r="B33">
        <f>[1]OBS!C33</f>
        <v>11185</v>
      </c>
      <c r="C33">
        <f>[1]OBS!D33</f>
        <v>10646</v>
      </c>
      <c r="D33">
        <f t="shared" si="0"/>
        <v>95.181046043808664</v>
      </c>
    </row>
    <row r="34" spans="1:4" x14ac:dyDescent="0.3">
      <c r="A34">
        <f t="shared" si="1"/>
        <v>2022</v>
      </c>
      <c r="B34">
        <f>[1]OBS!C34</f>
        <v>8780</v>
      </c>
      <c r="C34">
        <f>[1]OBS!D34</f>
        <v>8340</v>
      </c>
      <c r="D34">
        <f t="shared" si="0"/>
        <v>94.988610478359917</v>
      </c>
    </row>
    <row r="35" spans="1:4" x14ac:dyDescent="0.3">
      <c r="A35">
        <f t="shared" si="1"/>
        <v>2023</v>
      </c>
      <c r="B35">
        <f>[1]OBS!C35</f>
        <v>7919</v>
      </c>
      <c r="C35">
        <f>[1]OBS!D35</f>
        <v>7519</v>
      </c>
      <c r="D35">
        <f t="shared" si="0"/>
        <v>94.948857178936734</v>
      </c>
    </row>
    <row r="36" spans="1:4" x14ac:dyDescent="0.3">
      <c r="A36">
        <f t="shared" si="1"/>
        <v>2024</v>
      </c>
      <c r="B36">
        <f>[1]OBS!C36</f>
        <v>9252</v>
      </c>
      <c r="C36">
        <f>[1]OBS!D36</f>
        <v>8725</v>
      </c>
      <c r="D36">
        <f t="shared" si="0"/>
        <v>94.303934284479027</v>
      </c>
    </row>
    <row r="37" spans="1:4" x14ac:dyDescent="0.3">
      <c r="A37">
        <f t="shared" si="1"/>
        <v>2025</v>
      </c>
      <c r="B37">
        <f>[1]OBS!C37</f>
        <v>7344</v>
      </c>
      <c r="C37">
        <f>[1]OBS!D37</f>
        <v>6959</v>
      </c>
      <c r="D37">
        <f t="shared" si="0"/>
        <v>94.757625272331154</v>
      </c>
    </row>
    <row r="38" spans="1:4" x14ac:dyDescent="0.3">
      <c r="A38" t="s">
        <v>9</v>
      </c>
      <c r="B38">
        <f>[1]OBS!C38</f>
        <v>107193</v>
      </c>
      <c r="C38">
        <f>[1]OBS!D38</f>
        <v>101717</v>
      </c>
      <c r="D38">
        <f t="shared" si="0"/>
        <v>94.89145746457325</v>
      </c>
    </row>
    <row r="39" spans="1:4" x14ac:dyDescent="0.3">
      <c r="A39" t="s">
        <v>7</v>
      </c>
      <c r="B39">
        <f>[1]OBS!C39</f>
        <v>11186</v>
      </c>
      <c r="C39">
        <f>[1]OBS!D39</f>
        <v>10646</v>
      </c>
      <c r="D39">
        <f t="shared" si="0"/>
        <v>95.172537099946368</v>
      </c>
    </row>
    <row r="40" spans="1:4" x14ac:dyDescent="0.3">
      <c r="A40" t="s">
        <v>8</v>
      </c>
      <c r="B40">
        <f>[1]OBS!C40</f>
        <v>0</v>
      </c>
      <c r="C40">
        <f>[1]OBS!D40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workbookViewId="0">
      <selection activeCell="A11" sqref="A11:D14"/>
    </sheetView>
  </sheetViews>
  <sheetFormatPr defaultRowHeight="17.25" x14ac:dyDescent="0.3"/>
  <sheetData>
    <row r="1" spans="1:4" x14ac:dyDescent="0.3">
      <c r="A1" t="s">
        <v>0</v>
      </c>
      <c r="B1" t="str">
        <f>[1]SYSREV!C1</f>
        <v>HasPvalue</v>
      </c>
      <c r="C1" t="str">
        <f>[1]SYSREV!D1</f>
        <v>Pvalue0.05</v>
      </c>
      <c r="D1" t="s">
        <v>1</v>
      </c>
    </row>
    <row r="2" spans="1:4" x14ac:dyDescent="0.3">
      <c r="A2">
        <v>1990</v>
      </c>
      <c r="B2">
        <f>[1]SYSREV!C2</f>
        <v>0</v>
      </c>
      <c r="C2">
        <f>[1]SYSREV!D2</f>
        <v>0</v>
      </c>
      <c r="D2" t="e">
        <f>C2/B2*100</f>
        <v>#DIV/0!</v>
      </c>
    </row>
    <row r="3" spans="1:4" x14ac:dyDescent="0.3">
      <c r="A3">
        <f>A2+1</f>
        <v>1991</v>
      </c>
      <c r="B3">
        <f>[1]SYSREV!C3</f>
        <v>0</v>
      </c>
      <c r="C3">
        <f>[1]SYSREV!D3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[1]SYSREV!C4</f>
        <v>0</v>
      </c>
      <c r="C4">
        <f>[1]SYSREV!D4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[1]SYSREV!C5</f>
        <v>0</v>
      </c>
      <c r="C5">
        <f>[1]SYSREV!D5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[1]SYSREV!C6</f>
        <v>0</v>
      </c>
      <c r="C6">
        <f>[1]SYSREV!D6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[1]SYSREV!C7</f>
        <v>3</v>
      </c>
      <c r="C7">
        <f>[1]SYSREV!D7</f>
        <v>3</v>
      </c>
      <c r="D7">
        <f t="shared" si="0"/>
        <v>100</v>
      </c>
    </row>
    <row r="8" spans="1:4" x14ac:dyDescent="0.3">
      <c r="A8">
        <f t="shared" si="1"/>
        <v>1996</v>
      </c>
      <c r="B8">
        <f>[1]SYSREV!C8</f>
        <v>4</v>
      </c>
      <c r="C8">
        <f>[1]SYSREV!D8</f>
        <v>4</v>
      </c>
      <c r="D8">
        <f t="shared" si="0"/>
        <v>100</v>
      </c>
    </row>
    <row r="9" spans="1:4" x14ac:dyDescent="0.3">
      <c r="A9">
        <f t="shared" si="1"/>
        <v>1997</v>
      </c>
      <c r="B9">
        <f>[1]SYSREV!C9</f>
        <v>9</v>
      </c>
      <c r="C9">
        <f>[1]SYSREV!D9</f>
        <v>9</v>
      </c>
      <c r="D9">
        <f t="shared" si="0"/>
        <v>100</v>
      </c>
    </row>
    <row r="10" spans="1:4" x14ac:dyDescent="0.3">
      <c r="A10">
        <f t="shared" si="1"/>
        <v>1998</v>
      </c>
      <c r="B10">
        <f>[1]SYSREV!C10</f>
        <v>8</v>
      </c>
      <c r="C10">
        <f>[1]SYSREV!D10</f>
        <v>7</v>
      </c>
      <c r="D10">
        <f t="shared" si="0"/>
        <v>87.5</v>
      </c>
    </row>
    <row r="11" spans="1:4" x14ac:dyDescent="0.3">
      <c r="A11">
        <f t="shared" si="1"/>
        <v>1999</v>
      </c>
      <c r="B11">
        <f>[1]SYSREV!C11</f>
        <v>17</v>
      </c>
      <c r="C11">
        <f>[1]SYSREV!D11</f>
        <v>15</v>
      </c>
      <c r="D11">
        <f t="shared" si="0"/>
        <v>88.235294117647058</v>
      </c>
    </row>
    <row r="12" spans="1:4" x14ac:dyDescent="0.3">
      <c r="A12">
        <f t="shared" si="1"/>
        <v>2000</v>
      </c>
      <c r="B12">
        <f>[1]SYSREV!C12</f>
        <v>74</v>
      </c>
      <c r="C12">
        <f>[1]SYSREV!D12</f>
        <v>63</v>
      </c>
      <c r="D12">
        <f t="shared" si="0"/>
        <v>85.13513513513513</v>
      </c>
    </row>
    <row r="13" spans="1:4" x14ac:dyDescent="0.3">
      <c r="A13">
        <f t="shared" si="1"/>
        <v>2001</v>
      </c>
      <c r="B13">
        <f>[1]SYSREV!C13</f>
        <v>70</v>
      </c>
      <c r="C13">
        <f>[1]SYSREV!D13</f>
        <v>60</v>
      </c>
      <c r="D13">
        <f t="shared" si="0"/>
        <v>85.714285714285708</v>
      </c>
    </row>
    <row r="14" spans="1:4" x14ac:dyDescent="0.3">
      <c r="A14">
        <f t="shared" si="1"/>
        <v>2002</v>
      </c>
      <c r="B14">
        <f>[1]SYSREV!C14</f>
        <v>92</v>
      </c>
      <c r="C14">
        <f>[1]SYSREV!D14</f>
        <v>75</v>
      </c>
      <c r="D14">
        <f t="shared" si="0"/>
        <v>81.521739130434781</v>
      </c>
    </row>
    <row r="15" spans="1:4" x14ac:dyDescent="0.3">
      <c r="A15">
        <f t="shared" si="1"/>
        <v>2003</v>
      </c>
      <c r="B15">
        <f>[1]SYSREV!C15</f>
        <v>136</v>
      </c>
      <c r="C15">
        <f>[1]SYSREV!D15</f>
        <v>121</v>
      </c>
      <c r="D15">
        <f t="shared" si="0"/>
        <v>88.970588235294116</v>
      </c>
    </row>
    <row r="16" spans="1:4" x14ac:dyDescent="0.3">
      <c r="A16">
        <f t="shared" si="1"/>
        <v>2004</v>
      </c>
      <c r="B16">
        <f>[1]SYSREV!C16</f>
        <v>170</v>
      </c>
      <c r="C16">
        <f>[1]SYSREV!D16</f>
        <v>144</v>
      </c>
      <c r="D16">
        <f t="shared" si="0"/>
        <v>84.705882352941174</v>
      </c>
    </row>
    <row r="17" spans="1:4" x14ac:dyDescent="0.3">
      <c r="A17">
        <f t="shared" si="1"/>
        <v>2005</v>
      </c>
      <c r="B17">
        <f>[1]SYSREV!C17</f>
        <v>212</v>
      </c>
      <c r="C17">
        <f>[1]SYSREV!D17</f>
        <v>188</v>
      </c>
      <c r="D17">
        <f t="shared" si="0"/>
        <v>88.679245283018872</v>
      </c>
    </row>
    <row r="18" spans="1:4" x14ac:dyDescent="0.3">
      <c r="A18">
        <f t="shared" si="1"/>
        <v>2006</v>
      </c>
      <c r="B18">
        <f>[1]SYSREV!C18</f>
        <v>269</v>
      </c>
      <c r="C18">
        <f>[1]SYSREV!D18</f>
        <v>244</v>
      </c>
      <c r="D18">
        <f t="shared" si="0"/>
        <v>90.706319702602229</v>
      </c>
    </row>
    <row r="19" spans="1:4" x14ac:dyDescent="0.3">
      <c r="A19">
        <f t="shared" si="1"/>
        <v>2007</v>
      </c>
      <c r="B19">
        <f>[1]SYSREV!C19</f>
        <v>383</v>
      </c>
      <c r="C19">
        <f>[1]SYSREV!D19</f>
        <v>337</v>
      </c>
      <c r="D19">
        <f t="shared" si="0"/>
        <v>87.989556135770229</v>
      </c>
    </row>
    <row r="20" spans="1:4" x14ac:dyDescent="0.3">
      <c r="A20">
        <f t="shared" si="1"/>
        <v>2008</v>
      </c>
      <c r="B20">
        <f>[1]SYSREV!C20</f>
        <v>447</v>
      </c>
      <c r="C20">
        <f>[1]SYSREV!D20</f>
        <v>391</v>
      </c>
      <c r="D20">
        <f t="shared" si="0"/>
        <v>87.472035794183441</v>
      </c>
    </row>
    <row r="21" spans="1:4" x14ac:dyDescent="0.3">
      <c r="A21">
        <f t="shared" si="1"/>
        <v>2009</v>
      </c>
      <c r="B21">
        <f>[1]SYSREV!C21</f>
        <v>568</v>
      </c>
      <c r="C21">
        <f>[1]SYSREV!D21</f>
        <v>505</v>
      </c>
      <c r="D21">
        <f t="shared" si="0"/>
        <v>88.908450704225345</v>
      </c>
    </row>
    <row r="22" spans="1:4" x14ac:dyDescent="0.3">
      <c r="A22">
        <f t="shared" si="1"/>
        <v>2010</v>
      </c>
      <c r="B22">
        <f>[1]SYSREV!C22</f>
        <v>718</v>
      </c>
      <c r="C22">
        <f>[1]SYSREV!D22</f>
        <v>634</v>
      </c>
      <c r="D22">
        <f t="shared" si="0"/>
        <v>88.300835654596099</v>
      </c>
    </row>
    <row r="23" spans="1:4" x14ac:dyDescent="0.3">
      <c r="A23">
        <f t="shared" si="1"/>
        <v>2011</v>
      </c>
      <c r="B23">
        <f>[1]SYSREV!C23</f>
        <v>892</v>
      </c>
      <c r="C23">
        <f>[1]SYSREV!D23</f>
        <v>792</v>
      </c>
      <c r="D23">
        <f t="shared" si="0"/>
        <v>88.789237668161434</v>
      </c>
    </row>
    <row r="24" spans="1:4" x14ac:dyDescent="0.3">
      <c r="A24">
        <f t="shared" si="1"/>
        <v>2012</v>
      </c>
      <c r="B24">
        <f>[1]SYSREV!C24</f>
        <v>1290</v>
      </c>
      <c r="C24">
        <f>[1]SYSREV!D24</f>
        <v>1138</v>
      </c>
      <c r="D24">
        <f t="shared" si="0"/>
        <v>88.217054263565885</v>
      </c>
    </row>
    <row r="25" spans="1:4" x14ac:dyDescent="0.3">
      <c r="A25">
        <f t="shared" si="1"/>
        <v>2013</v>
      </c>
      <c r="B25">
        <f>[1]SYSREV!C25</f>
        <v>1722</v>
      </c>
      <c r="C25">
        <f>[1]SYSREV!D25</f>
        <v>1539</v>
      </c>
      <c r="D25">
        <f t="shared" si="0"/>
        <v>89.37282229965156</v>
      </c>
    </row>
    <row r="26" spans="1:4" x14ac:dyDescent="0.3">
      <c r="A26">
        <f t="shared" si="1"/>
        <v>2014</v>
      </c>
      <c r="B26">
        <f>[1]SYSREV!C26</f>
        <v>2115</v>
      </c>
      <c r="C26">
        <f>[1]SYSREV!D26</f>
        <v>1884</v>
      </c>
      <c r="D26">
        <f t="shared" si="0"/>
        <v>89.078014184397162</v>
      </c>
    </row>
    <row r="27" spans="1:4" x14ac:dyDescent="0.3">
      <c r="A27">
        <f t="shared" si="1"/>
        <v>2015</v>
      </c>
      <c r="B27">
        <f>[1]SYSREV!C27</f>
        <v>2676</v>
      </c>
      <c r="C27">
        <f>[1]SYSREV!D27</f>
        <v>2400</v>
      </c>
      <c r="D27">
        <f t="shared" si="0"/>
        <v>89.68609865470853</v>
      </c>
    </row>
    <row r="28" spans="1:4" x14ac:dyDescent="0.3">
      <c r="A28">
        <f t="shared" si="1"/>
        <v>2016</v>
      </c>
      <c r="B28">
        <f>[1]SYSREV!C28</f>
        <v>3008</v>
      </c>
      <c r="C28">
        <f>[1]SYSREV!D28</f>
        <v>2701</v>
      </c>
      <c r="D28">
        <f t="shared" si="0"/>
        <v>89.793882978723403</v>
      </c>
    </row>
    <row r="29" spans="1:4" x14ac:dyDescent="0.3">
      <c r="A29">
        <f t="shared" si="1"/>
        <v>2017</v>
      </c>
      <c r="B29">
        <f>[1]SYSREV!C29</f>
        <v>3552</v>
      </c>
      <c r="C29">
        <f>[1]SYSREV!D29</f>
        <v>3177</v>
      </c>
      <c r="D29">
        <f t="shared" si="0"/>
        <v>89.442567567567565</v>
      </c>
    </row>
    <row r="30" spans="1:4" x14ac:dyDescent="0.3">
      <c r="A30">
        <f t="shared" si="1"/>
        <v>2018</v>
      </c>
      <c r="B30">
        <f>[1]SYSREV!C30</f>
        <v>4190</v>
      </c>
      <c r="C30">
        <f>[1]SYSREV!D30</f>
        <v>3746</v>
      </c>
      <c r="D30">
        <f t="shared" si="0"/>
        <v>89.403341288782812</v>
      </c>
    </row>
    <row r="31" spans="1:4" x14ac:dyDescent="0.3">
      <c r="A31">
        <f t="shared" si="1"/>
        <v>2019</v>
      </c>
      <c r="B31">
        <f>[1]SYSREV!C31</f>
        <v>5191</v>
      </c>
      <c r="C31">
        <f>[1]SYSREV!D31</f>
        <v>4689</v>
      </c>
      <c r="D31">
        <f t="shared" si="0"/>
        <v>90.329416297437874</v>
      </c>
    </row>
    <row r="32" spans="1:4" x14ac:dyDescent="0.3">
      <c r="A32">
        <f t="shared" si="1"/>
        <v>2020</v>
      </c>
      <c r="B32">
        <f>[1]SYSREV!C32</f>
        <v>6356</v>
      </c>
      <c r="C32">
        <f>[1]SYSREV!D32</f>
        <v>5726</v>
      </c>
      <c r="D32">
        <f t="shared" si="0"/>
        <v>90.088105726872243</v>
      </c>
    </row>
    <row r="33" spans="1:4" x14ac:dyDescent="0.3">
      <c r="A33">
        <f t="shared" si="1"/>
        <v>2021</v>
      </c>
      <c r="B33">
        <f>[1]SYSREV!C33</f>
        <v>7555</v>
      </c>
      <c r="C33">
        <f>[1]SYSREV!D33</f>
        <v>6840</v>
      </c>
      <c r="D33">
        <f t="shared" si="0"/>
        <v>90.536068828590331</v>
      </c>
    </row>
    <row r="34" spans="1:4" x14ac:dyDescent="0.3">
      <c r="A34">
        <f t="shared" si="1"/>
        <v>2022</v>
      </c>
      <c r="B34">
        <f>[1]SYSREV!C34</f>
        <v>7720</v>
      </c>
      <c r="C34">
        <f>[1]SYSREV!D34</f>
        <v>7019</v>
      </c>
      <c r="D34">
        <f t="shared" si="0"/>
        <v>90.919689119170982</v>
      </c>
    </row>
    <row r="35" spans="1:4" x14ac:dyDescent="0.3">
      <c r="A35">
        <f t="shared" si="1"/>
        <v>2023</v>
      </c>
      <c r="B35">
        <f>[1]SYSREV!C35</f>
        <v>7557</v>
      </c>
      <c r="C35">
        <f>[1]SYSREV!D35</f>
        <v>6887</v>
      </c>
      <c r="D35">
        <f t="shared" si="0"/>
        <v>91.134047902606852</v>
      </c>
    </row>
    <row r="36" spans="1:4" x14ac:dyDescent="0.3">
      <c r="A36">
        <f t="shared" si="1"/>
        <v>2024</v>
      </c>
      <c r="B36">
        <f>[1]SYSREV!C36</f>
        <v>8563</v>
      </c>
      <c r="C36">
        <f>[1]SYSREV!D36</f>
        <v>7868</v>
      </c>
      <c r="D36">
        <f t="shared" si="0"/>
        <v>91.883685624197128</v>
      </c>
    </row>
    <row r="37" spans="1:4" x14ac:dyDescent="0.3">
      <c r="A37">
        <f t="shared" si="1"/>
        <v>2025</v>
      </c>
      <c r="B37">
        <f>[1]SYSREV!C37</f>
        <v>6346</v>
      </c>
      <c r="C37">
        <f>[1]SYSREV!D37</f>
        <v>5816</v>
      </c>
      <c r="D37">
        <f t="shared" si="0"/>
        <v>91.648282382603213</v>
      </c>
    </row>
    <row r="38" spans="1:4" x14ac:dyDescent="0.3">
      <c r="A38" t="s">
        <v>9</v>
      </c>
      <c r="B38">
        <f>[1]SYSREV!C38</f>
        <v>71913</v>
      </c>
      <c r="C38">
        <f>[1]SYSREV!D38</f>
        <v>65022</v>
      </c>
      <c r="D38">
        <f t="shared" si="0"/>
        <v>90.417587918735137</v>
      </c>
    </row>
    <row r="39" spans="1:4" x14ac:dyDescent="0.3">
      <c r="A39" t="s">
        <v>7</v>
      </c>
      <c r="B39">
        <f>[1]SYSREV!C39</f>
        <v>8563</v>
      </c>
      <c r="C39">
        <f>[1]SYSREV!D39</f>
        <v>7868</v>
      </c>
      <c r="D39">
        <f t="shared" si="0"/>
        <v>91.883685624197128</v>
      </c>
    </row>
    <row r="40" spans="1:4" x14ac:dyDescent="0.3">
      <c r="A40" t="s">
        <v>8</v>
      </c>
      <c r="B40">
        <f>[1]SYSREV!C40</f>
        <v>0</v>
      </c>
      <c r="C40">
        <f>[1]SYSREV!D40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96.06557377049181</v>
      </c>
      <c r="C2">
        <f>CT!D2</f>
        <v>97.913950456323334</v>
      </c>
      <c r="D2">
        <f>META!D2</f>
        <v>90</v>
      </c>
      <c r="E2">
        <f>REVIEW!D2</f>
        <v>98.387096774193552</v>
      </c>
      <c r="F2">
        <f>CCJ!D2</f>
        <v>98.112369531423496</v>
      </c>
      <c r="G2">
        <f>ALL!D2</f>
        <v>98.003179947624403</v>
      </c>
      <c r="I2" t="str">
        <v>Randomized controlled trial</v>
      </c>
      <c r="J2">
        <v>96.06557377049181</v>
      </c>
      <c r="K2">
        <v>95.345167652859971</v>
      </c>
      <c r="L2">
        <v>95.272206303724928</v>
      </c>
      <c r="M2">
        <v>95.132039452752153</v>
      </c>
      <c r="N2">
        <v>94.593867670790743</v>
      </c>
      <c r="O2">
        <v>95.023923444976077</v>
      </c>
      <c r="P2">
        <v>95.572127709158707</v>
      </c>
      <c r="Q2">
        <v>94.60762823323104</v>
      </c>
      <c r="R2">
        <v>94.282188399835448</v>
      </c>
      <c r="S2">
        <v>94.164653410146812</v>
      </c>
      <c r="T2">
        <v>94.121004566210047</v>
      </c>
      <c r="U2">
        <v>93.59219919902489</v>
      </c>
      <c r="V2">
        <v>93.477542932628793</v>
      </c>
      <c r="W2">
        <v>93.235805330243338</v>
      </c>
      <c r="X2">
        <v>93.423948220064716</v>
      </c>
      <c r="Y2">
        <v>92.69911504424779</v>
      </c>
      <c r="Z2">
        <v>92.879798753144485</v>
      </c>
      <c r="AA2">
        <v>92.892792972649232</v>
      </c>
      <c r="AB2">
        <v>92.660638707195076</v>
      </c>
      <c r="AC2">
        <v>92.663849680841508</v>
      </c>
      <c r="AD2">
        <v>92.314714914100762</v>
      </c>
      <c r="AE2">
        <v>92.558902475395172</v>
      </c>
      <c r="AF2">
        <v>92.357205772748827</v>
      </c>
      <c r="AG2">
        <v>92.125984251968504</v>
      </c>
      <c r="AH2">
        <v>92.004490457777223</v>
      </c>
      <c r="AI2">
        <v>91.601683376655529</v>
      </c>
      <c r="AJ2">
        <v>91.259837481604706</v>
      </c>
      <c r="AK2">
        <v>91.163026917216854</v>
      </c>
      <c r="AL2">
        <v>90.702062593532446</v>
      </c>
      <c r="AM2">
        <v>90.632547816437096</v>
      </c>
      <c r="AN2">
        <v>90.104730949801365</v>
      </c>
      <c r="AO2">
        <v>90.350520258094519</v>
      </c>
      <c r="AP2">
        <v>90.403245337854202</v>
      </c>
      <c r="AQ2">
        <v>90.18161955482725</v>
      </c>
      <c r="AR2">
        <v>90.987518355359768</v>
      </c>
      <c r="AS2">
        <v>90.714492334393981</v>
      </c>
    </row>
    <row r="3" spans="1:45" x14ac:dyDescent="0.3">
      <c r="A3">
        <v>1991</v>
      </c>
      <c r="B3">
        <f>RCT!D3</f>
        <v>95.345167652859971</v>
      </c>
      <c r="C3">
        <f>CT!D3</f>
        <v>98.412698412698404</v>
      </c>
      <c r="D3">
        <f>META!D3</f>
        <v>89.189189189189193</v>
      </c>
      <c r="E3">
        <f>REVIEW!D3</f>
        <v>96.618357487922708</v>
      </c>
      <c r="F3">
        <f>CCJ!D3</f>
        <v>98.428571428571431</v>
      </c>
      <c r="G3">
        <f>ALL!D3</f>
        <v>98.066452304394431</v>
      </c>
      <c r="I3" t="str">
        <v>Clinical trial</v>
      </c>
      <c r="J3">
        <v>97.913950456323334</v>
      </c>
      <c r="K3">
        <v>98.412698412698404</v>
      </c>
      <c r="L3">
        <v>98.012422360248451</v>
      </c>
      <c r="M3">
        <v>96.832579185520359</v>
      </c>
      <c r="N3">
        <v>97.356426618049227</v>
      </c>
      <c r="O3">
        <v>97.169811320754718</v>
      </c>
      <c r="P3">
        <v>96.689895470383277</v>
      </c>
      <c r="Q3">
        <v>97.227497151538174</v>
      </c>
      <c r="R3">
        <v>97.047028800583305</v>
      </c>
      <c r="S3">
        <v>96.865104496516778</v>
      </c>
      <c r="T3">
        <v>96.706028589185834</v>
      </c>
      <c r="U3">
        <v>97.185741088180109</v>
      </c>
      <c r="V3">
        <v>96.026261230131311</v>
      </c>
      <c r="W3">
        <v>96.716826265389884</v>
      </c>
      <c r="X3">
        <v>96.503318019397653</v>
      </c>
      <c r="Y3">
        <v>96.243494003168138</v>
      </c>
      <c r="Z3">
        <v>95.386444708680145</v>
      </c>
      <c r="AA3">
        <v>95.394893820090672</v>
      </c>
      <c r="AB3">
        <v>95.100279258695096</v>
      </c>
      <c r="AC3">
        <v>95.683074493287705</v>
      </c>
      <c r="AD3">
        <v>95.638004512409125</v>
      </c>
      <c r="AE3">
        <v>95.650301464254952</v>
      </c>
      <c r="AF3">
        <v>95.359719243517262</v>
      </c>
      <c r="AG3">
        <v>95.652173913043484</v>
      </c>
      <c r="AH3">
        <v>95.643680406329352</v>
      </c>
      <c r="AI3">
        <v>95.515125872646507</v>
      </c>
      <c r="AJ3">
        <v>95.227660092524957</v>
      </c>
      <c r="AK3">
        <v>94.429984383133785</v>
      </c>
      <c r="AL3">
        <v>94.432828018818611</v>
      </c>
      <c r="AM3">
        <v>94.956429891734885</v>
      </c>
      <c r="AN3">
        <v>95.815052311846102</v>
      </c>
      <c r="AO3">
        <v>94.902386117136658</v>
      </c>
      <c r="AP3">
        <v>94.430992736077485</v>
      </c>
      <c r="AQ3">
        <v>94.487717195925697</v>
      </c>
      <c r="AR3">
        <v>93.482983345401877</v>
      </c>
      <c r="AS3">
        <v>95.490417136414891</v>
      </c>
    </row>
    <row r="4" spans="1:45" x14ac:dyDescent="0.3">
      <c r="A4">
        <f>A2+2</f>
        <v>1992</v>
      </c>
      <c r="B4">
        <f>RCT!D4</f>
        <v>95.272206303724928</v>
      </c>
      <c r="C4">
        <f>CT!D4</f>
        <v>98.012422360248451</v>
      </c>
      <c r="D4">
        <f>META!D4</f>
        <v>90.909090909090907</v>
      </c>
      <c r="E4">
        <f>REVIEW!D4</f>
        <v>97.826086956521735</v>
      </c>
      <c r="F4">
        <f>CCJ!D4</f>
        <v>97.898775808514529</v>
      </c>
      <c r="G4">
        <f>ALL!D4</f>
        <v>98.010955285342447</v>
      </c>
      <c r="I4" t="str">
        <v>Meta-analysis</v>
      </c>
      <c r="J4">
        <v>90</v>
      </c>
      <c r="K4">
        <v>89.189189189189193</v>
      </c>
      <c r="L4">
        <v>90.909090909090907</v>
      </c>
      <c r="M4">
        <v>96.721311475409834</v>
      </c>
      <c r="N4">
        <v>92.307692307692307</v>
      </c>
      <c r="O4">
        <v>92.222222222222229</v>
      </c>
      <c r="P4">
        <v>94.791666666666657</v>
      </c>
      <c r="Q4">
        <v>95.041322314049594</v>
      </c>
      <c r="R4">
        <v>87.931034482758619</v>
      </c>
      <c r="S4">
        <v>96.124031007751938</v>
      </c>
      <c r="T4">
        <v>93.220338983050837</v>
      </c>
      <c r="U4">
        <v>86.82634730538922</v>
      </c>
      <c r="V4">
        <v>91.549295774647888</v>
      </c>
      <c r="W4">
        <v>87.301587301587304</v>
      </c>
      <c r="X4">
        <v>86.127167630057798</v>
      </c>
      <c r="Y4">
        <v>88.866396761133601</v>
      </c>
      <c r="Z4">
        <v>89.608177172061332</v>
      </c>
      <c r="AA4">
        <v>88.785046728971963</v>
      </c>
      <c r="AB4">
        <v>88.901601830663608</v>
      </c>
      <c r="AC4">
        <v>89.159891598915991</v>
      </c>
      <c r="AD4">
        <v>88.203017832647461</v>
      </c>
      <c r="AE4">
        <v>89.220647773279353</v>
      </c>
      <c r="AF4">
        <v>89.123196448390672</v>
      </c>
      <c r="AG4">
        <v>89.297752808988761</v>
      </c>
      <c r="AH4">
        <v>89.790143834001412</v>
      </c>
      <c r="AI4">
        <v>89.915446483811095</v>
      </c>
      <c r="AJ4">
        <v>90.316166235832171</v>
      </c>
      <c r="AK4">
        <v>89.312695780357473</v>
      </c>
      <c r="AL4">
        <v>89.006486855582111</v>
      </c>
      <c r="AM4">
        <v>89.959963042808738</v>
      </c>
      <c r="AN4">
        <v>90.102301790281331</v>
      </c>
      <c r="AO4">
        <v>90.064315812818805</v>
      </c>
      <c r="AP4">
        <v>90.320512820512818</v>
      </c>
      <c r="AQ4">
        <v>90.926109459310638</v>
      </c>
      <c r="AR4">
        <v>91.768826619964969</v>
      </c>
      <c r="AS4">
        <v>91.40764849471114</v>
      </c>
    </row>
    <row r="5" spans="1:45" x14ac:dyDescent="0.3">
      <c r="A5">
        <f t="shared" ref="A5:A36" si="0">A3+2</f>
        <v>1993</v>
      </c>
      <c r="B5">
        <f>RCT!D5</f>
        <v>95.132039452752153</v>
      </c>
      <c r="C5">
        <f>CT!D5</f>
        <v>96.832579185520359</v>
      </c>
      <c r="D5">
        <f>META!D5</f>
        <v>96.721311475409834</v>
      </c>
      <c r="E5">
        <f>REVIEW!D5</f>
        <v>95.391705069124427</v>
      </c>
      <c r="F5">
        <f>CCJ!D5</f>
        <v>97.32850741123751</v>
      </c>
      <c r="G5">
        <f>ALL!D5</f>
        <v>97.52080877362198</v>
      </c>
      <c r="I5" t="str">
        <v>Review</v>
      </c>
      <c r="J5">
        <v>98.387096774193552</v>
      </c>
      <c r="K5">
        <v>96.618357487922708</v>
      </c>
      <c r="L5">
        <v>97.826086956521735</v>
      </c>
      <c r="M5">
        <v>95.391705069124427</v>
      </c>
      <c r="N5">
        <v>94.930875576036868</v>
      </c>
      <c r="O5">
        <v>93.680297397769522</v>
      </c>
      <c r="P5">
        <v>95.9375</v>
      </c>
      <c r="Q5">
        <v>96.507936507936506</v>
      </c>
      <c r="R5">
        <v>95.439739413680783</v>
      </c>
      <c r="S5">
        <v>96.92307692307692</v>
      </c>
      <c r="T5">
        <v>91.83673469387756</v>
      </c>
      <c r="U5">
        <v>94.855305466237937</v>
      </c>
      <c r="V5">
        <v>88.150289017341038</v>
      </c>
      <c r="W5">
        <v>94.488188976377955</v>
      </c>
      <c r="X5">
        <v>94.045534150612966</v>
      </c>
      <c r="Y5">
        <v>91.368421052631575</v>
      </c>
      <c r="Z5">
        <v>94.063926940639263</v>
      </c>
      <c r="AA5">
        <v>93.574297188755011</v>
      </c>
      <c r="AB5">
        <v>91.242362525458248</v>
      </c>
      <c r="AC5">
        <v>91.911764705882348</v>
      </c>
      <c r="AD5">
        <v>93.037974683544306</v>
      </c>
      <c r="AE5">
        <v>92.479108635097489</v>
      </c>
      <c r="AF5">
        <v>91.587677725118482</v>
      </c>
      <c r="AG5">
        <v>92.687950566426366</v>
      </c>
      <c r="AH5">
        <v>91.9921875</v>
      </c>
      <c r="AI5">
        <v>92.070484581497809</v>
      </c>
      <c r="AJ5">
        <v>91.350040420371869</v>
      </c>
      <c r="AK5">
        <v>89.903069466882073</v>
      </c>
      <c r="AL5">
        <v>89.07630522088354</v>
      </c>
      <c r="AM5">
        <v>90.763358778625957</v>
      </c>
      <c r="AN5">
        <v>90.591900311526473</v>
      </c>
      <c r="AO5">
        <v>91.827637444279347</v>
      </c>
      <c r="AP5">
        <v>92.165354330708666</v>
      </c>
      <c r="AQ5">
        <v>92.273098937040061</v>
      </c>
      <c r="AR5">
        <v>92.457142857142856</v>
      </c>
      <c r="AS5">
        <v>93.537015276145709</v>
      </c>
    </row>
    <row r="6" spans="1:45" x14ac:dyDescent="0.3">
      <c r="A6">
        <f t="shared" si="0"/>
        <v>1994</v>
      </c>
      <c r="B6">
        <f>RCT!D6</f>
        <v>94.593867670790743</v>
      </c>
      <c r="C6">
        <f>CT!D6</f>
        <v>97.356426618049227</v>
      </c>
      <c r="D6">
        <f>META!D6</f>
        <v>92.307692307692307</v>
      </c>
      <c r="E6">
        <f>REVIEW!D6</f>
        <v>94.930875576036868</v>
      </c>
      <c r="F6">
        <f>CCJ!D6</f>
        <v>97.034956304619229</v>
      </c>
      <c r="G6">
        <f>ALL!D6</f>
        <v>97.385599367005142</v>
      </c>
      <c r="I6" t="str">
        <v>Core clinical journal</v>
      </c>
      <c r="J6">
        <v>98.112369531423496</v>
      </c>
      <c r="K6">
        <v>98.428571428571431</v>
      </c>
      <c r="L6">
        <v>97.898775808514529</v>
      </c>
      <c r="M6">
        <v>97.32850741123751</v>
      </c>
      <c r="N6">
        <v>97.034956304619229</v>
      </c>
      <c r="O6">
        <v>97.223051657211116</v>
      </c>
      <c r="P6">
        <v>97.327911704908516</v>
      </c>
      <c r="Q6">
        <v>97.08070175438597</v>
      </c>
      <c r="R6">
        <v>96.593776282590412</v>
      </c>
      <c r="S6">
        <v>96.281826754681404</v>
      </c>
      <c r="T6">
        <v>96.912990028684604</v>
      </c>
      <c r="U6">
        <v>96.517346803137045</v>
      </c>
      <c r="V6">
        <v>96.034963263237898</v>
      </c>
      <c r="W6">
        <v>96.008682020981553</v>
      </c>
      <c r="X6">
        <v>95.402035914445833</v>
      </c>
      <c r="Y6">
        <v>95.388064481691046</v>
      </c>
      <c r="Z6">
        <v>95.464007888681934</v>
      </c>
      <c r="AA6">
        <v>95.304759853542961</v>
      </c>
      <c r="AB6">
        <v>94.916148085644963</v>
      </c>
      <c r="AC6">
        <v>94.987709736026503</v>
      </c>
      <c r="AD6">
        <v>94.892686804451515</v>
      </c>
      <c r="AE6">
        <v>95.088689681480062</v>
      </c>
      <c r="AF6">
        <v>94.767606297727909</v>
      </c>
      <c r="AG6">
        <v>94.700223329324857</v>
      </c>
      <c r="AH6">
        <v>94.160401002506262</v>
      </c>
      <c r="AI6">
        <v>94.227719632096424</v>
      </c>
      <c r="AJ6">
        <v>94.299360603959641</v>
      </c>
      <c r="AK6">
        <v>93.649635036496349</v>
      </c>
      <c r="AL6">
        <v>93.233269757027955</v>
      </c>
      <c r="AM6">
        <v>93.694073949012321</v>
      </c>
      <c r="AN6">
        <v>93.48392701998263</v>
      </c>
      <c r="AO6">
        <v>93.517855722580137</v>
      </c>
      <c r="AP6">
        <v>93.311291963377414</v>
      </c>
      <c r="AQ6">
        <v>93.439309014058622</v>
      </c>
      <c r="AR6">
        <v>93.847503900155999</v>
      </c>
      <c r="AS6">
        <v>93.624311038283921</v>
      </c>
    </row>
    <row r="7" spans="1:45" x14ac:dyDescent="0.3">
      <c r="A7">
        <f t="shared" si="0"/>
        <v>1995</v>
      </c>
      <c r="B7">
        <f>RCT!D7</f>
        <v>95.023923444976077</v>
      </c>
      <c r="C7">
        <f>CT!D7</f>
        <v>97.169811320754718</v>
      </c>
      <c r="D7">
        <f>META!D7</f>
        <v>92.222222222222229</v>
      </c>
      <c r="E7">
        <f>REVIEW!D7</f>
        <v>93.680297397769522</v>
      </c>
      <c r="F7">
        <f>CCJ!D7</f>
        <v>97.223051657211116</v>
      </c>
      <c r="G7">
        <f>ALL!D7</f>
        <v>97.169380611779033</v>
      </c>
      <c r="I7" t="str">
        <v>All MEDLINE</v>
      </c>
      <c r="J7">
        <v>98.003179947624403</v>
      </c>
      <c r="K7">
        <v>98.066452304394431</v>
      </c>
      <c r="L7">
        <v>98.010955285342447</v>
      </c>
      <c r="M7">
        <v>97.52080877362198</v>
      </c>
      <c r="N7">
        <v>97.385599367005142</v>
      </c>
      <c r="O7">
        <v>97.169380611779033</v>
      </c>
      <c r="P7">
        <v>97.134037552037611</v>
      </c>
      <c r="Q7">
        <v>97.065877838183567</v>
      </c>
      <c r="R7">
        <v>96.812597947525404</v>
      </c>
      <c r="S7">
        <v>96.839012369082027</v>
      </c>
      <c r="T7">
        <v>96.720417896888492</v>
      </c>
      <c r="U7">
        <v>96.639316384661171</v>
      </c>
      <c r="V7">
        <v>96.41501225974848</v>
      </c>
      <c r="W7">
        <v>96.300500124144293</v>
      </c>
      <c r="X7">
        <v>96.142319096081422</v>
      </c>
      <c r="Y7">
        <v>96.125843947936247</v>
      </c>
      <c r="Z7">
        <v>96.024680589050234</v>
      </c>
      <c r="AA7">
        <v>96.05804026279732</v>
      </c>
      <c r="AB7">
        <v>95.90697573984302</v>
      </c>
      <c r="AC7">
        <v>95.882097525017414</v>
      </c>
      <c r="AD7">
        <v>95.648972980932044</v>
      </c>
      <c r="AE7">
        <v>95.642561335775213</v>
      </c>
      <c r="AF7">
        <v>95.628481656319735</v>
      </c>
      <c r="AG7">
        <v>95.513203279218274</v>
      </c>
      <c r="AH7">
        <v>95.488706775934446</v>
      </c>
      <c r="AI7">
        <v>95.432752000916892</v>
      </c>
      <c r="AJ7">
        <v>95.149115364067754</v>
      </c>
      <c r="AK7">
        <v>94.85282757683062</v>
      </c>
      <c r="AL7">
        <v>94.683149303888626</v>
      </c>
      <c r="AM7">
        <v>94.766490378817892</v>
      </c>
      <c r="AN7">
        <v>94.796306465718871</v>
      </c>
      <c r="AO7">
        <v>94.781364859232312</v>
      </c>
      <c r="AP7">
        <v>94.835472996489685</v>
      </c>
      <c r="AQ7">
        <v>94.872991898942743</v>
      </c>
      <c r="AR7">
        <v>94.964024945544793</v>
      </c>
      <c r="AS7">
        <v>95.272837228054399</v>
      </c>
    </row>
    <row r="8" spans="1:45" x14ac:dyDescent="0.3">
      <c r="A8">
        <f t="shared" si="0"/>
        <v>1996</v>
      </c>
      <c r="B8">
        <f>RCT!D8</f>
        <v>95.572127709158707</v>
      </c>
      <c r="C8">
        <f>CT!D8</f>
        <v>96.689895470383277</v>
      </c>
      <c r="D8">
        <f>META!D8</f>
        <v>94.791666666666657</v>
      </c>
      <c r="E8">
        <f>REVIEW!D8</f>
        <v>95.9375</v>
      </c>
      <c r="F8">
        <f>CCJ!D8</f>
        <v>97.327911704908516</v>
      </c>
      <c r="G8">
        <f>ALL!D8</f>
        <v>97.134037552037611</v>
      </c>
    </row>
    <row r="9" spans="1:45" x14ac:dyDescent="0.3">
      <c r="A9">
        <f t="shared" si="0"/>
        <v>1997</v>
      </c>
      <c r="B9">
        <f>RCT!D9</f>
        <v>94.60762823323104</v>
      </c>
      <c r="C9">
        <f>CT!D9</f>
        <v>97.227497151538174</v>
      </c>
      <c r="D9">
        <f>META!D9</f>
        <v>95.041322314049594</v>
      </c>
      <c r="E9">
        <f>REVIEW!D9</f>
        <v>96.507936507936506</v>
      </c>
      <c r="F9">
        <f>CCJ!D9</f>
        <v>97.08070175438597</v>
      </c>
      <c r="G9">
        <f>ALL!D9</f>
        <v>97.065877838183567</v>
      </c>
    </row>
    <row r="10" spans="1:45" x14ac:dyDescent="0.3">
      <c r="A10">
        <f t="shared" si="0"/>
        <v>1998</v>
      </c>
      <c r="B10">
        <f>RCT!D10</f>
        <v>94.282188399835448</v>
      </c>
      <c r="C10">
        <f>CT!D10</f>
        <v>97.047028800583305</v>
      </c>
      <c r="D10">
        <f>META!D10</f>
        <v>87.931034482758619</v>
      </c>
      <c r="E10">
        <f>REVIEW!D10</f>
        <v>95.439739413680783</v>
      </c>
      <c r="F10">
        <f>CCJ!D10</f>
        <v>96.593776282590412</v>
      </c>
      <c r="G10">
        <f>ALL!D10</f>
        <v>96.812597947525404</v>
      </c>
    </row>
    <row r="11" spans="1:45" x14ac:dyDescent="0.3">
      <c r="A11">
        <f t="shared" si="0"/>
        <v>1999</v>
      </c>
      <c r="B11">
        <f>RCT!D11</f>
        <v>94.164653410146812</v>
      </c>
      <c r="C11">
        <f>CT!D11</f>
        <v>96.865104496516778</v>
      </c>
      <c r="D11">
        <f>META!D11</f>
        <v>96.124031007751938</v>
      </c>
      <c r="E11">
        <f>REVIEW!D11</f>
        <v>96.92307692307692</v>
      </c>
      <c r="F11">
        <f>CCJ!D11</f>
        <v>96.281826754681404</v>
      </c>
      <c r="G11">
        <f>ALL!D11</f>
        <v>96.839012369082027</v>
      </c>
    </row>
    <row r="12" spans="1:45" x14ac:dyDescent="0.3">
      <c r="A12">
        <f t="shared" si="0"/>
        <v>2000</v>
      </c>
      <c r="B12">
        <f>RCT!D12</f>
        <v>94.121004566210047</v>
      </c>
      <c r="C12">
        <f>CT!D12</f>
        <v>96.706028589185834</v>
      </c>
      <c r="D12">
        <f>META!D12</f>
        <v>93.220338983050837</v>
      </c>
      <c r="E12">
        <f>REVIEW!D12</f>
        <v>91.83673469387756</v>
      </c>
      <c r="F12">
        <f>CCJ!D12</f>
        <v>96.912990028684604</v>
      </c>
      <c r="G12">
        <f>ALL!D12</f>
        <v>96.720417896888492</v>
      </c>
    </row>
    <row r="13" spans="1:45" x14ac:dyDescent="0.3">
      <c r="A13">
        <f t="shared" si="0"/>
        <v>2001</v>
      </c>
      <c r="B13">
        <f>RCT!D13</f>
        <v>93.59219919902489</v>
      </c>
      <c r="C13">
        <f>CT!D13</f>
        <v>97.185741088180109</v>
      </c>
      <c r="D13">
        <f>META!D13</f>
        <v>86.82634730538922</v>
      </c>
      <c r="E13">
        <f>REVIEW!D13</f>
        <v>94.855305466237937</v>
      </c>
      <c r="F13">
        <f>CCJ!D13</f>
        <v>96.517346803137045</v>
      </c>
      <c r="G13">
        <f>ALL!D13</f>
        <v>96.639316384661171</v>
      </c>
    </row>
    <row r="14" spans="1:45" x14ac:dyDescent="0.3">
      <c r="A14">
        <f t="shared" si="0"/>
        <v>2002</v>
      </c>
      <c r="B14">
        <f>RCT!D14</f>
        <v>93.477542932628793</v>
      </c>
      <c r="C14">
        <f>CT!D14</f>
        <v>96.026261230131311</v>
      </c>
      <c r="D14">
        <f>META!D14</f>
        <v>91.549295774647888</v>
      </c>
      <c r="E14">
        <f>REVIEW!D14</f>
        <v>88.150289017341038</v>
      </c>
      <c r="F14">
        <f>CCJ!D14</f>
        <v>96.034963263237898</v>
      </c>
      <c r="G14">
        <f>ALL!D14</f>
        <v>96.41501225974848</v>
      </c>
    </row>
    <row r="15" spans="1:45" x14ac:dyDescent="0.3">
      <c r="A15">
        <f t="shared" si="0"/>
        <v>2003</v>
      </c>
      <c r="B15">
        <f>RCT!D15</f>
        <v>93.235805330243338</v>
      </c>
      <c r="C15">
        <f>CT!D15</f>
        <v>96.716826265389884</v>
      </c>
      <c r="D15">
        <f>META!D15</f>
        <v>87.301587301587304</v>
      </c>
      <c r="E15">
        <f>REVIEW!D15</f>
        <v>94.488188976377955</v>
      </c>
      <c r="F15">
        <f>CCJ!D15</f>
        <v>96.008682020981553</v>
      </c>
      <c r="G15">
        <f>ALL!D15</f>
        <v>96.300500124144293</v>
      </c>
    </row>
    <row r="16" spans="1:45" x14ac:dyDescent="0.3">
      <c r="A16">
        <f t="shared" si="0"/>
        <v>2004</v>
      </c>
      <c r="B16">
        <f>RCT!D16</f>
        <v>93.423948220064716</v>
      </c>
      <c r="C16">
        <f>CT!D16</f>
        <v>96.503318019397653</v>
      </c>
      <c r="D16">
        <f>META!D16</f>
        <v>86.127167630057798</v>
      </c>
      <c r="E16">
        <f>REVIEW!D16</f>
        <v>94.045534150612966</v>
      </c>
      <c r="F16">
        <f>CCJ!D16</f>
        <v>95.402035914445833</v>
      </c>
      <c r="G16">
        <f>ALL!D16</f>
        <v>96.142319096081422</v>
      </c>
    </row>
    <row r="17" spans="1:7" x14ac:dyDescent="0.3">
      <c r="A17">
        <f t="shared" si="0"/>
        <v>2005</v>
      </c>
      <c r="B17">
        <f>RCT!D17</f>
        <v>92.69911504424779</v>
      </c>
      <c r="C17">
        <f>CT!D17</f>
        <v>96.243494003168138</v>
      </c>
      <c r="D17">
        <f>META!D17</f>
        <v>88.866396761133601</v>
      </c>
      <c r="E17">
        <f>REVIEW!D17</f>
        <v>91.368421052631575</v>
      </c>
      <c r="F17">
        <f>CCJ!D17</f>
        <v>95.388064481691046</v>
      </c>
      <c r="G17">
        <f>ALL!D17</f>
        <v>96.125843947936247</v>
      </c>
    </row>
    <row r="18" spans="1:7" x14ac:dyDescent="0.3">
      <c r="A18">
        <f t="shared" si="0"/>
        <v>2006</v>
      </c>
      <c r="B18">
        <f>RCT!D18</f>
        <v>92.879798753144485</v>
      </c>
      <c r="C18">
        <f>CT!D18</f>
        <v>95.386444708680145</v>
      </c>
      <c r="D18">
        <f>META!D18</f>
        <v>89.608177172061332</v>
      </c>
      <c r="E18">
        <f>REVIEW!D18</f>
        <v>94.063926940639263</v>
      </c>
      <c r="F18">
        <f>CCJ!D18</f>
        <v>95.464007888681934</v>
      </c>
      <c r="G18">
        <f>ALL!D18</f>
        <v>96.024680589050234</v>
      </c>
    </row>
    <row r="19" spans="1:7" x14ac:dyDescent="0.3">
      <c r="A19">
        <f t="shared" si="0"/>
        <v>2007</v>
      </c>
      <c r="B19">
        <f>RCT!D19</f>
        <v>92.892792972649232</v>
      </c>
      <c r="C19">
        <f>CT!D19</f>
        <v>95.394893820090672</v>
      </c>
      <c r="D19">
        <f>META!D19</f>
        <v>88.785046728971963</v>
      </c>
      <c r="E19">
        <f>REVIEW!D19</f>
        <v>93.574297188755011</v>
      </c>
      <c r="F19">
        <f>CCJ!D19</f>
        <v>95.304759853542961</v>
      </c>
      <c r="G19">
        <f>ALL!D19</f>
        <v>96.05804026279732</v>
      </c>
    </row>
    <row r="20" spans="1:7" x14ac:dyDescent="0.3">
      <c r="A20">
        <f t="shared" si="0"/>
        <v>2008</v>
      </c>
      <c r="B20">
        <f>RCT!D20</f>
        <v>92.660638707195076</v>
      </c>
      <c r="C20">
        <f>CT!D20</f>
        <v>95.100279258695096</v>
      </c>
      <c r="D20">
        <f>META!D20</f>
        <v>88.901601830663608</v>
      </c>
      <c r="E20">
        <f>REVIEW!D20</f>
        <v>91.242362525458248</v>
      </c>
      <c r="F20">
        <f>CCJ!D20</f>
        <v>94.916148085644963</v>
      </c>
      <c r="G20">
        <f>ALL!D20</f>
        <v>95.90697573984302</v>
      </c>
    </row>
    <row r="21" spans="1:7" x14ac:dyDescent="0.3">
      <c r="A21">
        <f t="shared" si="0"/>
        <v>2009</v>
      </c>
      <c r="B21">
        <f>RCT!D21</f>
        <v>92.663849680841508</v>
      </c>
      <c r="C21">
        <f>CT!D21</f>
        <v>95.683074493287705</v>
      </c>
      <c r="D21">
        <f>META!D21</f>
        <v>89.159891598915991</v>
      </c>
      <c r="E21">
        <f>REVIEW!D21</f>
        <v>91.911764705882348</v>
      </c>
      <c r="F21">
        <f>CCJ!D21</f>
        <v>94.987709736026503</v>
      </c>
      <c r="G21">
        <f>ALL!D21</f>
        <v>95.882097525017414</v>
      </c>
    </row>
    <row r="22" spans="1:7" x14ac:dyDescent="0.3">
      <c r="A22">
        <f t="shared" si="0"/>
        <v>2010</v>
      </c>
      <c r="B22">
        <f>RCT!D22</f>
        <v>92.314714914100762</v>
      </c>
      <c r="C22">
        <f>CT!D22</f>
        <v>95.638004512409125</v>
      </c>
      <c r="D22">
        <f>META!D22</f>
        <v>88.203017832647461</v>
      </c>
      <c r="E22">
        <f>REVIEW!D22</f>
        <v>93.037974683544306</v>
      </c>
      <c r="F22">
        <f>CCJ!D22</f>
        <v>94.892686804451515</v>
      </c>
      <c r="G22">
        <f>ALL!D22</f>
        <v>95.648972980932044</v>
      </c>
    </row>
    <row r="23" spans="1:7" x14ac:dyDescent="0.3">
      <c r="A23">
        <f t="shared" si="0"/>
        <v>2011</v>
      </c>
      <c r="B23">
        <f>RCT!D23</f>
        <v>92.558902475395172</v>
      </c>
      <c r="C23">
        <f>CT!D23</f>
        <v>95.650301464254952</v>
      </c>
      <c r="D23">
        <f>META!D23</f>
        <v>89.220647773279353</v>
      </c>
      <c r="E23">
        <f>REVIEW!D23</f>
        <v>92.479108635097489</v>
      </c>
      <c r="F23">
        <f>CCJ!D23</f>
        <v>95.088689681480062</v>
      </c>
      <c r="G23">
        <f>ALL!D23</f>
        <v>95.642561335775213</v>
      </c>
    </row>
    <row r="24" spans="1:7" x14ac:dyDescent="0.3">
      <c r="A24">
        <f>A22+2</f>
        <v>2012</v>
      </c>
      <c r="B24">
        <f>RCT!D24</f>
        <v>92.357205772748827</v>
      </c>
      <c r="C24">
        <f>CT!D24</f>
        <v>95.359719243517262</v>
      </c>
      <c r="D24">
        <f>META!D24</f>
        <v>89.123196448390672</v>
      </c>
      <c r="E24">
        <f>REVIEW!D24</f>
        <v>91.587677725118482</v>
      </c>
      <c r="F24">
        <f>CCJ!D24</f>
        <v>94.767606297727909</v>
      </c>
      <c r="G24">
        <f>ALL!D24</f>
        <v>95.628481656319735</v>
      </c>
    </row>
    <row r="25" spans="1:7" x14ac:dyDescent="0.3">
      <c r="A25">
        <f t="shared" si="0"/>
        <v>2013</v>
      </c>
      <c r="B25">
        <f>RCT!D25</f>
        <v>92.125984251968504</v>
      </c>
      <c r="C25">
        <f>CT!D25</f>
        <v>95.652173913043484</v>
      </c>
      <c r="D25">
        <f>META!D25</f>
        <v>89.297752808988761</v>
      </c>
      <c r="E25">
        <f>REVIEW!D25</f>
        <v>92.687950566426366</v>
      </c>
      <c r="F25">
        <f>CCJ!D25</f>
        <v>94.700223329324857</v>
      </c>
      <c r="G25">
        <f>ALL!D25</f>
        <v>95.513203279218274</v>
      </c>
    </row>
    <row r="26" spans="1:7" x14ac:dyDescent="0.3">
      <c r="A26">
        <f t="shared" si="0"/>
        <v>2014</v>
      </c>
      <c r="B26">
        <f>RCT!D26</f>
        <v>92.004490457777223</v>
      </c>
      <c r="C26">
        <f>CT!D26</f>
        <v>95.643680406329352</v>
      </c>
      <c r="D26">
        <f>META!D26</f>
        <v>89.790143834001412</v>
      </c>
      <c r="E26">
        <f>REVIEW!D26</f>
        <v>91.9921875</v>
      </c>
      <c r="F26">
        <f>CCJ!D26</f>
        <v>94.160401002506262</v>
      </c>
      <c r="G26">
        <f>ALL!D26</f>
        <v>95.488706775934446</v>
      </c>
    </row>
    <row r="27" spans="1:7" x14ac:dyDescent="0.3">
      <c r="A27">
        <f t="shared" si="0"/>
        <v>2015</v>
      </c>
      <c r="B27">
        <f>RCT!D27</f>
        <v>91.601683376655529</v>
      </c>
      <c r="C27">
        <f>CT!D27</f>
        <v>95.515125872646507</v>
      </c>
      <c r="D27">
        <f>META!D27</f>
        <v>89.915446483811095</v>
      </c>
      <c r="E27">
        <f>REVIEW!D27</f>
        <v>92.070484581497809</v>
      </c>
      <c r="F27">
        <f>CCJ!D27</f>
        <v>94.227719632096424</v>
      </c>
      <c r="G27">
        <f>ALL!D27</f>
        <v>95.432752000916892</v>
      </c>
    </row>
    <row r="28" spans="1:7" x14ac:dyDescent="0.3">
      <c r="A28">
        <f t="shared" si="0"/>
        <v>2016</v>
      </c>
      <c r="B28">
        <f>RCT!D28</f>
        <v>91.259837481604706</v>
      </c>
      <c r="C28">
        <f>CT!D28</f>
        <v>95.227660092524957</v>
      </c>
      <c r="D28">
        <f>META!D28</f>
        <v>90.316166235832171</v>
      </c>
      <c r="E28">
        <f>REVIEW!D28</f>
        <v>91.350040420371869</v>
      </c>
      <c r="F28">
        <f>CCJ!D28</f>
        <v>94.299360603959641</v>
      </c>
      <c r="G28">
        <f>ALL!D28</f>
        <v>95.149115364067754</v>
      </c>
    </row>
    <row r="29" spans="1:7" x14ac:dyDescent="0.3">
      <c r="A29">
        <f t="shared" si="0"/>
        <v>2017</v>
      </c>
      <c r="B29">
        <f>RCT!D29</f>
        <v>91.163026917216854</v>
      </c>
      <c r="C29">
        <f>CT!D29</f>
        <v>94.429984383133785</v>
      </c>
      <c r="D29">
        <f>META!D29</f>
        <v>89.312695780357473</v>
      </c>
      <c r="E29">
        <f>REVIEW!D29</f>
        <v>89.903069466882073</v>
      </c>
      <c r="F29">
        <f>CCJ!D29</f>
        <v>93.649635036496349</v>
      </c>
      <c r="G29">
        <f>ALL!D29</f>
        <v>94.85282757683062</v>
      </c>
    </row>
    <row r="30" spans="1:7" x14ac:dyDescent="0.3">
      <c r="A30">
        <f t="shared" si="0"/>
        <v>2018</v>
      </c>
      <c r="B30">
        <f>RCT!D30</f>
        <v>90.702062593532446</v>
      </c>
      <c r="C30">
        <f>CT!D30</f>
        <v>94.432828018818611</v>
      </c>
      <c r="D30">
        <f>META!D30</f>
        <v>89.006486855582111</v>
      </c>
      <c r="E30">
        <f>REVIEW!D30</f>
        <v>89.07630522088354</v>
      </c>
      <c r="F30">
        <f>CCJ!D30</f>
        <v>93.233269757027955</v>
      </c>
      <c r="G30">
        <f>ALL!D30</f>
        <v>94.683149303888626</v>
      </c>
    </row>
    <row r="31" spans="1:7" x14ac:dyDescent="0.3">
      <c r="A31">
        <f t="shared" si="0"/>
        <v>2019</v>
      </c>
      <c r="B31">
        <f>RCT!D31</f>
        <v>90.632547816437096</v>
      </c>
      <c r="C31">
        <f>CT!D31</f>
        <v>94.956429891734885</v>
      </c>
      <c r="D31">
        <f>META!D31</f>
        <v>89.959963042808738</v>
      </c>
      <c r="E31">
        <f>REVIEW!D31</f>
        <v>90.763358778625957</v>
      </c>
      <c r="F31">
        <f>CCJ!D31</f>
        <v>93.694073949012321</v>
      </c>
      <c r="G31">
        <f>ALL!D31</f>
        <v>94.766490378817892</v>
      </c>
    </row>
    <row r="32" spans="1:7" x14ac:dyDescent="0.3">
      <c r="A32">
        <f t="shared" si="0"/>
        <v>2020</v>
      </c>
      <c r="B32">
        <f>RCT!D32</f>
        <v>90.104730949801365</v>
      </c>
      <c r="C32">
        <f>CT!D32</f>
        <v>95.815052311846102</v>
      </c>
      <c r="D32">
        <f>META!D32</f>
        <v>90.102301790281331</v>
      </c>
      <c r="E32">
        <f>REVIEW!D32</f>
        <v>90.591900311526473</v>
      </c>
      <c r="F32">
        <f>CCJ!D32</f>
        <v>93.48392701998263</v>
      </c>
      <c r="G32">
        <f>ALL!D32</f>
        <v>94.796306465718871</v>
      </c>
    </row>
    <row r="33" spans="1:7" x14ac:dyDescent="0.3">
      <c r="A33">
        <f t="shared" si="0"/>
        <v>2021</v>
      </c>
      <c r="B33">
        <f>RCT!D33</f>
        <v>90.350520258094519</v>
      </c>
      <c r="C33">
        <f>CT!D33</f>
        <v>94.902386117136658</v>
      </c>
      <c r="D33">
        <f>META!D33</f>
        <v>90.064315812818805</v>
      </c>
      <c r="E33">
        <f>REVIEW!D33</f>
        <v>91.827637444279347</v>
      </c>
      <c r="F33">
        <f>CCJ!D33</f>
        <v>93.517855722580137</v>
      </c>
      <c r="G33">
        <f>ALL!D33</f>
        <v>94.781364859232312</v>
      </c>
    </row>
    <row r="34" spans="1:7" x14ac:dyDescent="0.3">
      <c r="A34">
        <f t="shared" si="0"/>
        <v>2022</v>
      </c>
      <c r="B34">
        <f>RCT!D34</f>
        <v>90.403245337854202</v>
      </c>
      <c r="C34">
        <f>CT!D34</f>
        <v>94.430992736077485</v>
      </c>
      <c r="D34">
        <f>META!D34</f>
        <v>90.320512820512818</v>
      </c>
      <c r="E34">
        <f>REVIEW!D34</f>
        <v>92.165354330708666</v>
      </c>
      <c r="F34">
        <f>CCJ!D34</f>
        <v>93.311291963377414</v>
      </c>
      <c r="G34">
        <f>ALL!D34</f>
        <v>94.835472996489685</v>
      </c>
    </row>
    <row r="35" spans="1:7" x14ac:dyDescent="0.3">
      <c r="A35">
        <f t="shared" si="0"/>
        <v>2023</v>
      </c>
      <c r="B35">
        <f>RCT!D35</f>
        <v>90.18161955482725</v>
      </c>
      <c r="C35">
        <f>CT!D35</f>
        <v>94.487717195925697</v>
      </c>
      <c r="D35">
        <f>META!D35</f>
        <v>90.926109459310638</v>
      </c>
      <c r="E35">
        <f>REVIEW!D35</f>
        <v>92.273098937040061</v>
      </c>
      <c r="F35">
        <f>CCJ!D35</f>
        <v>93.439309014058622</v>
      </c>
      <c r="G35">
        <f>ALL!D35</f>
        <v>94.872991898942743</v>
      </c>
    </row>
    <row r="36" spans="1:7" x14ac:dyDescent="0.3">
      <c r="A36">
        <f t="shared" si="0"/>
        <v>2024</v>
      </c>
      <c r="B36">
        <f>RCT!D36</f>
        <v>90.987518355359768</v>
      </c>
      <c r="C36">
        <f>CT!D36</f>
        <v>93.482983345401877</v>
      </c>
      <c r="D36">
        <f>META!D36</f>
        <v>91.768826619964969</v>
      </c>
      <c r="E36">
        <f>REVIEW!D36</f>
        <v>92.457142857142856</v>
      </c>
      <c r="F36">
        <f>CCJ!D36</f>
        <v>93.847503900155999</v>
      </c>
      <c r="G36">
        <f>ALL!D36</f>
        <v>94.964024945544793</v>
      </c>
    </row>
    <row r="37" spans="1:7" x14ac:dyDescent="0.3">
      <c r="A37">
        <v>2025</v>
      </c>
      <c r="B37">
        <f>RCT!D37</f>
        <v>90.714492334393981</v>
      </c>
      <c r="C37">
        <f>CT!D37</f>
        <v>95.490417136414891</v>
      </c>
      <c r="D37">
        <f>META!D37</f>
        <v>91.40764849471114</v>
      </c>
      <c r="E37">
        <f>REVIEW!D37</f>
        <v>93.537015276145709</v>
      </c>
      <c r="F37">
        <f>CCJ!D37</f>
        <v>93.624311038283921</v>
      </c>
      <c r="G37">
        <f>ALL!D37</f>
        <v>95.272837228054399</v>
      </c>
    </row>
    <row r="38" spans="1:7" x14ac:dyDescent="0.3">
      <c r="A38" t="s">
        <v>9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7</v>
      </c>
      <c r="B39">
        <f>RCT!D39</f>
        <v>96.06557377049181</v>
      </c>
      <c r="C39">
        <f>CT!D39</f>
        <v>98.412698412698404</v>
      </c>
      <c r="D39">
        <f>META!D39</f>
        <v>96.721311475409834</v>
      </c>
      <c r="E39">
        <f>REVIEW!D39</f>
        <v>98.387096774193552</v>
      </c>
      <c r="F39">
        <f>CCJ!D39</f>
        <v>98.428571428571431</v>
      </c>
      <c r="G39">
        <f>ALL!D39</f>
        <v>98.066452304394431</v>
      </c>
    </row>
    <row r="40" spans="1:7" x14ac:dyDescent="0.3">
      <c r="A40" t="s">
        <v>8</v>
      </c>
      <c r="B40">
        <f>RCT!D40</f>
        <v>90.104730949801365</v>
      </c>
      <c r="C40">
        <f>CT!D40</f>
        <v>93.482983345401877</v>
      </c>
      <c r="D40">
        <f>META!D40</f>
        <v>86.127167630057798</v>
      </c>
      <c r="E40">
        <f>REVIEW!D40</f>
        <v>88.150289017341038</v>
      </c>
      <c r="F40">
        <f>CCJ!D40</f>
        <v>93.233269757027955</v>
      </c>
      <c r="G40">
        <f>ALL!D40</f>
        <v>94.683149303888626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1" zoomScale="55" zoomScaleNormal="55" workbookViewId="0">
      <selection activeCell="W13" sqref="W13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J2">
        <f>NEWagg!L2</f>
        <v>96.06557377049181</v>
      </c>
      <c r="K2">
        <f>NEWagg!M2</f>
        <v>95.345167652859971</v>
      </c>
      <c r="L2">
        <f>NEWagg!N2</f>
        <v>95.272206303724928</v>
      </c>
      <c r="M2">
        <f>NEWagg!O2</f>
        <v>95.132039452752153</v>
      </c>
      <c r="N2">
        <f>NEWagg!P2</f>
        <v>94.593867670790743</v>
      </c>
      <c r="O2">
        <f>NEWagg!Q2</f>
        <v>95.023923444976077</v>
      </c>
      <c r="P2">
        <f>NEWagg!R2</f>
        <v>95.572127709158707</v>
      </c>
      <c r="Q2">
        <f>NEWagg!S2</f>
        <v>94.60762823323104</v>
      </c>
      <c r="R2">
        <f>NEWagg!T2</f>
        <v>94.282188399835448</v>
      </c>
      <c r="S2">
        <f>NEWagg!U2</f>
        <v>94.164653410146812</v>
      </c>
      <c r="T2">
        <f>NEWagg!V2</f>
        <v>94.121004566210047</v>
      </c>
      <c r="U2">
        <f>NEWagg!W2</f>
        <v>93.59219919902489</v>
      </c>
      <c r="V2">
        <f>NEWagg!X2</f>
        <v>93.477542932628793</v>
      </c>
      <c r="W2">
        <f>NEWagg!Y2</f>
        <v>93.235805330243338</v>
      </c>
      <c r="X2">
        <f>NEWagg!Z2</f>
        <v>93.423948220064716</v>
      </c>
      <c r="Y2">
        <f>NEWagg!AA2</f>
        <v>92.69911504424779</v>
      </c>
      <c r="Z2">
        <f>NEWagg!AB2</f>
        <v>92.879798753144485</v>
      </c>
      <c r="AA2">
        <f>NEWagg!AC2</f>
        <v>92.892792972649232</v>
      </c>
      <c r="AB2">
        <f>NEWagg!AD2</f>
        <v>92.660638707195076</v>
      </c>
      <c r="AC2">
        <f>NEWagg!AE2</f>
        <v>92.663849680841508</v>
      </c>
      <c r="AD2">
        <f>NEWagg!AF2</f>
        <v>92.314714914100762</v>
      </c>
      <c r="AE2">
        <f>NEWagg!AG2</f>
        <v>92.558902475395172</v>
      </c>
      <c r="AF2">
        <f>NEWagg!AH2</f>
        <v>92.357205772748827</v>
      </c>
      <c r="AG2">
        <f>NEWagg!AI2</f>
        <v>92.125984251968504</v>
      </c>
      <c r="AH2">
        <f>NEWagg!AJ2</f>
        <v>92.004490457777223</v>
      </c>
      <c r="AI2">
        <f>NEWagg!AK2</f>
        <v>91.601683376655529</v>
      </c>
      <c r="AJ2">
        <f>NEWagg!AL2</f>
        <v>91.259837481604706</v>
      </c>
      <c r="AK2">
        <f>NEWagg!AM2</f>
        <v>91.163026917216854</v>
      </c>
      <c r="AL2">
        <f>NEWagg!AN2</f>
        <v>90.702062593532446</v>
      </c>
      <c r="AM2">
        <f>NEWagg!AO2</f>
        <v>90.632547816437096</v>
      </c>
      <c r="AN2">
        <f>NEWagg!AP2</f>
        <v>90.104730949801365</v>
      </c>
      <c r="AO2">
        <f>NEWagg!AQ2</f>
        <v>90.350520258094519</v>
      </c>
      <c r="AP2">
        <f>NEWagg!AR2</f>
        <v>90.403245337854202</v>
      </c>
      <c r="AQ2">
        <f>NEWagg!AS2</f>
        <v>90.18161955482725</v>
      </c>
      <c r="AR2">
        <f>NEWagg!AT2</f>
        <v>90.987518355359768</v>
      </c>
      <c r="AS2">
        <f>NEWagg!AU2</f>
        <v>90.714492334393981</v>
      </c>
    </row>
    <row r="3" spans="9:45" x14ac:dyDescent="0.3">
      <c r="I3" t="str">
        <f>NEWagg!K3</f>
        <v>Clinical trial</v>
      </c>
      <c r="J3">
        <f>NEWagg!L3</f>
        <v>97.913950456323334</v>
      </c>
      <c r="K3">
        <f>NEWagg!M3</f>
        <v>98.412698412698404</v>
      </c>
      <c r="L3">
        <f>NEWagg!N3</f>
        <v>98.012422360248451</v>
      </c>
      <c r="M3">
        <f>NEWagg!O3</f>
        <v>96.832579185520359</v>
      </c>
      <c r="N3">
        <f>NEWagg!P3</f>
        <v>97.356426618049227</v>
      </c>
      <c r="O3">
        <f>NEWagg!Q3</f>
        <v>97.169811320754718</v>
      </c>
      <c r="P3">
        <f>NEWagg!R3</f>
        <v>96.689895470383277</v>
      </c>
      <c r="Q3">
        <f>NEWagg!S3</f>
        <v>97.227497151538174</v>
      </c>
      <c r="R3">
        <f>NEWagg!T3</f>
        <v>97.047028800583305</v>
      </c>
      <c r="S3">
        <f>NEWagg!U3</f>
        <v>96.865104496516778</v>
      </c>
      <c r="T3">
        <f>NEWagg!V3</f>
        <v>96.706028589185834</v>
      </c>
      <c r="U3">
        <f>NEWagg!W3</f>
        <v>97.185741088180109</v>
      </c>
      <c r="V3">
        <f>NEWagg!X3</f>
        <v>96.026261230131311</v>
      </c>
      <c r="W3">
        <f>NEWagg!Y3</f>
        <v>96.716826265389884</v>
      </c>
      <c r="X3">
        <f>NEWagg!Z3</f>
        <v>96.503318019397653</v>
      </c>
      <c r="Y3">
        <f>NEWagg!AA3</f>
        <v>96.243494003168138</v>
      </c>
      <c r="Z3">
        <f>NEWagg!AB3</f>
        <v>95.386444708680145</v>
      </c>
      <c r="AA3">
        <f>NEWagg!AC3</f>
        <v>95.394893820090672</v>
      </c>
      <c r="AB3">
        <f>NEWagg!AD3</f>
        <v>95.100279258695096</v>
      </c>
      <c r="AC3">
        <f>NEWagg!AE3</f>
        <v>95.683074493287705</v>
      </c>
      <c r="AD3">
        <f>NEWagg!AF3</f>
        <v>95.638004512409125</v>
      </c>
      <c r="AE3">
        <f>NEWagg!AG3</f>
        <v>95.650301464254952</v>
      </c>
      <c r="AF3">
        <f>NEWagg!AH3</f>
        <v>95.359719243517262</v>
      </c>
      <c r="AG3">
        <f>NEWagg!AI3</f>
        <v>95.652173913043484</v>
      </c>
      <c r="AH3">
        <f>NEWagg!AJ3</f>
        <v>95.643680406329352</v>
      </c>
      <c r="AI3">
        <f>NEWagg!AK3</f>
        <v>95.515125872646507</v>
      </c>
      <c r="AJ3">
        <f>NEWagg!AL3</f>
        <v>95.227660092524957</v>
      </c>
      <c r="AK3">
        <f>NEWagg!AM3</f>
        <v>94.429984383133785</v>
      </c>
      <c r="AL3">
        <f>NEWagg!AN3</f>
        <v>94.432828018818611</v>
      </c>
      <c r="AM3">
        <f>NEWagg!AO3</f>
        <v>94.956429891734885</v>
      </c>
      <c r="AN3">
        <f>NEWagg!AP3</f>
        <v>95.815052311846102</v>
      </c>
      <c r="AO3">
        <f>NEWagg!AQ3</f>
        <v>94.902386117136658</v>
      </c>
      <c r="AP3">
        <f>NEWagg!AR3</f>
        <v>94.430992736077485</v>
      </c>
      <c r="AQ3">
        <f>NEWagg!AS3</f>
        <v>94.487717195925697</v>
      </c>
      <c r="AR3">
        <f>NEWagg!AT3</f>
        <v>93.482983345401877</v>
      </c>
      <c r="AS3">
        <f>NEWagg!AU3</f>
        <v>95.490417136414891</v>
      </c>
    </row>
    <row r="4" spans="9:45" x14ac:dyDescent="0.3">
      <c r="I4" t="str">
        <f>NEWagg!K4</f>
        <v>Meta-analysis</v>
      </c>
      <c r="J4">
        <f>NEWagg!L4</f>
        <v>90</v>
      </c>
      <c r="K4">
        <f>NEWagg!M4</f>
        <v>89.189189189189193</v>
      </c>
      <c r="L4">
        <f>NEWagg!N4</f>
        <v>90.909090909090907</v>
      </c>
      <c r="M4">
        <f>NEWagg!O4</f>
        <v>96.721311475409834</v>
      </c>
      <c r="N4">
        <f>NEWagg!P4</f>
        <v>92.307692307692307</v>
      </c>
      <c r="O4">
        <f>NEWagg!Q4</f>
        <v>92.222222222222229</v>
      </c>
      <c r="P4">
        <f>NEWagg!R4</f>
        <v>94.791666666666657</v>
      </c>
      <c r="Q4">
        <f>NEWagg!S4</f>
        <v>95.041322314049594</v>
      </c>
      <c r="R4">
        <f>NEWagg!T4</f>
        <v>87.931034482758619</v>
      </c>
      <c r="S4">
        <f>NEWagg!U4</f>
        <v>96.124031007751938</v>
      </c>
      <c r="T4">
        <f>NEWagg!V4</f>
        <v>93.220338983050837</v>
      </c>
      <c r="U4">
        <f>NEWagg!W4</f>
        <v>86.82634730538922</v>
      </c>
      <c r="V4">
        <f>NEWagg!X4</f>
        <v>91.549295774647888</v>
      </c>
      <c r="W4">
        <f>NEWagg!Y4</f>
        <v>87.301587301587304</v>
      </c>
      <c r="X4">
        <f>NEWagg!Z4</f>
        <v>86.127167630057798</v>
      </c>
      <c r="Y4">
        <f>NEWagg!AA4</f>
        <v>88.866396761133601</v>
      </c>
      <c r="Z4">
        <f>NEWagg!AB4</f>
        <v>89.608177172061332</v>
      </c>
      <c r="AA4">
        <f>NEWagg!AC4</f>
        <v>88.785046728971963</v>
      </c>
      <c r="AB4">
        <f>NEWagg!AD4</f>
        <v>88.901601830663608</v>
      </c>
      <c r="AC4">
        <f>NEWagg!AE4</f>
        <v>89.159891598915991</v>
      </c>
      <c r="AD4">
        <f>NEWagg!AF4</f>
        <v>88.203017832647461</v>
      </c>
      <c r="AE4">
        <f>NEWagg!AG4</f>
        <v>89.220647773279353</v>
      </c>
      <c r="AF4">
        <f>NEWagg!AH4</f>
        <v>89.123196448390672</v>
      </c>
      <c r="AG4">
        <f>NEWagg!AI4</f>
        <v>89.297752808988761</v>
      </c>
      <c r="AH4">
        <f>NEWagg!AJ4</f>
        <v>89.790143834001412</v>
      </c>
      <c r="AI4">
        <f>NEWagg!AK4</f>
        <v>89.915446483811095</v>
      </c>
      <c r="AJ4">
        <f>NEWagg!AL4</f>
        <v>90.316166235832171</v>
      </c>
      <c r="AK4">
        <f>NEWagg!AM4</f>
        <v>89.312695780357473</v>
      </c>
      <c r="AL4">
        <f>NEWagg!AN4</f>
        <v>89.006486855582111</v>
      </c>
      <c r="AM4">
        <f>NEWagg!AO4</f>
        <v>89.959963042808738</v>
      </c>
      <c r="AN4">
        <f>NEWagg!AP4</f>
        <v>90.102301790281331</v>
      </c>
      <c r="AO4">
        <f>NEWagg!AQ4</f>
        <v>90.064315812818805</v>
      </c>
      <c r="AP4">
        <f>NEWagg!AR4</f>
        <v>90.320512820512818</v>
      </c>
      <c r="AQ4">
        <f>NEWagg!AS4</f>
        <v>90.926109459310638</v>
      </c>
      <c r="AR4">
        <f>NEWagg!AT4</f>
        <v>91.768826619964969</v>
      </c>
      <c r="AS4">
        <f>NEWagg!AU4</f>
        <v>91.40764849471114</v>
      </c>
    </row>
    <row r="5" spans="9:45" x14ac:dyDescent="0.3">
      <c r="I5" t="str">
        <f>NEWagg!K5</f>
        <v>Review</v>
      </c>
      <c r="J5">
        <f>NEWagg!L5</f>
        <v>98.387096774193552</v>
      </c>
      <c r="K5">
        <f>NEWagg!M5</f>
        <v>96.618357487922708</v>
      </c>
      <c r="L5">
        <f>NEWagg!N5</f>
        <v>97.826086956521735</v>
      </c>
      <c r="M5">
        <f>NEWagg!O5</f>
        <v>95.391705069124427</v>
      </c>
      <c r="N5">
        <f>NEWagg!P5</f>
        <v>94.930875576036868</v>
      </c>
      <c r="O5">
        <f>NEWagg!Q5</f>
        <v>93.680297397769522</v>
      </c>
      <c r="P5">
        <f>NEWagg!R5</f>
        <v>95.9375</v>
      </c>
      <c r="Q5">
        <f>NEWagg!S5</f>
        <v>96.507936507936506</v>
      </c>
      <c r="R5">
        <f>NEWagg!T5</f>
        <v>95.439739413680783</v>
      </c>
      <c r="S5">
        <f>NEWagg!U5</f>
        <v>96.92307692307692</v>
      </c>
      <c r="T5">
        <f>NEWagg!V5</f>
        <v>91.83673469387756</v>
      </c>
      <c r="U5">
        <f>NEWagg!W5</f>
        <v>94.855305466237937</v>
      </c>
      <c r="V5">
        <f>NEWagg!X5</f>
        <v>88.150289017341038</v>
      </c>
      <c r="W5">
        <f>NEWagg!Y5</f>
        <v>94.488188976377955</v>
      </c>
      <c r="X5">
        <f>NEWagg!Z5</f>
        <v>94.045534150612966</v>
      </c>
      <c r="Y5">
        <f>NEWagg!AA5</f>
        <v>91.368421052631575</v>
      </c>
      <c r="Z5">
        <f>NEWagg!AB5</f>
        <v>94.063926940639263</v>
      </c>
      <c r="AA5">
        <f>NEWagg!AC5</f>
        <v>93.574297188755011</v>
      </c>
      <c r="AB5">
        <f>NEWagg!AD5</f>
        <v>91.242362525458248</v>
      </c>
      <c r="AC5">
        <f>NEWagg!AE5</f>
        <v>91.911764705882348</v>
      </c>
      <c r="AD5">
        <f>NEWagg!AF5</f>
        <v>93.037974683544306</v>
      </c>
      <c r="AE5">
        <f>NEWagg!AG5</f>
        <v>92.479108635097489</v>
      </c>
      <c r="AF5">
        <f>NEWagg!AH5</f>
        <v>91.587677725118482</v>
      </c>
      <c r="AG5">
        <f>NEWagg!AI5</f>
        <v>92.687950566426366</v>
      </c>
      <c r="AH5">
        <f>NEWagg!AJ5</f>
        <v>91.9921875</v>
      </c>
      <c r="AI5">
        <f>NEWagg!AK5</f>
        <v>92.070484581497809</v>
      </c>
      <c r="AJ5">
        <f>NEWagg!AL5</f>
        <v>91.350040420371869</v>
      </c>
      <c r="AK5">
        <f>NEWagg!AM5</f>
        <v>89.903069466882073</v>
      </c>
      <c r="AL5">
        <f>NEWagg!AN5</f>
        <v>89.07630522088354</v>
      </c>
      <c r="AM5">
        <f>NEWagg!AO5</f>
        <v>90.763358778625957</v>
      </c>
      <c r="AN5">
        <f>NEWagg!AP5</f>
        <v>90.591900311526473</v>
      </c>
      <c r="AO5">
        <f>NEWagg!AQ5</f>
        <v>91.827637444279347</v>
      </c>
      <c r="AP5">
        <f>NEWagg!AR5</f>
        <v>92.165354330708666</v>
      </c>
      <c r="AQ5">
        <f>NEWagg!AS5</f>
        <v>92.273098937040061</v>
      </c>
      <c r="AR5">
        <f>NEWagg!AT5</f>
        <v>92.457142857142856</v>
      </c>
      <c r="AS5">
        <f>NEWagg!AU5</f>
        <v>93.537015276145709</v>
      </c>
    </row>
    <row r="6" spans="9:45" x14ac:dyDescent="0.3">
      <c r="I6" t="str">
        <f>NEWagg!K6</f>
        <v>Core clinical journal</v>
      </c>
      <c r="J6">
        <f>NEWagg!L6</f>
        <v>98.112369531423496</v>
      </c>
      <c r="K6">
        <f>NEWagg!M6</f>
        <v>98.428571428571431</v>
      </c>
      <c r="L6">
        <f>NEWagg!N6</f>
        <v>97.898775808514529</v>
      </c>
      <c r="M6">
        <f>NEWagg!O6</f>
        <v>97.32850741123751</v>
      </c>
      <c r="N6">
        <f>NEWagg!P6</f>
        <v>97.034956304619229</v>
      </c>
      <c r="O6">
        <f>NEWagg!Q6</f>
        <v>97.223051657211116</v>
      </c>
      <c r="P6">
        <f>NEWagg!R6</f>
        <v>97.327911704908516</v>
      </c>
      <c r="Q6">
        <f>NEWagg!S6</f>
        <v>97.08070175438597</v>
      </c>
      <c r="R6">
        <f>NEWagg!T6</f>
        <v>96.593776282590412</v>
      </c>
      <c r="S6">
        <f>NEWagg!U6</f>
        <v>96.281826754681404</v>
      </c>
      <c r="T6">
        <f>NEWagg!V6</f>
        <v>96.912990028684604</v>
      </c>
      <c r="U6">
        <f>NEWagg!W6</f>
        <v>96.517346803137045</v>
      </c>
      <c r="V6">
        <f>NEWagg!X6</f>
        <v>96.034963263237898</v>
      </c>
      <c r="W6">
        <f>NEWagg!Y6</f>
        <v>96.008682020981553</v>
      </c>
      <c r="X6">
        <f>NEWagg!Z6</f>
        <v>95.402035914445833</v>
      </c>
      <c r="Y6">
        <f>NEWagg!AA6</f>
        <v>95.388064481691046</v>
      </c>
      <c r="Z6">
        <f>NEWagg!AB6</f>
        <v>95.464007888681934</v>
      </c>
      <c r="AA6">
        <f>NEWagg!AC6</f>
        <v>95.304759853542961</v>
      </c>
      <c r="AB6">
        <f>NEWagg!AD6</f>
        <v>94.916148085644963</v>
      </c>
      <c r="AC6">
        <f>NEWagg!AE6</f>
        <v>94.987709736026503</v>
      </c>
      <c r="AD6">
        <f>NEWagg!AF6</f>
        <v>94.892686804451515</v>
      </c>
      <c r="AE6">
        <f>NEWagg!AG6</f>
        <v>95.088689681480062</v>
      </c>
      <c r="AF6">
        <f>NEWagg!AH6</f>
        <v>94.767606297727909</v>
      </c>
      <c r="AG6">
        <f>NEWagg!AI6</f>
        <v>94.700223329324857</v>
      </c>
      <c r="AH6">
        <f>NEWagg!AJ6</f>
        <v>94.160401002506262</v>
      </c>
      <c r="AI6">
        <f>NEWagg!AK6</f>
        <v>94.227719632096424</v>
      </c>
      <c r="AJ6">
        <f>NEWagg!AL6</f>
        <v>94.299360603959641</v>
      </c>
      <c r="AK6">
        <f>NEWagg!AM6</f>
        <v>93.649635036496349</v>
      </c>
      <c r="AL6">
        <f>NEWagg!AN6</f>
        <v>93.233269757027955</v>
      </c>
      <c r="AM6">
        <f>NEWagg!AO6</f>
        <v>93.694073949012321</v>
      </c>
      <c r="AN6">
        <f>NEWagg!AP6</f>
        <v>93.48392701998263</v>
      </c>
      <c r="AO6">
        <f>NEWagg!AQ6</f>
        <v>93.517855722580137</v>
      </c>
      <c r="AP6">
        <f>NEWagg!AR6</f>
        <v>93.311291963377414</v>
      </c>
      <c r="AQ6">
        <f>NEWagg!AS6</f>
        <v>93.439309014058622</v>
      </c>
      <c r="AR6">
        <f>NEWagg!AT6</f>
        <v>93.847503900155999</v>
      </c>
      <c r="AS6">
        <f>NEWagg!AU6</f>
        <v>93.624311038283921</v>
      </c>
    </row>
    <row r="7" spans="9:45" x14ac:dyDescent="0.3">
      <c r="I7" t="str">
        <f>NEWagg!K7</f>
        <v>All MEDLINE</v>
      </c>
      <c r="J7">
        <f>NEWagg!L7</f>
        <v>98.003179947624403</v>
      </c>
      <c r="K7">
        <f>NEWagg!M7</f>
        <v>98.066452304394431</v>
      </c>
      <c r="L7">
        <f>NEWagg!N7</f>
        <v>98.010955285342447</v>
      </c>
      <c r="M7">
        <f>NEWagg!O7</f>
        <v>97.52080877362198</v>
      </c>
      <c r="N7">
        <f>NEWagg!P7</f>
        <v>97.385599367005142</v>
      </c>
      <c r="O7">
        <f>NEWagg!Q7</f>
        <v>97.169380611779033</v>
      </c>
      <c r="P7">
        <f>NEWagg!R7</f>
        <v>97.134037552037611</v>
      </c>
      <c r="Q7">
        <f>NEWagg!S7</f>
        <v>97.065877838183567</v>
      </c>
      <c r="R7">
        <f>NEWagg!T7</f>
        <v>96.812597947525404</v>
      </c>
      <c r="S7">
        <f>NEWagg!U7</f>
        <v>96.839012369082027</v>
      </c>
      <c r="T7">
        <f>NEWagg!V7</f>
        <v>96.720417896888492</v>
      </c>
      <c r="U7">
        <f>NEWagg!W7</f>
        <v>96.639316384661171</v>
      </c>
      <c r="V7">
        <f>NEWagg!X7</f>
        <v>96.41501225974848</v>
      </c>
      <c r="W7">
        <f>NEWagg!Y7</f>
        <v>96.300500124144293</v>
      </c>
      <c r="X7">
        <f>NEWagg!Z7</f>
        <v>96.142319096081422</v>
      </c>
      <c r="Y7">
        <f>NEWagg!AA7</f>
        <v>96.125843947936247</v>
      </c>
      <c r="Z7">
        <f>NEWagg!AB7</f>
        <v>96.024680589050234</v>
      </c>
      <c r="AA7">
        <f>NEWagg!AC7</f>
        <v>96.05804026279732</v>
      </c>
      <c r="AB7">
        <f>NEWagg!AD7</f>
        <v>95.90697573984302</v>
      </c>
      <c r="AC7">
        <f>NEWagg!AE7</f>
        <v>95.882097525017414</v>
      </c>
      <c r="AD7">
        <f>NEWagg!AF7</f>
        <v>95.648972980932044</v>
      </c>
      <c r="AE7">
        <f>NEWagg!AG7</f>
        <v>95.642561335775213</v>
      </c>
      <c r="AF7">
        <f>NEWagg!AH7</f>
        <v>95.628481656319735</v>
      </c>
      <c r="AG7">
        <f>NEWagg!AI7</f>
        <v>95.513203279218274</v>
      </c>
      <c r="AH7">
        <f>NEWagg!AJ7</f>
        <v>95.488706775934446</v>
      </c>
      <c r="AI7">
        <f>NEWagg!AK7</f>
        <v>95.432752000916892</v>
      </c>
      <c r="AJ7">
        <f>NEWagg!AL7</f>
        <v>95.149115364067754</v>
      </c>
      <c r="AK7">
        <f>NEWagg!AM7</f>
        <v>94.85282757683062</v>
      </c>
      <c r="AL7">
        <f>NEWagg!AN7</f>
        <v>94.683149303888626</v>
      </c>
      <c r="AM7">
        <f>NEWagg!AO7</f>
        <v>94.766490378817892</v>
      </c>
      <c r="AN7">
        <f>NEWagg!AP7</f>
        <v>94.796306465718871</v>
      </c>
      <c r="AO7">
        <f>NEWagg!AQ7</f>
        <v>94.781364859232312</v>
      </c>
      <c r="AP7">
        <f>NEWagg!AR7</f>
        <v>94.835472996489685</v>
      </c>
      <c r="AQ7">
        <f>NEWagg!AS7</f>
        <v>94.872991898942743</v>
      </c>
      <c r="AR7">
        <f>NEWagg!AT7</f>
        <v>94.964024945544793</v>
      </c>
      <c r="AS7">
        <f>NEWagg!AU7</f>
        <v>95.272837228054399</v>
      </c>
    </row>
    <row r="8" spans="9:45" x14ac:dyDescent="0.3">
      <c r="I8" t="str">
        <f>NEWagg!K8</f>
        <v>Observational study</v>
      </c>
      <c r="AF8">
        <f>NEWagg!AH8</f>
        <v>95.959595959595958</v>
      </c>
      <c r="AG8">
        <f>NEWagg!AI8</f>
        <v>95.165394402035616</v>
      </c>
      <c r="AH8">
        <f>NEWagg!AJ8</f>
        <v>95.456955983736975</v>
      </c>
      <c r="AI8">
        <f>NEWagg!AK8</f>
        <v>94.693819016205367</v>
      </c>
      <c r="AJ8">
        <f>NEWagg!AL8</f>
        <v>94.667519181585675</v>
      </c>
      <c r="AK8">
        <f>NEWagg!AM8</f>
        <v>94.904756339838727</v>
      </c>
      <c r="AL8">
        <f>NEWagg!AN8</f>
        <v>94.725534429047158</v>
      </c>
      <c r="AM8">
        <f>NEWagg!AO8</f>
        <v>94.781661550648579</v>
      </c>
      <c r="AN8">
        <f>NEWagg!AP8</f>
        <v>95.172537099946368</v>
      </c>
      <c r="AO8">
        <f>NEWagg!AQ8</f>
        <v>95.181046043808664</v>
      </c>
      <c r="AP8">
        <f>NEWagg!AR8</f>
        <v>94.988610478359917</v>
      </c>
      <c r="AQ8">
        <f>NEWagg!AS8</f>
        <v>94.948857178936734</v>
      </c>
      <c r="AR8">
        <f>NEWagg!AT8</f>
        <v>94.303934284479027</v>
      </c>
      <c r="AS8">
        <f>NEWagg!AU8</f>
        <v>94.757625272331154</v>
      </c>
    </row>
    <row r="9" spans="9:45" x14ac:dyDescent="0.3">
      <c r="I9" t="str">
        <f>NEWagg!K9</f>
        <v>Systematic review</v>
      </c>
      <c r="V9">
        <f>NEWagg!X9</f>
        <v>81.521739130434781</v>
      </c>
      <c r="W9">
        <f>NEWagg!Y9</f>
        <v>88.970588235294116</v>
      </c>
      <c r="X9">
        <f>NEWagg!Z9</f>
        <v>84.705882352941174</v>
      </c>
      <c r="Y9">
        <f>NEWagg!AA9</f>
        <v>88.679245283018872</v>
      </c>
      <c r="Z9">
        <f>NEWagg!AB9</f>
        <v>90.706319702602229</v>
      </c>
      <c r="AA9">
        <f>NEWagg!AC9</f>
        <v>87.989556135770229</v>
      </c>
      <c r="AB9">
        <f>NEWagg!AD9</f>
        <v>87.472035794183441</v>
      </c>
      <c r="AC9">
        <f>NEWagg!AE9</f>
        <v>88.908450704225345</v>
      </c>
      <c r="AD9">
        <f>NEWagg!AF9</f>
        <v>88.300835654596099</v>
      </c>
      <c r="AE9">
        <f>NEWagg!AG9</f>
        <v>88.789237668161434</v>
      </c>
      <c r="AF9">
        <f>NEWagg!AH9</f>
        <v>88.217054263565885</v>
      </c>
      <c r="AG9">
        <f>NEWagg!AI9</f>
        <v>89.37282229965156</v>
      </c>
      <c r="AH9">
        <f>NEWagg!AJ9</f>
        <v>89.078014184397162</v>
      </c>
      <c r="AI9">
        <f>NEWagg!AK9</f>
        <v>89.68609865470853</v>
      </c>
      <c r="AJ9">
        <f>NEWagg!AL9</f>
        <v>89.793882978723403</v>
      </c>
      <c r="AK9">
        <f>NEWagg!AM9</f>
        <v>89.442567567567565</v>
      </c>
      <c r="AL9">
        <f>NEWagg!AN9</f>
        <v>89.403341288782812</v>
      </c>
      <c r="AM9">
        <f>NEWagg!AO9</f>
        <v>90.329416297437874</v>
      </c>
      <c r="AN9">
        <f>NEWagg!AP9</f>
        <v>90.088105726872243</v>
      </c>
      <c r="AO9">
        <f>NEWagg!AQ9</f>
        <v>90.536068828590331</v>
      </c>
      <c r="AP9">
        <f>NEWagg!AR9</f>
        <v>90.919689119170982</v>
      </c>
      <c r="AQ9">
        <f>NEWagg!AS9</f>
        <v>91.134047902606852</v>
      </c>
      <c r="AR9">
        <f>NEWagg!AT9</f>
        <v>91.883685624197128</v>
      </c>
      <c r="AS9">
        <f>NEWagg!AU9</f>
        <v>91.648282382603213</v>
      </c>
    </row>
    <row r="12" spans="9:45" x14ac:dyDescent="0.3">
      <c r="W12" t="s">
        <v>13</v>
      </c>
    </row>
    <row r="47" spans="12:12" ht="18" customHeight="1" x14ac:dyDescent="0.3">
      <c r="L47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="40" zoomScaleNormal="40" workbookViewId="0">
      <selection activeCell="K1" sqref="K1:AU9"/>
    </sheetView>
  </sheetViews>
  <sheetFormatPr defaultRowHeight="17.25" x14ac:dyDescent="0.3"/>
  <sheetData>
    <row r="1" spans="1:47" x14ac:dyDescent="0.3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96.06557377049181</v>
      </c>
      <c r="C2">
        <f>CT!D2</f>
        <v>97.913950456323334</v>
      </c>
      <c r="D2">
        <f>META!D2</f>
        <v>90</v>
      </c>
      <c r="E2">
        <f>REVIEW!D2</f>
        <v>98.387096774193552</v>
      </c>
      <c r="F2">
        <f>CCJ!D2</f>
        <v>98.112369531423496</v>
      </c>
      <c r="G2">
        <f>ALL!D2</f>
        <v>98.003179947624403</v>
      </c>
      <c r="H2" t="e">
        <f>OBS!D2</f>
        <v>#DIV/0!</v>
      </c>
      <c r="I2" t="e">
        <f>SYSREV!D2</f>
        <v>#DIV/0!</v>
      </c>
      <c r="K2" t="str">
        <v>Randomized controlled trial</v>
      </c>
      <c r="L2">
        <v>96.06557377049181</v>
      </c>
      <c r="M2">
        <v>95.345167652859971</v>
      </c>
      <c r="N2">
        <v>95.272206303724928</v>
      </c>
      <c r="O2">
        <v>95.132039452752153</v>
      </c>
      <c r="P2">
        <v>94.593867670790743</v>
      </c>
      <c r="Q2">
        <v>95.023923444976077</v>
      </c>
      <c r="R2">
        <v>95.572127709158707</v>
      </c>
      <c r="S2">
        <v>94.60762823323104</v>
      </c>
      <c r="T2">
        <v>94.282188399835448</v>
      </c>
      <c r="U2">
        <v>94.164653410146812</v>
      </c>
      <c r="V2">
        <v>94.121004566210047</v>
      </c>
      <c r="W2">
        <v>93.59219919902489</v>
      </c>
      <c r="X2">
        <v>93.477542932628793</v>
      </c>
      <c r="Y2">
        <v>93.235805330243338</v>
      </c>
      <c r="Z2">
        <v>93.423948220064716</v>
      </c>
      <c r="AA2">
        <v>92.69911504424779</v>
      </c>
      <c r="AB2">
        <v>92.879798753144485</v>
      </c>
      <c r="AC2">
        <v>92.892792972649232</v>
      </c>
      <c r="AD2">
        <v>92.660638707195076</v>
      </c>
      <c r="AE2">
        <v>92.663849680841508</v>
      </c>
      <c r="AF2">
        <v>92.314714914100762</v>
      </c>
      <c r="AG2">
        <v>92.558902475395172</v>
      </c>
      <c r="AH2">
        <v>92.357205772748827</v>
      </c>
      <c r="AI2">
        <v>92.125984251968504</v>
      </c>
      <c r="AJ2">
        <v>92.004490457777223</v>
      </c>
      <c r="AK2">
        <v>91.601683376655529</v>
      </c>
      <c r="AL2">
        <v>91.259837481604706</v>
      </c>
      <c r="AM2">
        <v>91.163026917216854</v>
      </c>
      <c r="AN2">
        <v>90.702062593532446</v>
      </c>
      <c r="AO2">
        <v>90.632547816437096</v>
      </c>
      <c r="AP2">
        <v>90.104730949801365</v>
      </c>
      <c r="AQ2">
        <v>90.350520258094519</v>
      </c>
      <c r="AR2">
        <v>90.403245337854202</v>
      </c>
      <c r="AS2">
        <v>90.18161955482725</v>
      </c>
      <c r="AT2">
        <v>90.987518355359768</v>
      </c>
      <c r="AU2">
        <v>90.714492334393981</v>
      </c>
    </row>
    <row r="3" spans="1:47" x14ac:dyDescent="0.3">
      <c r="A3">
        <v>1991</v>
      </c>
      <c r="B3">
        <f>RCT!D3</f>
        <v>95.345167652859971</v>
      </c>
      <c r="C3">
        <f>CT!D3</f>
        <v>98.412698412698404</v>
      </c>
      <c r="D3">
        <f>META!D3</f>
        <v>89.189189189189193</v>
      </c>
      <c r="E3">
        <f>REVIEW!D3</f>
        <v>96.618357487922708</v>
      </c>
      <c r="F3">
        <f>CCJ!D3</f>
        <v>98.428571428571431</v>
      </c>
      <c r="G3">
        <f>ALL!D3</f>
        <v>98.066452304394431</v>
      </c>
      <c r="H3" t="e">
        <f>OBS!D3</f>
        <v>#DIV/0!</v>
      </c>
      <c r="I3" t="e">
        <f>SYSREV!D3</f>
        <v>#DIV/0!</v>
      </c>
      <c r="K3" t="str">
        <v>Clinical trial</v>
      </c>
      <c r="L3">
        <v>97.913950456323334</v>
      </c>
      <c r="M3">
        <v>98.412698412698404</v>
      </c>
      <c r="N3">
        <v>98.012422360248451</v>
      </c>
      <c r="O3">
        <v>96.832579185520359</v>
      </c>
      <c r="P3">
        <v>97.356426618049227</v>
      </c>
      <c r="Q3">
        <v>97.169811320754718</v>
      </c>
      <c r="R3">
        <v>96.689895470383277</v>
      </c>
      <c r="S3">
        <v>97.227497151538174</v>
      </c>
      <c r="T3">
        <v>97.047028800583305</v>
      </c>
      <c r="U3">
        <v>96.865104496516778</v>
      </c>
      <c r="V3">
        <v>96.706028589185834</v>
      </c>
      <c r="W3">
        <v>97.185741088180109</v>
      </c>
      <c r="X3">
        <v>96.026261230131311</v>
      </c>
      <c r="Y3">
        <v>96.716826265389884</v>
      </c>
      <c r="Z3">
        <v>96.503318019397653</v>
      </c>
      <c r="AA3">
        <v>96.243494003168138</v>
      </c>
      <c r="AB3">
        <v>95.386444708680145</v>
      </c>
      <c r="AC3">
        <v>95.394893820090672</v>
      </c>
      <c r="AD3">
        <v>95.100279258695096</v>
      </c>
      <c r="AE3">
        <v>95.683074493287705</v>
      </c>
      <c r="AF3">
        <v>95.638004512409125</v>
      </c>
      <c r="AG3">
        <v>95.650301464254952</v>
      </c>
      <c r="AH3">
        <v>95.359719243517262</v>
      </c>
      <c r="AI3">
        <v>95.652173913043484</v>
      </c>
      <c r="AJ3">
        <v>95.643680406329352</v>
      </c>
      <c r="AK3">
        <v>95.515125872646507</v>
      </c>
      <c r="AL3">
        <v>95.227660092524957</v>
      </c>
      <c r="AM3">
        <v>94.429984383133785</v>
      </c>
      <c r="AN3">
        <v>94.432828018818611</v>
      </c>
      <c r="AO3">
        <v>94.956429891734885</v>
      </c>
      <c r="AP3">
        <v>95.815052311846102</v>
      </c>
      <c r="AQ3">
        <v>94.902386117136658</v>
      </c>
      <c r="AR3">
        <v>94.430992736077485</v>
      </c>
      <c r="AS3">
        <v>94.487717195925697</v>
      </c>
      <c r="AT3">
        <v>93.482983345401877</v>
      </c>
      <c r="AU3">
        <v>95.490417136414891</v>
      </c>
    </row>
    <row r="4" spans="1:47" x14ac:dyDescent="0.3">
      <c r="A4">
        <f>A2+2</f>
        <v>1992</v>
      </c>
      <c r="B4">
        <f>RCT!D4</f>
        <v>95.272206303724928</v>
      </c>
      <c r="C4">
        <f>CT!D4</f>
        <v>98.012422360248451</v>
      </c>
      <c r="D4">
        <f>META!D4</f>
        <v>90.909090909090907</v>
      </c>
      <c r="E4">
        <f>REVIEW!D4</f>
        <v>97.826086956521735</v>
      </c>
      <c r="F4">
        <f>CCJ!D4</f>
        <v>97.898775808514529</v>
      </c>
      <c r="G4">
        <f>ALL!D4</f>
        <v>98.010955285342447</v>
      </c>
      <c r="H4" t="e">
        <f>OBS!D4</f>
        <v>#DIV/0!</v>
      </c>
      <c r="I4" t="e">
        <f>SYSREV!D4</f>
        <v>#DIV/0!</v>
      </c>
      <c r="K4" t="str">
        <v>Meta-analysis</v>
      </c>
      <c r="L4">
        <v>90</v>
      </c>
      <c r="M4">
        <v>89.189189189189193</v>
      </c>
      <c r="N4">
        <v>90.909090909090907</v>
      </c>
      <c r="O4">
        <v>96.721311475409834</v>
      </c>
      <c r="P4">
        <v>92.307692307692307</v>
      </c>
      <c r="Q4">
        <v>92.222222222222229</v>
      </c>
      <c r="R4">
        <v>94.791666666666657</v>
      </c>
      <c r="S4">
        <v>95.041322314049594</v>
      </c>
      <c r="T4">
        <v>87.931034482758619</v>
      </c>
      <c r="U4">
        <v>96.124031007751938</v>
      </c>
      <c r="V4">
        <v>93.220338983050837</v>
      </c>
      <c r="W4">
        <v>86.82634730538922</v>
      </c>
      <c r="X4">
        <v>91.549295774647888</v>
      </c>
      <c r="Y4">
        <v>87.301587301587304</v>
      </c>
      <c r="Z4">
        <v>86.127167630057798</v>
      </c>
      <c r="AA4">
        <v>88.866396761133601</v>
      </c>
      <c r="AB4">
        <v>89.608177172061332</v>
      </c>
      <c r="AC4">
        <v>88.785046728971963</v>
      </c>
      <c r="AD4">
        <v>88.901601830663608</v>
      </c>
      <c r="AE4">
        <v>89.159891598915991</v>
      </c>
      <c r="AF4">
        <v>88.203017832647461</v>
      </c>
      <c r="AG4">
        <v>89.220647773279353</v>
      </c>
      <c r="AH4">
        <v>89.123196448390672</v>
      </c>
      <c r="AI4">
        <v>89.297752808988761</v>
      </c>
      <c r="AJ4">
        <v>89.790143834001412</v>
      </c>
      <c r="AK4">
        <v>89.915446483811095</v>
      </c>
      <c r="AL4">
        <v>90.316166235832171</v>
      </c>
      <c r="AM4">
        <v>89.312695780357473</v>
      </c>
      <c r="AN4">
        <v>89.006486855582111</v>
      </c>
      <c r="AO4">
        <v>89.959963042808738</v>
      </c>
      <c r="AP4">
        <v>90.102301790281331</v>
      </c>
      <c r="AQ4">
        <v>90.064315812818805</v>
      </c>
      <c r="AR4">
        <v>90.320512820512818</v>
      </c>
      <c r="AS4">
        <v>90.926109459310638</v>
      </c>
      <c r="AT4">
        <v>91.768826619964969</v>
      </c>
      <c r="AU4">
        <v>91.40764849471114</v>
      </c>
    </row>
    <row r="5" spans="1:47" x14ac:dyDescent="0.3">
      <c r="A5">
        <f t="shared" ref="A5:A36" si="0">A3+2</f>
        <v>1993</v>
      </c>
      <c r="B5">
        <f>RCT!D5</f>
        <v>95.132039452752153</v>
      </c>
      <c r="C5">
        <f>CT!D5</f>
        <v>96.832579185520359</v>
      </c>
      <c r="D5">
        <f>META!D5</f>
        <v>96.721311475409834</v>
      </c>
      <c r="E5">
        <f>REVIEW!D5</f>
        <v>95.391705069124427</v>
      </c>
      <c r="F5">
        <f>CCJ!D5</f>
        <v>97.32850741123751</v>
      </c>
      <c r="G5">
        <f>ALL!D5</f>
        <v>97.52080877362198</v>
      </c>
      <c r="H5" t="e">
        <f>OBS!D5</f>
        <v>#DIV/0!</v>
      </c>
      <c r="I5" t="e">
        <f>SYSREV!D5</f>
        <v>#DIV/0!</v>
      </c>
      <c r="K5" t="str">
        <v>Review</v>
      </c>
      <c r="L5">
        <v>98.387096774193552</v>
      </c>
      <c r="M5">
        <v>96.618357487922708</v>
      </c>
      <c r="N5">
        <v>97.826086956521735</v>
      </c>
      <c r="O5">
        <v>95.391705069124427</v>
      </c>
      <c r="P5">
        <v>94.930875576036868</v>
      </c>
      <c r="Q5">
        <v>93.680297397769522</v>
      </c>
      <c r="R5">
        <v>95.9375</v>
      </c>
      <c r="S5">
        <v>96.507936507936506</v>
      </c>
      <c r="T5">
        <v>95.439739413680783</v>
      </c>
      <c r="U5">
        <v>96.92307692307692</v>
      </c>
      <c r="V5">
        <v>91.83673469387756</v>
      </c>
      <c r="W5">
        <v>94.855305466237937</v>
      </c>
      <c r="X5">
        <v>88.150289017341038</v>
      </c>
      <c r="Y5">
        <v>94.488188976377955</v>
      </c>
      <c r="Z5">
        <v>94.045534150612966</v>
      </c>
      <c r="AA5">
        <v>91.368421052631575</v>
      </c>
      <c r="AB5">
        <v>94.063926940639263</v>
      </c>
      <c r="AC5">
        <v>93.574297188755011</v>
      </c>
      <c r="AD5">
        <v>91.242362525458248</v>
      </c>
      <c r="AE5">
        <v>91.911764705882348</v>
      </c>
      <c r="AF5">
        <v>93.037974683544306</v>
      </c>
      <c r="AG5">
        <v>92.479108635097489</v>
      </c>
      <c r="AH5">
        <v>91.587677725118482</v>
      </c>
      <c r="AI5">
        <v>92.687950566426366</v>
      </c>
      <c r="AJ5">
        <v>91.9921875</v>
      </c>
      <c r="AK5">
        <v>92.070484581497809</v>
      </c>
      <c r="AL5">
        <v>91.350040420371869</v>
      </c>
      <c r="AM5">
        <v>89.903069466882073</v>
      </c>
      <c r="AN5">
        <v>89.07630522088354</v>
      </c>
      <c r="AO5">
        <v>90.763358778625957</v>
      </c>
      <c r="AP5">
        <v>90.591900311526473</v>
      </c>
      <c r="AQ5">
        <v>91.827637444279347</v>
      </c>
      <c r="AR5">
        <v>92.165354330708666</v>
      </c>
      <c r="AS5">
        <v>92.273098937040061</v>
      </c>
      <c r="AT5">
        <v>92.457142857142856</v>
      </c>
      <c r="AU5">
        <v>93.537015276145709</v>
      </c>
    </row>
    <row r="6" spans="1:47" x14ac:dyDescent="0.3">
      <c r="A6">
        <f t="shared" si="0"/>
        <v>1994</v>
      </c>
      <c r="B6">
        <f>RCT!D6</f>
        <v>94.593867670790743</v>
      </c>
      <c r="C6">
        <f>CT!D6</f>
        <v>97.356426618049227</v>
      </c>
      <c r="D6">
        <f>META!D6</f>
        <v>92.307692307692307</v>
      </c>
      <c r="E6">
        <f>REVIEW!D6</f>
        <v>94.930875576036868</v>
      </c>
      <c r="F6">
        <f>CCJ!D6</f>
        <v>97.034956304619229</v>
      </c>
      <c r="G6">
        <f>ALL!D6</f>
        <v>97.385599367005142</v>
      </c>
      <c r="H6" t="e">
        <f>OBS!D6</f>
        <v>#DIV/0!</v>
      </c>
      <c r="I6" t="e">
        <f>SYSREV!D6</f>
        <v>#DIV/0!</v>
      </c>
      <c r="K6" t="str">
        <v>Core clinical journal</v>
      </c>
      <c r="L6">
        <v>98.112369531423496</v>
      </c>
      <c r="M6">
        <v>98.428571428571431</v>
      </c>
      <c r="N6">
        <v>97.898775808514529</v>
      </c>
      <c r="O6">
        <v>97.32850741123751</v>
      </c>
      <c r="P6">
        <v>97.034956304619229</v>
      </c>
      <c r="Q6">
        <v>97.223051657211116</v>
      </c>
      <c r="R6">
        <v>97.327911704908516</v>
      </c>
      <c r="S6">
        <v>97.08070175438597</v>
      </c>
      <c r="T6">
        <v>96.593776282590412</v>
      </c>
      <c r="U6">
        <v>96.281826754681404</v>
      </c>
      <c r="V6">
        <v>96.912990028684604</v>
      </c>
      <c r="W6">
        <v>96.517346803137045</v>
      </c>
      <c r="X6">
        <v>96.034963263237898</v>
      </c>
      <c r="Y6">
        <v>96.008682020981553</v>
      </c>
      <c r="Z6">
        <v>95.402035914445833</v>
      </c>
      <c r="AA6">
        <v>95.388064481691046</v>
      </c>
      <c r="AB6">
        <v>95.464007888681934</v>
      </c>
      <c r="AC6">
        <v>95.304759853542961</v>
      </c>
      <c r="AD6">
        <v>94.916148085644963</v>
      </c>
      <c r="AE6">
        <v>94.987709736026503</v>
      </c>
      <c r="AF6">
        <v>94.892686804451515</v>
      </c>
      <c r="AG6">
        <v>95.088689681480062</v>
      </c>
      <c r="AH6">
        <v>94.767606297727909</v>
      </c>
      <c r="AI6">
        <v>94.700223329324857</v>
      </c>
      <c r="AJ6">
        <v>94.160401002506262</v>
      </c>
      <c r="AK6">
        <v>94.227719632096424</v>
      </c>
      <c r="AL6">
        <v>94.299360603959641</v>
      </c>
      <c r="AM6">
        <v>93.649635036496349</v>
      </c>
      <c r="AN6">
        <v>93.233269757027955</v>
      </c>
      <c r="AO6">
        <v>93.694073949012321</v>
      </c>
      <c r="AP6">
        <v>93.48392701998263</v>
      </c>
      <c r="AQ6">
        <v>93.517855722580137</v>
      </c>
      <c r="AR6">
        <v>93.311291963377414</v>
      </c>
      <c r="AS6">
        <v>93.439309014058622</v>
      </c>
      <c r="AT6">
        <v>93.847503900155999</v>
      </c>
      <c r="AU6">
        <v>93.624311038283921</v>
      </c>
    </row>
    <row r="7" spans="1:47" x14ac:dyDescent="0.3">
      <c r="A7">
        <f t="shared" si="0"/>
        <v>1995</v>
      </c>
      <c r="B7">
        <f>RCT!D7</f>
        <v>95.023923444976077</v>
      </c>
      <c r="C7">
        <f>CT!D7</f>
        <v>97.169811320754718</v>
      </c>
      <c r="D7">
        <f>META!D7</f>
        <v>92.222222222222229</v>
      </c>
      <c r="E7">
        <f>REVIEW!D7</f>
        <v>93.680297397769522</v>
      </c>
      <c r="F7">
        <f>CCJ!D7</f>
        <v>97.223051657211116</v>
      </c>
      <c r="G7">
        <f>ALL!D7</f>
        <v>97.169380611779033</v>
      </c>
      <c r="H7" t="e">
        <f>OBS!D7</f>
        <v>#DIV/0!</v>
      </c>
      <c r="I7">
        <f>SYSREV!D7</f>
        <v>100</v>
      </c>
      <c r="K7" t="str">
        <v>All MEDLINE</v>
      </c>
      <c r="L7">
        <v>98.003179947624403</v>
      </c>
      <c r="M7">
        <v>98.066452304394431</v>
      </c>
      <c r="N7">
        <v>98.010955285342447</v>
      </c>
      <c r="O7">
        <v>97.52080877362198</v>
      </c>
      <c r="P7">
        <v>97.385599367005142</v>
      </c>
      <c r="Q7">
        <v>97.169380611779033</v>
      </c>
      <c r="R7">
        <v>97.134037552037611</v>
      </c>
      <c r="S7">
        <v>97.065877838183567</v>
      </c>
      <c r="T7">
        <v>96.812597947525404</v>
      </c>
      <c r="U7">
        <v>96.839012369082027</v>
      </c>
      <c r="V7">
        <v>96.720417896888492</v>
      </c>
      <c r="W7">
        <v>96.639316384661171</v>
      </c>
      <c r="X7">
        <v>96.41501225974848</v>
      </c>
      <c r="Y7">
        <v>96.300500124144293</v>
      </c>
      <c r="Z7">
        <v>96.142319096081422</v>
      </c>
      <c r="AA7">
        <v>96.125843947936247</v>
      </c>
      <c r="AB7">
        <v>96.024680589050234</v>
      </c>
      <c r="AC7">
        <v>96.05804026279732</v>
      </c>
      <c r="AD7">
        <v>95.90697573984302</v>
      </c>
      <c r="AE7">
        <v>95.882097525017414</v>
      </c>
      <c r="AF7">
        <v>95.648972980932044</v>
      </c>
      <c r="AG7">
        <v>95.642561335775213</v>
      </c>
      <c r="AH7">
        <v>95.628481656319735</v>
      </c>
      <c r="AI7">
        <v>95.513203279218274</v>
      </c>
      <c r="AJ7">
        <v>95.488706775934446</v>
      </c>
      <c r="AK7">
        <v>95.432752000916892</v>
      </c>
      <c r="AL7">
        <v>95.149115364067754</v>
      </c>
      <c r="AM7">
        <v>94.85282757683062</v>
      </c>
      <c r="AN7">
        <v>94.683149303888626</v>
      </c>
      <c r="AO7">
        <v>94.766490378817892</v>
      </c>
      <c r="AP7">
        <v>94.796306465718871</v>
      </c>
      <c r="AQ7">
        <v>94.781364859232312</v>
      </c>
      <c r="AR7">
        <v>94.835472996489685</v>
      </c>
      <c r="AS7">
        <v>94.872991898942743</v>
      </c>
      <c r="AT7">
        <v>94.964024945544793</v>
      </c>
      <c r="AU7">
        <v>95.272837228054399</v>
      </c>
    </row>
    <row r="8" spans="1:47" x14ac:dyDescent="0.3">
      <c r="A8">
        <f t="shared" si="0"/>
        <v>1996</v>
      </c>
      <c r="B8">
        <f>RCT!D8</f>
        <v>95.572127709158707</v>
      </c>
      <c r="C8">
        <f>CT!D8</f>
        <v>96.689895470383277</v>
      </c>
      <c r="D8">
        <f>META!D8</f>
        <v>94.791666666666657</v>
      </c>
      <c r="E8">
        <f>REVIEW!D8</f>
        <v>95.9375</v>
      </c>
      <c r="F8">
        <f>CCJ!D8</f>
        <v>97.327911704908516</v>
      </c>
      <c r="G8">
        <f>ALL!D8</f>
        <v>97.134037552037611</v>
      </c>
      <c r="H8" t="e">
        <f>OBS!D8</f>
        <v>#DIV/0!</v>
      </c>
      <c r="I8">
        <f>SYSREV!D8</f>
        <v>100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>
        <v>100</v>
      </c>
      <c r="Y8" t="e">
        <v>#DIV/0!</v>
      </c>
      <c r="Z8" t="e">
        <v>#DIV/0!</v>
      </c>
      <c r="AA8" t="e">
        <v>#DIV/0!</v>
      </c>
      <c r="AB8" t="e">
        <v>#DIV/0!</v>
      </c>
      <c r="AC8" t="e">
        <v>#DIV/0!</v>
      </c>
      <c r="AD8" t="e">
        <v>#DIV/0!</v>
      </c>
      <c r="AE8">
        <v>100</v>
      </c>
      <c r="AF8">
        <v>94.73684210526315</v>
      </c>
      <c r="AG8">
        <v>97.61904761904762</v>
      </c>
      <c r="AH8">
        <v>95.959595959595958</v>
      </c>
      <c r="AI8">
        <v>95.165394402035616</v>
      </c>
      <c r="AJ8">
        <v>95.456955983736975</v>
      </c>
      <c r="AK8">
        <v>94.693819016205367</v>
      </c>
      <c r="AL8">
        <v>94.667519181585675</v>
      </c>
      <c r="AM8">
        <v>94.904756339838727</v>
      </c>
      <c r="AN8">
        <v>94.725534429047158</v>
      </c>
      <c r="AO8">
        <v>94.781661550648579</v>
      </c>
      <c r="AP8">
        <v>95.172537099946368</v>
      </c>
      <c r="AQ8">
        <v>95.181046043808664</v>
      </c>
      <c r="AR8">
        <v>94.988610478359917</v>
      </c>
      <c r="AS8">
        <v>94.948857178936734</v>
      </c>
      <c r="AT8">
        <v>94.303934284479027</v>
      </c>
      <c r="AU8">
        <v>94.757625272331154</v>
      </c>
    </row>
    <row r="9" spans="1:47" x14ac:dyDescent="0.3">
      <c r="A9">
        <f t="shared" si="0"/>
        <v>1997</v>
      </c>
      <c r="B9">
        <f>RCT!D9</f>
        <v>94.60762823323104</v>
      </c>
      <c r="C9">
        <f>CT!D9</f>
        <v>97.227497151538174</v>
      </c>
      <c r="D9">
        <f>META!D9</f>
        <v>95.041322314049594</v>
      </c>
      <c r="E9">
        <f>REVIEW!D9</f>
        <v>96.507936507936506</v>
      </c>
      <c r="F9">
        <f>CCJ!D9</f>
        <v>97.08070175438597</v>
      </c>
      <c r="G9">
        <f>ALL!D9</f>
        <v>97.065877838183567</v>
      </c>
      <c r="H9" t="e">
        <f>OBS!D9</f>
        <v>#DIV/0!</v>
      </c>
      <c r="I9">
        <f>SYSREV!D9</f>
        <v>100</v>
      </c>
      <c r="K9" t="str">
        <v>Systematic review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>
        <v>100</v>
      </c>
      <c r="R9">
        <v>100</v>
      </c>
      <c r="S9">
        <v>100</v>
      </c>
      <c r="T9">
        <v>87.5</v>
      </c>
      <c r="U9">
        <v>88.235294117647058</v>
      </c>
      <c r="V9">
        <v>85.13513513513513</v>
      </c>
      <c r="W9">
        <v>85.714285714285708</v>
      </c>
      <c r="X9">
        <v>81.521739130434781</v>
      </c>
      <c r="Y9">
        <v>88.970588235294116</v>
      </c>
      <c r="Z9">
        <v>84.705882352941174</v>
      </c>
      <c r="AA9">
        <v>88.679245283018872</v>
      </c>
      <c r="AB9">
        <v>90.706319702602229</v>
      </c>
      <c r="AC9">
        <v>87.989556135770229</v>
      </c>
      <c r="AD9">
        <v>87.472035794183441</v>
      </c>
      <c r="AE9">
        <v>88.908450704225345</v>
      </c>
      <c r="AF9">
        <v>88.300835654596099</v>
      </c>
      <c r="AG9">
        <v>88.789237668161434</v>
      </c>
      <c r="AH9">
        <v>88.217054263565885</v>
      </c>
      <c r="AI9">
        <v>89.37282229965156</v>
      </c>
      <c r="AJ9">
        <v>89.078014184397162</v>
      </c>
      <c r="AK9">
        <v>89.68609865470853</v>
      </c>
      <c r="AL9">
        <v>89.793882978723403</v>
      </c>
      <c r="AM9">
        <v>89.442567567567565</v>
      </c>
      <c r="AN9">
        <v>89.403341288782812</v>
      </c>
      <c r="AO9">
        <v>90.329416297437874</v>
      </c>
      <c r="AP9">
        <v>90.088105726872243</v>
      </c>
      <c r="AQ9">
        <v>90.536068828590331</v>
      </c>
      <c r="AR9">
        <v>90.919689119170982</v>
      </c>
      <c r="AS9">
        <v>91.134047902606852</v>
      </c>
      <c r="AT9">
        <v>91.883685624197128</v>
      </c>
      <c r="AU9">
        <v>91.648282382603213</v>
      </c>
    </row>
    <row r="10" spans="1:47" x14ac:dyDescent="0.3">
      <c r="A10">
        <f t="shared" si="0"/>
        <v>1998</v>
      </c>
      <c r="B10">
        <f>RCT!D10</f>
        <v>94.282188399835448</v>
      </c>
      <c r="C10">
        <f>CT!D10</f>
        <v>97.047028800583305</v>
      </c>
      <c r="D10">
        <f>META!D10</f>
        <v>87.931034482758619</v>
      </c>
      <c r="E10">
        <f>REVIEW!D10</f>
        <v>95.439739413680783</v>
      </c>
      <c r="F10">
        <f>CCJ!D10</f>
        <v>96.593776282590412</v>
      </c>
      <c r="G10">
        <f>ALL!D10</f>
        <v>96.812597947525404</v>
      </c>
      <c r="H10" t="e">
        <f>OBS!D10</f>
        <v>#DIV/0!</v>
      </c>
      <c r="I10">
        <f>SYSREV!D10</f>
        <v>87.5</v>
      </c>
    </row>
    <row r="11" spans="1:47" x14ac:dyDescent="0.3">
      <c r="A11">
        <f t="shared" si="0"/>
        <v>1999</v>
      </c>
      <c r="B11">
        <f>RCT!D11</f>
        <v>94.164653410146812</v>
      </c>
      <c r="C11">
        <f>CT!D11</f>
        <v>96.865104496516778</v>
      </c>
      <c r="D11">
        <f>META!D11</f>
        <v>96.124031007751938</v>
      </c>
      <c r="E11">
        <f>REVIEW!D11</f>
        <v>96.92307692307692</v>
      </c>
      <c r="F11">
        <f>CCJ!D11</f>
        <v>96.281826754681404</v>
      </c>
      <c r="G11">
        <f>ALL!D11</f>
        <v>96.839012369082027</v>
      </c>
      <c r="H11" t="e">
        <f>OBS!D11</f>
        <v>#DIV/0!</v>
      </c>
      <c r="I11">
        <f>SYSREV!D11</f>
        <v>88.235294117647058</v>
      </c>
    </row>
    <row r="12" spans="1:47" x14ac:dyDescent="0.3">
      <c r="A12">
        <f t="shared" si="0"/>
        <v>2000</v>
      </c>
      <c r="B12">
        <f>RCT!D12</f>
        <v>94.121004566210047</v>
      </c>
      <c r="C12">
        <f>CT!D12</f>
        <v>96.706028589185834</v>
      </c>
      <c r="D12">
        <f>META!D12</f>
        <v>93.220338983050837</v>
      </c>
      <c r="E12">
        <f>REVIEW!D12</f>
        <v>91.83673469387756</v>
      </c>
      <c r="F12">
        <f>CCJ!D12</f>
        <v>96.912990028684604</v>
      </c>
      <c r="G12">
        <f>ALL!D12</f>
        <v>96.720417896888492</v>
      </c>
      <c r="H12" t="e">
        <f>OBS!D12</f>
        <v>#DIV/0!</v>
      </c>
      <c r="I12">
        <f>SYSREV!D12</f>
        <v>85.13513513513513</v>
      </c>
    </row>
    <row r="13" spans="1:47" x14ac:dyDescent="0.3">
      <c r="A13">
        <f t="shared" si="0"/>
        <v>2001</v>
      </c>
      <c r="B13">
        <f>RCT!D13</f>
        <v>93.59219919902489</v>
      </c>
      <c r="C13">
        <f>CT!D13</f>
        <v>97.185741088180109</v>
      </c>
      <c r="D13">
        <f>META!D13</f>
        <v>86.82634730538922</v>
      </c>
      <c r="E13">
        <f>REVIEW!D13</f>
        <v>94.855305466237937</v>
      </c>
      <c r="F13">
        <f>CCJ!D13</f>
        <v>96.517346803137045</v>
      </c>
      <c r="G13">
        <f>ALL!D13</f>
        <v>96.639316384661171</v>
      </c>
      <c r="H13" t="e">
        <f>OBS!D13</f>
        <v>#DIV/0!</v>
      </c>
      <c r="I13">
        <f>SYSREV!D13</f>
        <v>85.714285714285708</v>
      </c>
    </row>
    <row r="14" spans="1:47" x14ac:dyDescent="0.3">
      <c r="A14">
        <f t="shared" si="0"/>
        <v>2002</v>
      </c>
      <c r="B14">
        <f>RCT!D14</f>
        <v>93.477542932628793</v>
      </c>
      <c r="C14">
        <f>CT!D14</f>
        <v>96.026261230131311</v>
      </c>
      <c r="D14">
        <f>META!D14</f>
        <v>91.549295774647888</v>
      </c>
      <c r="E14">
        <f>REVIEW!D14</f>
        <v>88.150289017341038</v>
      </c>
      <c r="F14">
        <f>CCJ!D14</f>
        <v>96.034963263237898</v>
      </c>
      <c r="G14">
        <f>ALL!D14</f>
        <v>96.41501225974848</v>
      </c>
      <c r="H14">
        <f>OBS!D14</f>
        <v>100</v>
      </c>
      <c r="I14">
        <f>SYSREV!D14</f>
        <v>81.521739130434781</v>
      </c>
    </row>
    <row r="15" spans="1:47" x14ac:dyDescent="0.3">
      <c r="A15">
        <f t="shared" si="0"/>
        <v>2003</v>
      </c>
      <c r="B15">
        <f>RCT!D15</f>
        <v>93.235805330243338</v>
      </c>
      <c r="C15">
        <f>CT!D15</f>
        <v>96.716826265389884</v>
      </c>
      <c r="D15">
        <f>META!D15</f>
        <v>87.301587301587304</v>
      </c>
      <c r="E15">
        <f>REVIEW!D15</f>
        <v>94.488188976377955</v>
      </c>
      <c r="F15">
        <f>CCJ!D15</f>
        <v>96.008682020981553</v>
      </c>
      <c r="G15">
        <f>ALL!D15</f>
        <v>96.300500124144293</v>
      </c>
      <c r="H15" t="e">
        <f>OBS!D15</f>
        <v>#DIV/0!</v>
      </c>
      <c r="I15">
        <f>SYSREV!D15</f>
        <v>88.970588235294116</v>
      </c>
    </row>
    <row r="16" spans="1:47" x14ac:dyDescent="0.3">
      <c r="A16">
        <f t="shared" si="0"/>
        <v>2004</v>
      </c>
      <c r="B16">
        <f>RCT!D16</f>
        <v>93.423948220064716</v>
      </c>
      <c r="C16">
        <f>CT!D16</f>
        <v>96.503318019397653</v>
      </c>
      <c r="D16">
        <f>META!D16</f>
        <v>86.127167630057798</v>
      </c>
      <c r="E16">
        <f>REVIEW!D16</f>
        <v>94.045534150612966</v>
      </c>
      <c r="F16">
        <f>CCJ!D16</f>
        <v>95.402035914445833</v>
      </c>
      <c r="G16">
        <f>ALL!D16</f>
        <v>96.142319096081422</v>
      </c>
      <c r="H16" t="e">
        <f>OBS!D16</f>
        <v>#DIV/0!</v>
      </c>
      <c r="I16">
        <f>SYSREV!D16</f>
        <v>84.705882352941174</v>
      </c>
    </row>
    <row r="17" spans="1:9" x14ac:dyDescent="0.3">
      <c r="A17">
        <f t="shared" si="0"/>
        <v>2005</v>
      </c>
      <c r="B17">
        <f>RCT!D17</f>
        <v>92.69911504424779</v>
      </c>
      <c r="C17">
        <f>CT!D17</f>
        <v>96.243494003168138</v>
      </c>
      <c r="D17">
        <f>META!D17</f>
        <v>88.866396761133601</v>
      </c>
      <c r="E17">
        <f>REVIEW!D17</f>
        <v>91.368421052631575</v>
      </c>
      <c r="F17">
        <f>CCJ!D17</f>
        <v>95.388064481691046</v>
      </c>
      <c r="G17">
        <f>ALL!D17</f>
        <v>96.125843947936247</v>
      </c>
      <c r="H17" t="e">
        <f>OBS!D17</f>
        <v>#DIV/0!</v>
      </c>
      <c r="I17">
        <f>SYSREV!D17</f>
        <v>88.679245283018872</v>
      </c>
    </row>
    <row r="18" spans="1:9" x14ac:dyDescent="0.3">
      <c r="A18">
        <f t="shared" si="0"/>
        <v>2006</v>
      </c>
      <c r="B18">
        <f>RCT!D18</f>
        <v>92.879798753144485</v>
      </c>
      <c r="C18">
        <f>CT!D18</f>
        <v>95.386444708680145</v>
      </c>
      <c r="D18">
        <f>META!D18</f>
        <v>89.608177172061332</v>
      </c>
      <c r="E18">
        <f>REVIEW!D18</f>
        <v>94.063926940639263</v>
      </c>
      <c r="F18">
        <f>CCJ!D18</f>
        <v>95.464007888681934</v>
      </c>
      <c r="G18">
        <f>ALL!D18</f>
        <v>96.024680589050234</v>
      </c>
      <c r="H18" t="e">
        <f>OBS!D18</f>
        <v>#DIV/0!</v>
      </c>
      <c r="I18">
        <f>SYSREV!D18</f>
        <v>90.706319702602229</v>
      </c>
    </row>
    <row r="19" spans="1:9" x14ac:dyDescent="0.3">
      <c r="A19">
        <f t="shared" si="0"/>
        <v>2007</v>
      </c>
      <c r="B19">
        <f>RCT!D19</f>
        <v>92.892792972649232</v>
      </c>
      <c r="C19">
        <f>CT!D19</f>
        <v>95.394893820090672</v>
      </c>
      <c r="D19">
        <f>META!D19</f>
        <v>88.785046728971963</v>
      </c>
      <c r="E19">
        <f>REVIEW!D19</f>
        <v>93.574297188755011</v>
      </c>
      <c r="F19">
        <f>CCJ!D19</f>
        <v>95.304759853542961</v>
      </c>
      <c r="G19">
        <f>ALL!D19</f>
        <v>96.05804026279732</v>
      </c>
      <c r="H19" t="e">
        <f>OBS!D19</f>
        <v>#DIV/0!</v>
      </c>
      <c r="I19">
        <f>SYSREV!D19</f>
        <v>87.989556135770229</v>
      </c>
    </row>
    <row r="20" spans="1:9" x14ac:dyDescent="0.3">
      <c r="A20">
        <f t="shared" si="0"/>
        <v>2008</v>
      </c>
      <c r="B20">
        <f>RCT!D20</f>
        <v>92.660638707195076</v>
      </c>
      <c r="C20">
        <f>CT!D20</f>
        <v>95.100279258695096</v>
      </c>
      <c r="D20">
        <f>META!D20</f>
        <v>88.901601830663608</v>
      </c>
      <c r="E20">
        <f>REVIEW!D20</f>
        <v>91.242362525458248</v>
      </c>
      <c r="F20">
        <f>CCJ!D20</f>
        <v>94.916148085644963</v>
      </c>
      <c r="G20">
        <f>ALL!D20</f>
        <v>95.90697573984302</v>
      </c>
      <c r="H20" t="e">
        <f>OBS!D20</f>
        <v>#DIV/0!</v>
      </c>
      <c r="I20">
        <f>SYSREV!D20</f>
        <v>87.472035794183441</v>
      </c>
    </row>
    <row r="21" spans="1:9" x14ac:dyDescent="0.3">
      <c r="A21">
        <f t="shared" si="0"/>
        <v>2009</v>
      </c>
      <c r="B21">
        <f>RCT!D21</f>
        <v>92.663849680841508</v>
      </c>
      <c r="C21">
        <f>CT!D21</f>
        <v>95.683074493287705</v>
      </c>
      <c r="D21">
        <f>META!D21</f>
        <v>89.159891598915991</v>
      </c>
      <c r="E21">
        <f>REVIEW!D21</f>
        <v>91.911764705882348</v>
      </c>
      <c r="F21">
        <f>CCJ!D21</f>
        <v>94.987709736026503</v>
      </c>
      <c r="G21">
        <f>ALL!D21</f>
        <v>95.882097525017414</v>
      </c>
      <c r="H21">
        <f>OBS!D21</f>
        <v>100</v>
      </c>
      <c r="I21">
        <f>SYSREV!D21</f>
        <v>88.908450704225345</v>
      </c>
    </row>
    <row r="22" spans="1:9" x14ac:dyDescent="0.3">
      <c r="A22">
        <f t="shared" si="0"/>
        <v>2010</v>
      </c>
      <c r="B22">
        <f>RCT!D22</f>
        <v>92.314714914100762</v>
      </c>
      <c r="C22">
        <f>CT!D22</f>
        <v>95.638004512409125</v>
      </c>
      <c r="D22">
        <f>META!D22</f>
        <v>88.203017832647461</v>
      </c>
      <c r="E22">
        <f>REVIEW!D22</f>
        <v>93.037974683544306</v>
      </c>
      <c r="F22">
        <f>CCJ!D22</f>
        <v>94.892686804451515</v>
      </c>
      <c r="G22">
        <f>ALL!D22</f>
        <v>95.648972980932044</v>
      </c>
      <c r="H22">
        <f>OBS!D22</f>
        <v>94.73684210526315</v>
      </c>
      <c r="I22">
        <f>SYSREV!D22</f>
        <v>88.300835654596099</v>
      </c>
    </row>
    <row r="23" spans="1:9" x14ac:dyDescent="0.3">
      <c r="A23">
        <f t="shared" si="0"/>
        <v>2011</v>
      </c>
      <c r="B23">
        <f>RCT!D23</f>
        <v>92.558902475395172</v>
      </c>
      <c r="C23">
        <f>CT!D23</f>
        <v>95.650301464254952</v>
      </c>
      <c r="D23">
        <f>META!D23</f>
        <v>89.220647773279353</v>
      </c>
      <c r="E23">
        <f>REVIEW!D23</f>
        <v>92.479108635097489</v>
      </c>
      <c r="F23">
        <f>CCJ!D23</f>
        <v>95.088689681480062</v>
      </c>
      <c r="G23">
        <f>ALL!D23</f>
        <v>95.642561335775213</v>
      </c>
      <c r="H23">
        <f>OBS!D23</f>
        <v>97.61904761904762</v>
      </c>
      <c r="I23">
        <f>SYSREV!D23</f>
        <v>88.789237668161434</v>
      </c>
    </row>
    <row r="24" spans="1:9" x14ac:dyDescent="0.3">
      <c r="A24">
        <f>A22+2</f>
        <v>2012</v>
      </c>
      <c r="B24">
        <f>RCT!D24</f>
        <v>92.357205772748827</v>
      </c>
      <c r="C24">
        <f>CT!D24</f>
        <v>95.359719243517262</v>
      </c>
      <c r="D24">
        <f>META!D24</f>
        <v>89.123196448390672</v>
      </c>
      <c r="E24">
        <f>REVIEW!D24</f>
        <v>91.587677725118482</v>
      </c>
      <c r="F24">
        <f>CCJ!D24</f>
        <v>94.767606297727909</v>
      </c>
      <c r="G24">
        <f>ALL!D24</f>
        <v>95.628481656319735</v>
      </c>
      <c r="H24">
        <f>OBS!D24</f>
        <v>95.959595959595958</v>
      </c>
      <c r="I24">
        <f>SYSREV!D24</f>
        <v>88.217054263565885</v>
      </c>
    </row>
    <row r="25" spans="1:9" x14ac:dyDescent="0.3">
      <c r="A25">
        <f t="shared" si="0"/>
        <v>2013</v>
      </c>
      <c r="B25">
        <f>RCT!D25</f>
        <v>92.125984251968504</v>
      </c>
      <c r="C25">
        <f>CT!D25</f>
        <v>95.652173913043484</v>
      </c>
      <c r="D25">
        <f>META!D25</f>
        <v>89.297752808988761</v>
      </c>
      <c r="E25">
        <f>REVIEW!D25</f>
        <v>92.687950566426366</v>
      </c>
      <c r="F25">
        <f>CCJ!D25</f>
        <v>94.700223329324857</v>
      </c>
      <c r="G25">
        <f>ALL!D25</f>
        <v>95.513203279218274</v>
      </c>
      <c r="H25">
        <f>OBS!D25</f>
        <v>95.165394402035616</v>
      </c>
      <c r="I25">
        <f>SYSREV!D25</f>
        <v>89.37282229965156</v>
      </c>
    </row>
    <row r="26" spans="1:9" x14ac:dyDescent="0.3">
      <c r="A26">
        <f t="shared" si="0"/>
        <v>2014</v>
      </c>
      <c r="B26">
        <f>RCT!D26</f>
        <v>92.004490457777223</v>
      </c>
      <c r="C26">
        <f>CT!D26</f>
        <v>95.643680406329352</v>
      </c>
      <c r="D26">
        <f>META!D26</f>
        <v>89.790143834001412</v>
      </c>
      <c r="E26">
        <f>REVIEW!D26</f>
        <v>91.9921875</v>
      </c>
      <c r="F26">
        <f>CCJ!D26</f>
        <v>94.160401002506262</v>
      </c>
      <c r="G26">
        <f>ALL!D26</f>
        <v>95.488706775934446</v>
      </c>
      <c r="H26">
        <f>OBS!D26</f>
        <v>95.456955983736975</v>
      </c>
      <c r="I26">
        <f>SYSREV!D26</f>
        <v>89.078014184397162</v>
      </c>
    </row>
    <row r="27" spans="1:9" x14ac:dyDescent="0.3">
      <c r="A27">
        <f t="shared" si="0"/>
        <v>2015</v>
      </c>
      <c r="B27">
        <f>RCT!D27</f>
        <v>91.601683376655529</v>
      </c>
      <c r="C27">
        <f>CT!D27</f>
        <v>95.515125872646507</v>
      </c>
      <c r="D27">
        <f>META!D27</f>
        <v>89.915446483811095</v>
      </c>
      <c r="E27">
        <f>REVIEW!D27</f>
        <v>92.070484581497809</v>
      </c>
      <c r="F27">
        <f>CCJ!D27</f>
        <v>94.227719632096424</v>
      </c>
      <c r="G27">
        <f>ALL!D27</f>
        <v>95.432752000916892</v>
      </c>
      <c r="H27">
        <f>OBS!D27</f>
        <v>94.693819016205367</v>
      </c>
      <c r="I27">
        <f>SYSREV!D27</f>
        <v>89.68609865470853</v>
      </c>
    </row>
    <row r="28" spans="1:9" x14ac:dyDescent="0.3">
      <c r="A28">
        <f t="shared" si="0"/>
        <v>2016</v>
      </c>
      <c r="B28">
        <f>RCT!D28</f>
        <v>91.259837481604706</v>
      </c>
      <c r="C28">
        <f>CT!D28</f>
        <v>95.227660092524957</v>
      </c>
      <c r="D28">
        <f>META!D28</f>
        <v>90.316166235832171</v>
      </c>
      <c r="E28">
        <f>REVIEW!D28</f>
        <v>91.350040420371869</v>
      </c>
      <c r="F28">
        <f>CCJ!D28</f>
        <v>94.299360603959641</v>
      </c>
      <c r="G28">
        <f>ALL!D28</f>
        <v>95.149115364067754</v>
      </c>
      <c r="H28">
        <f>OBS!D28</f>
        <v>94.667519181585675</v>
      </c>
      <c r="I28">
        <f>SYSREV!D28</f>
        <v>89.793882978723403</v>
      </c>
    </row>
    <row r="29" spans="1:9" x14ac:dyDescent="0.3">
      <c r="A29">
        <f t="shared" si="0"/>
        <v>2017</v>
      </c>
      <c r="B29">
        <f>RCT!D29</f>
        <v>91.163026917216854</v>
      </c>
      <c r="C29">
        <f>CT!D29</f>
        <v>94.429984383133785</v>
      </c>
      <c r="D29">
        <f>META!D29</f>
        <v>89.312695780357473</v>
      </c>
      <c r="E29">
        <f>REVIEW!D29</f>
        <v>89.903069466882073</v>
      </c>
      <c r="F29">
        <f>CCJ!D29</f>
        <v>93.649635036496349</v>
      </c>
      <c r="G29">
        <f>ALL!D29</f>
        <v>94.85282757683062</v>
      </c>
      <c r="H29">
        <f>OBS!D29</f>
        <v>94.904756339838727</v>
      </c>
      <c r="I29">
        <f>SYSREV!D29</f>
        <v>89.442567567567565</v>
      </c>
    </row>
    <row r="30" spans="1:9" x14ac:dyDescent="0.3">
      <c r="A30">
        <f t="shared" si="0"/>
        <v>2018</v>
      </c>
      <c r="B30">
        <f>RCT!D30</f>
        <v>90.702062593532446</v>
      </c>
      <c r="C30">
        <f>CT!D30</f>
        <v>94.432828018818611</v>
      </c>
      <c r="D30">
        <f>META!D30</f>
        <v>89.006486855582111</v>
      </c>
      <c r="E30">
        <f>REVIEW!D30</f>
        <v>89.07630522088354</v>
      </c>
      <c r="F30">
        <f>CCJ!D30</f>
        <v>93.233269757027955</v>
      </c>
      <c r="G30">
        <f>ALL!D30</f>
        <v>94.683149303888626</v>
      </c>
      <c r="H30">
        <f>OBS!D30</f>
        <v>94.725534429047158</v>
      </c>
      <c r="I30">
        <f>SYSREV!D30</f>
        <v>89.403341288782812</v>
      </c>
    </row>
    <row r="31" spans="1:9" x14ac:dyDescent="0.3">
      <c r="A31">
        <f t="shared" si="0"/>
        <v>2019</v>
      </c>
      <c r="B31">
        <f>RCT!D31</f>
        <v>90.632547816437096</v>
      </c>
      <c r="C31">
        <f>CT!D31</f>
        <v>94.956429891734885</v>
      </c>
      <c r="D31">
        <f>META!D31</f>
        <v>89.959963042808738</v>
      </c>
      <c r="E31">
        <f>REVIEW!D31</f>
        <v>90.763358778625957</v>
      </c>
      <c r="F31">
        <f>CCJ!D31</f>
        <v>93.694073949012321</v>
      </c>
      <c r="G31">
        <f>ALL!D31</f>
        <v>94.766490378817892</v>
      </c>
      <c r="H31">
        <f>OBS!D31</f>
        <v>94.781661550648579</v>
      </c>
      <c r="I31">
        <f>SYSREV!D31</f>
        <v>90.329416297437874</v>
      </c>
    </row>
    <row r="32" spans="1:9" x14ac:dyDescent="0.3">
      <c r="A32">
        <f t="shared" si="0"/>
        <v>2020</v>
      </c>
      <c r="B32">
        <f>RCT!D32</f>
        <v>90.104730949801365</v>
      </c>
      <c r="C32">
        <f>CT!D32</f>
        <v>95.815052311846102</v>
      </c>
      <c r="D32">
        <f>META!D32</f>
        <v>90.102301790281331</v>
      </c>
      <c r="E32">
        <f>REVIEW!D32</f>
        <v>90.591900311526473</v>
      </c>
      <c r="F32">
        <f>CCJ!D32</f>
        <v>93.48392701998263</v>
      </c>
      <c r="G32">
        <f>ALL!D32</f>
        <v>94.796306465718871</v>
      </c>
      <c r="H32">
        <f>OBS!D32</f>
        <v>95.172537099946368</v>
      </c>
      <c r="I32">
        <f>SYSREV!D32</f>
        <v>90.088105726872243</v>
      </c>
    </row>
    <row r="33" spans="1:9" x14ac:dyDescent="0.3">
      <c r="A33">
        <f t="shared" si="0"/>
        <v>2021</v>
      </c>
      <c r="B33">
        <f>RCT!D33</f>
        <v>90.350520258094519</v>
      </c>
      <c r="C33">
        <f>CT!D33</f>
        <v>94.902386117136658</v>
      </c>
      <c r="D33">
        <f>META!D33</f>
        <v>90.064315812818805</v>
      </c>
      <c r="E33">
        <f>REVIEW!D33</f>
        <v>91.827637444279347</v>
      </c>
      <c r="F33">
        <f>CCJ!D33</f>
        <v>93.517855722580137</v>
      </c>
      <c r="G33">
        <f>ALL!D33</f>
        <v>94.781364859232312</v>
      </c>
      <c r="H33">
        <f>OBS!D33</f>
        <v>95.181046043808664</v>
      </c>
      <c r="I33">
        <f>SYSREV!D33</f>
        <v>90.536068828590331</v>
      </c>
    </row>
    <row r="34" spans="1:9" x14ac:dyDescent="0.3">
      <c r="A34">
        <f t="shared" si="0"/>
        <v>2022</v>
      </c>
      <c r="B34">
        <f>RCT!D34</f>
        <v>90.403245337854202</v>
      </c>
      <c r="C34">
        <f>CT!D34</f>
        <v>94.430992736077485</v>
      </c>
      <c r="D34">
        <f>META!D34</f>
        <v>90.320512820512818</v>
      </c>
      <c r="E34">
        <f>REVIEW!D34</f>
        <v>92.165354330708666</v>
      </c>
      <c r="F34">
        <f>CCJ!D34</f>
        <v>93.311291963377414</v>
      </c>
      <c r="G34">
        <f>ALL!D34</f>
        <v>94.835472996489685</v>
      </c>
      <c r="H34">
        <f>OBS!D34</f>
        <v>94.988610478359917</v>
      </c>
      <c r="I34">
        <f>SYSREV!D34</f>
        <v>90.919689119170982</v>
      </c>
    </row>
    <row r="35" spans="1:9" x14ac:dyDescent="0.3">
      <c r="A35">
        <f t="shared" si="0"/>
        <v>2023</v>
      </c>
      <c r="B35">
        <f>RCT!D35</f>
        <v>90.18161955482725</v>
      </c>
      <c r="C35">
        <f>CT!D35</f>
        <v>94.487717195925697</v>
      </c>
      <c r="D35">
        <f>META!D35</f>
        <v>90.926109459310638</v>
      </c>
      <c r="E35">
        <f>REVIEW!D35</f>
        <v>92.273098937040061</v>
      </c>
      <c r="F35">
        <f>CCJ!D35</f>
        <v>93.439309014058622</v>
      </c>
      <c r="G35">
        <f>ALL!D35</f>
        <v>94.872991898942743</v>
      </c>
      <c r="H35">
        <f>OBS!D35</f>
        <v>94.948857178936734</v>
      </c>
      <c r="I35">
        <f>SYSREV!D35</f>
        <v>91.134047902606852</v>
      </c>
    </row>
    <row r="36" spans="1:9" x14ac:dyDescent="0.3">
      <c r="A36">
        <f t="shared" si="0"/>
        <v>2024</v>
      </c>
      <c r="B36">
        <f>RCT!D36</f>
        <v>90.987518355359768</v>
      </c>
      <c r="C36">
        <f>CT!D36</f>
        <v>93.482983345401877</v>
      </c>
      <c r="D36">
        <f>META!D36</f>
        <v>91.768826619964969</v>
      </c>
      <c r="E36">
        <f>REVIEW!D36</f>
        <v>92.457142857142856</v>
      </c>
      <c r="F36">
        <f>CCJ!D36</f>
        <v>93.847503900155999</v>
      </c>
      <c r="G36">
        <f>ALL!D36</f>
        <v>94.964024945544793</v>
      </c>
      <c r="H36">
        <f>OBS!D36</f>
        <v>94.303934284479027</v>
      </c>
      <c r="I36">
        <f>SYSREV!D36</f>
        <v>91.883685624197128</v>
      </c>
    </row>
    <row r="37" spans="1:9" x14ac:dyDescent="0.3">
      <c r="A37">
        <v>2025</v>
      </c>
      <c r="B37">
        <f>RCT!D37</f>
        <v>90.714492334393981</v>
      </c>
      <c r="C37">
        <f>CT!D37</f>
        <v>95.490417136414891</v>
      </c>
      <c r="D37">
        <f>META!D37</f>
        <v>91.40764849471114</v>
      </c>
      <c r="E37">
        <f>REVIEW!D37</f>
        <v>93.537015276145709</v>
      </c>
      <c r="F37">
        <f>CCJ!D37</f>
        <v>93.624311038283921</v>
      </c>
      <c r="G37">
        <f>ALL!D37</f>
        <v>95.272837228054399</v>
      </c>
      <c r="H37">
        <f>OBS!D37</f>
        <v>94.757625272331154</v>
      </c>
      <c r="I37">
        <f>SYSREV!D37</f>
        <v>91.648282382603213</v>
      </c>
    </row>
    <row r="38" spans="1:9" x14ac:dyDescent="0.3">
      <c r="A38" t="s">
        <v>9</v>
      </c>
    </row>
    <row r="39" spans="1:9" x14ac:dyDescent="0.3">
      <c r="A39" t="s">
        <v>7</v>
      </c>
    </row>
    <row r="40" spans="1:9" x14ac:dyDescent="0.3">
      <c r="A40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최진혁 [학부 / 의예과]</cp:lastModifiedBy>
  <dcterms:created xsi:type="dcterms:W3CDTF">2025-09-20T09:37:29Z</dcterms:created>
  <dcterms:modified xsi:type="dcterms:W3CDTF">2025-11-29T17:57:06Z</dcterms:modified>
</cp:coreProperties>
</file>