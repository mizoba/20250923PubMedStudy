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ake4\Downloads\OrganizedCodeStructure\OrganizedCodeStructure\Step4_text_analysis\Figure3\"/>
    </mc:Choice>
  </mc:AlternateContent>
  <xr:revisionPtr revIDLastSave="0" documentId="13_ncr:1_{2AC1D324-8F93-438D-B52D-D00AD1AD02BF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HasPval" sheetId="1" r:id="rId1"/>
    <sheet name="Has005" sheetId="13" r:id="rId2"/>
    <sheet name="Has001" sheetId="14" r:id="rId3"/>
    <sheet name="Has0005" sheetId="15" r:id="rId4"/>
    <sheet name="Has0005 (2)" sheetId="17" r:id="rId5"/>
    <sheet name="Has0001" sheetId="16" r:id="rId6"/>
  </sheets>
  <externalReferences>
    <externalReference r:id="rId7"/>
    <externalReference r:id="rId8"/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3" i="15" l="1"/>
  <c r="H33" i="15"/>
  <c r="I33" i="13"/>
  <c r="H33" i="13"/>
  <c r="I31" i="15"/>
  <c r="H31" i="15"/>
  <c r="I31" i="13"/>
  <c r="H31" i="13"/>
  <c r="I32" i="15" l="1"/>
  <c r="H32" i="15"/>
  <c r="I32" i="13"/>
  <c r="H32" i="13"/>
  <c r="I32" i="1"/>
  <c r="H32" i="1"/>
  <c r="I31" i="1"/>
  <c r="H31" i="1"/>
  <c r="I33" i="1"/>
  <c r="H33" i="1"/>
  <c r="D37" i="17" l="1"/>
  <c r="C37" i="17"/>
  <c r="B37" i="17"/>
  <c r="D36" i="17"/>
  <c r="C36" i="17"/>
  <c r="B36" i="17"/>
  <c r="D35" i="17"/>
  <c r="C35" i="17"/>
  <c r="B35" i="17"/>
  <c r="D34" i="17"/>
  <c r="C34" i="17"/>
  <c r="B34" i="17"/>
  <c r="D33" i="17"/>
  <c r="C33" i="17"/>
  <c r="B33" i="17"/>
  <c r="D32" i="17"/>
  <c r="C32" i="17"/>
  <c r="B32" i="17"/>
  <c r="D31" i="17"/>
  <c r="C31" i="17"/>
  <c r="B31" i="17"/>
  <c r="D30" i="17"/>
  <c r="C30" i="17"/>
  <c r="B30" i="17"/>
  <c r="D29" i="17"/>
  <c r="C29" i="17"/>
  <c r="B29" i="17"/>
  <c r="D28" i="17"/>
  <c r="C28" i="17"/>
  <c r="B28" i="17"/>
  <c r="D27" i="17"/>
  <c r="C27" i="17"/>
  <c r="B27" i="17"/>
  <c r="D26" i="17"/>
  <c r="C26" i="17"/>
  <c r="B26" i="17"/>
  <c r="D25" i="17"/>
  <c r="C25" i="17"/>
  <c r="B25" i="17"/>
  <c r="D24" i="17"/>
  <c r="C24" i="17"/>
  <c r="B24" i="17"/>
  <c r="D23" i="17"/>
  <c r="C23" i="17"/>
  <c r="B23" i="17"/>
  <c r="D22" i="17"/>
  <c r="C22" i="17"/>
  <c r="B22" i="17"/>
  <c r="D21" i="17"/>
  <c r="C21" i="17"/>
  <c r="B21" i="17"/>
  <c r="D20" i="17"/>
  <c r="C20" i="17"/>
  <c r="B20" i="17"/>
  <c r="D19" i="17"/>
  <c r="C19" i="17"/>
  <c r="B19" i="17"/>
  <c r="D18" i="17"/>
  <c r="C18" i="17"/>
  <c r="B18" i="17"/>
  <c r="D17" i="17"/>
  <c r="C17" i="17"/>
  <c r="B17" i="17"/>
  <c r="D16" i="17"/>
  <c r="C16" i="17"/>
  <c r="B16" i="17"/>
  <c r="D15" i="17"/>
  <c r="C15" i="17"/>
  <c r="B15" i="17"/>
  <c r="D14" i="17"/>
  <c r="C14" i="17"/>
  <c r="B14" i="17"/>
  <c r="D13" i="17"/>
  <c r="C13" i="17"/>
  <c r="B13" i="17"/>
  <c r="D12" i="17"/>
  <c r="C12" i="17"/>
  <c r="B12" i="17"/>
  <c r="D11" i="17"/>
  <c r="C11" i="17"/>
  <c r="B11" i="17"/>
  <c r="D10" i="17"/>
  <c r="C10" i="17"/>
  <c r="B10" i="17"/>
  <c r="D9" i="17"/>
  <c r="C9" i="17"/>
  <c r="B9" i="17"/>
  <c r="D8" i="17"/>
  <c r="C8" i="17"/>
  <c r="B8" i="17"/>
  <c r="D7" i="17"/>
  <c r="C7" i="17"/>
  <c r="B7" i="17"/>
  <c r="D6" i="17"/>
  <c r="C6" i="17"/>
  <c r="B6" i="17"/>
  <c r="D5" i="17"/>
  <c r="C5" i="17"/>
  <c r="B5" i="17"/>
  <c r="D4" i="17"/>
  <c r="C4" i="17"/>
  <c r="B4" i="17"/>
  <c r="D3" i="17"/>
  <c r="G6" i="17" s="1" a="1"/>
  <c r="AN4" i="17" s="1"/>
  <c r="C3" i="17"/>
  <c r="B3" i="17"/>
  <c r="D2" i="17"/>
  <c r="C2" i="17"/>
  <c r="B2" i="17"/>
  <c r="AQ1" i="17" l="1"/>
  <c r="K2" i="17"/>
  <c r="S2" i="17"/>
  <c r="AA2" i="17"/>
  <c r="AI2" i="17"/>
  <c r="AQ2" i="17"/>
  <c r="K3" i="17"/>
  <c r="S3" i="17"/>
  <c r="AA3" i="17"/>
  <c r="AI3" i="17"/>
  <c r="AQ3" i="17"/>
  <c r="K4" i="17"/>
  <c r="S4" i="17"/>
  <c r="AA4" i="17"/>
  <c r="AI4" i="17"/>
  <c r="AQ4" i="17"/>
  <c r="G6" i="17"/>
  <c r="G1" i="17" s="1"/>
  <c r="I2" i="17"/>
  <c r="Y2" i="17"/>
  <c r="AO2" i="17"/>
  <c r="Q3" i="17"/>
  <c r="AG3" i="17"/>
  <c r="I4" i="17"/>
  <c r="Y4" i="17"/>
  <c r="AO4" i="17"/>
  <c r="AL1" i="17"/>
  <c r="J2" i="17"/>
  <c r="R2" i="17"/>
  <c r="Z2" i="17"/>
  <c r="AH2" i="17"/>
  <c r="AP2" i="17"/>
  <c r="J3" i="17"/>
  <c r="R3" i="17"/>
  <c r="Z3" i="17"/>
  <c r="AH3" i="17"/>
  <c r="AP3" i="17"/>
  <c r="J4" i="17"/>
  <c r="R4" i="17"/>
  <c r="Z4" i="17"/>
  <c r="AH4" i="17"/>
  <c r="AP4" i="17"/>
  <c r="H1" i="17"/>
  <c r="L2" i="17"/>
  <c r="T2" i="17"/>
  <c r="AB2" i="17"/>
  <c r="AJ2" i="17"/>
  <c r="L3" i="17"/>
  <c r="T3" i="17"/>
  <c r="AB3" i="17"/>
  <c r="AJ3" i="17"/>
  <c r="L4" i="17"/>
  <c r="T4" i="17"/>
  <c r="AB4" i="17"/>
  <c r="AJ4" i="17"/>
  <c r="M1" i="17"/>
  <c r="M2" i="17"/>
  <c r="U2" i="17"/>
  <c r="AC2" i="17"/>
  <c r="AK2" i="17"/>
  <c r="M3" i="17"/>
  <c r="U3" i="17"/>
  <c r="AC3" i="17"/>
  <c r="AK3" i="17"/>
  <c r="M4" i="17"/>
  <c r="U4" i="17"/>
  <c r="AC4" i="17"/>
  <c r="AK4" i="17"/>
  <c r="R1" i="17"/>
  <c r="N2" i="17"/>
  <c r="V2" i="17"/>
  <c r="AD2" i="17"/>
  <c r="AL2" i="17"/>
  <c r="N3" i="17"/>
  <c r="V3" i="17"/>
  <c r="AD3" i="17"/>
  <c r="AL3" i="17"/>
  <c r="N4" i="17"/>
  <c r="V4" i="17"/>
  <c r="AD4" i="17"/>
  <c r="AL4" i="17"/>
  <c r="W1" i="17"/>
  <c r="G2" i="17"/>
  <c r="O2" i="17"/>
  <c r="W2" i="17"/>
  <c r="AE2" i="17"/>
  <c r="AM2" i="17"/>
  <c r="G3" i="17"/>
  <c r="O3" i="17"/>
  <c r="W3" i="17"/>
  <c r="AE3" i="17"/>
  <c r="AM3" i="17"/>
  <c r="G4" i="17"/>
  <c r="O4" i="17"/>
  <c r="W4" i="17"/>
  <c r="AE4" i="17"/>
  <c r="AM4" i="17"/>
  <c r="AG1" i="17"/>
  <c r="Q2" i="17"/>
  <c r="AG2" i="17"/>
  <c r="I3" i="17"/>
  <c r="Y3" i="17"/>
  <c r="AO3" i="17"/>
  <c r="Q4" i="17"/>
  <c r="AG4" i="17"/>
  <c r="AB1" i="17"/>
  <c r="H2" i="17"/>
  <c r="P2" i="17"/>
  <c r="X2" i="17"/>
  <c r="AF2" i="17"/>
  <c r="AN2" i="17"/>
  <c r="H3" i="17"/>
  <c r="P3" i="17"/>
  <c r="X3" i="17"/>
  <c r="AF3" i="17"/>
  <c r="AN3" i="17"/>
  <c r="H4" i="17"/>
  <c r="P4" i="17"/>
  <c r="X4" i="17"/>
  <c r="AF4" i="17"/>
  <c r="D3" i="16"/>
  <c r="D4" i="16"/>
  <c r="D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C3" i="16"/>
  <c r="C4" i="16"/>
  <c r="C5" i="16"/>
  <c r="C6" i="16"/>
  <c r="C7" i="16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B3" i="16"/>
  <c r="B4" i="16"/>
  <c r="B5" i="16"/>
  <c r="B6" i="16"/>
  <c r="B7" i="16"/>
  <c r="B8" i="16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D2" i="16"/>
  <c r="C2" i="16"/>
  <c r="B2" i="16"/>
  <c r="D3" i="15"/>
  <c r="D4" i="15"/>
  <c r="D5" i="15"/>
  <c r="D6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21" i="15"/>
  <c r="D22" i="15"/>
  <c r="D23" i="15"/>
  <c r="D24" i="15"/>
  <c r="D25" i="15"/>
  <c r="D26" i="15"/>
  <c r="D27" i="15"/>
  <c r="D28" i="15"/>
  <c r="D29" i="15"/>
  <c r="D30" i="15"/>
  <c r="D31" i="15"/>
  <c r="D32" i="15"/>
  <c r="D33" i="15"/>
  <c r="D34" i="15"/>
  <c r="D35" i="15"/>
  <c r="D36" i="15"/>
  <c r="D37" i="15"/>
  <c r="C3" i="15"/>
  <c r="C4" i="15"/>
  <c r="C5" i="15"/>
  <c r="C6" i="15"/>
  <c r="C7" i="15"/>
  <c r="C8" i="15"/>
  <c r="C9" i="15"/>
  <c r="C10" i="15"/>
  <c r="C11" i="15"/>
  <c r="C12" i="15"/>
  <c r="C13" i="15"/>
  <c r="C14" i="15"/>
  <c r="C15" i="15"/>
  <c r="C16" i="15"/>
  <c r="C17" i="15"/>
  <c r="C18" i="15"/>
  <c r="C19" i="15"/>
  <c r="C20" i="15"/>
  <c r="C21" i="15"/>
  <c r="C22" i="15"/>
  <c r="C23" i="15"/>
  <c r="C24" i="15"/>
  <c r="C25" i="15"/>
  <c r="C26" i="15"/>
  <c r="C27" i="15"/>
  <c r="C28" i="15"/>
  <c r="C29" i="15"/>
  <c r="C30" i="15"/>
  <c r="C31" i="15"/>
  <c r="C32" i="15"/>
  <c r="C33" i="15"/>
  <c r="C34" i="15"/>
  <c r="C35" i="15"/>
  <c r="C36" i="15"/>
  <c r="C37" i="15"/>
  <c r="B3" i="15"/>
  <c r="B4" i="15"/>
  <c r="B5" i="15"/>
  <c r="B6" i="15"/>
  <c r="B7" i="15"/>
  <c r="B8" i="15"/>
  <c r="B9" i="15"/>
  <c r="B10" i="15"/>
  <c r="B11" i="15"/>
  <c r="B12" i="15"/>
  <c r="B13" i="15"/>
  <c r="B14" i="15"/>
  <c r="B15" i="15"/>
  <c r="B16" i="15"/>
  <c r="B17" i="15"/>
  <c r="B18" i="15"/>
  <c r="B19" i="15"/>
  <c r="B20" i="15"/>
  <c r="B21" i="15"/>
  <c r="B22" i="15"/>
  <c r="B23" i="15"/>
  <c r="B24" i="15"/>
  <c r="B25" i="15"/>
  <c r="B26" i="15"/>
  <c r="B27" i="15"/>
  <c r="B28" i="15"/>
  <c r="B29" i="15"/>
  <c r="B30" i="15"/>
  <c r="B31" i="15"/>
  <c r="B32" i="15"/>
  <c r="B33" i="15"/>
  <c r="B34" i="15"/>
  <c r="B35" i="15"/>
  <c r="B36" i="15"/>
  <c r="B37" i="15"/>
  <c r="D2" i="15"/>
  <c r="C2" i="15"/>
  <c r="B2" i="15"/>
  <c r="D3" i="14"/>
  <c r="D4" i="14"/>
  <c r="D5" i="14"/>
  <c r="D6" i="14"/>
  <c r="D7" i="14"/>
  <c r="D8" i="14"/>
  <c r="D9" i="14"/>
  <c r="D10" i="14"/>
  <c r="D11" i="14"/>
  <c r="D12" i="14"/>
  <c r="D13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C3" i="14"/>
  <c r="C4" i="14"/>
  <c r="C5" i="14"/>
  <c r="C6" i="14"/>
  <c r="C7" i="14"/>
  <c r="C8" i="14"/>
  <c r="C9" i="14"/>
  <c r="C10" i="14"/>
  <c r="C11" i="14"/>
  <c r="C12" i="14"/>
  <c r="C13" i="14"/>
  <c r="C14" i="14"/>
  <c r="C15" i="14"/>
  <c r="C16" i="14"/>
  <c r="C17" i="14"/>
  <c r="C18" i="14"/>
  <c r="C19" i="14"/>
  <c r="C20" i="14"/>
  <c r="C21" i="14"/>
  <c r="C22" i="14"/>
  <c r="C23" i="14"/>
  <c r="C24" i="14"/>
  <c r="C25" i="14"/>
  <c r="C26" i="14"/>
  <c r="C27" i="14"/>
  <c r="C28" i="14"/>
  <c r="C29" i="14"/>
  <c r="C30" i="14"/>
  <c r="C31" i="14"/>
  <c r="C32" i="14"/>
  <c r="C33" i="14"/>
  <c r="C34" i="14"/>
  <c r="C35" i="14"/>
  <c r="C36" i="14"/>
  <c r="C37" i="14"/>
  <c r="B3" i="14"/>
  <c r="B4" i="14"/>
  <c r="B5" i="14"/>
  <c r="B6" i="14"/>
  <c r="B7" i="14"/>
  <c r="B8" i="14"/>
  <c r="B9" i="14"/>
  <c r="B10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37" i="14"/>
  <c r="D2" i="14"/>
  <c r="C2" i="14"/>
  <c r="B2" i="14"/>
  <c r="G6" i="16" l="1" a="1"/>
  <c r="AN4" i="16" s="1"/>
  <c r="G6" i="15" a="1"/>
  <c r="AN4" i="15" s="1"/>
  <c r="G6" i="14" a="1"/>
  <c r="AN4" i="14" s="1"/>
  <c r="AC2" i="16" l="1"/>
  <c r="V2" i="16"/>
  <c r="G2" i="16"/>
  <c r="AQ1" i="16"/>
  <c r="AG1" i="16"/>
  <c r="N4" i="16"/>
  <c r="M2" i="16"/>
  <c r="AB2" i="16"/>
  <c r="K4" i="16"/>
  <c r="X4" i="16"/>
  <c r="AN2" i="16"/>
  <c r="AM3" i="16"/>
  <c r="AH4" i="16"/>
  <c r="AL3" i="16"/>
  <c r="R1" i="16"/>
  <c r="M1" i="16"/>
  <c r="T4" i="16"/>
  <c r="T2" i="16"/>
  <c r="AQ3" i="16"/>
  <c r="S2" i="16"/>
  <c r="AG4" i="16"/>
  <c r="I3" i="16"/>
  <c r="W4" i="16"/>
  <c r="M3" i="16"/>
  <c r="O4" i="16"/>
  <c r="N2" i="16"/>
  <c r="AB4" i="16"/>
  <c r="AA2" i="16"/>
  <c r="P4" i="16"/>
  <c r="AF2" i="16"/>
  <c r="W3" i="16"/>
  <c r="R4" i="16"/>
  <c r="AD3" i="16"/>
  <c r="AK4" i="16"/>
  <c r="J4" i="16"/>
  <c r="L4" i="16"/>
  <c r="L2" i="16"/>
  <c r="AI3" i="16"/>
  <c r="K2" i="16"/>
  <c r="Y4" i="16"/>
  <c r="AO2" i="16"/>
  <c r="G4" i="16"/>
  <c r="AK2" i="16"/>
  <c r="AE4" i="16"/>
  <c r="AJ4" i="16"/>
  <c r="AA4" i="16"/>
  <c r="H3" i="16"/>
  <c r="AM4" i="16"/>
  <c r="H4" i="16"/>
  <c r="X2" i="16"/>
  <c r="G3" i="16"/>
  <c r="AH3" i="16"/>
  <c r="V3" i="16"/>
  <c r="AC4" i="16"/>
  <c r="AP2" i="16"/>
  <c r="AJ3" i="16"/>
  <c r="H1" i="16"/>
  <c r="AA3" i="16"/>
  <c r="Z4" i="16"/>
  <c r="Q4" i="16"/>
  <c r="AG2" i="16"/>
  <c r="AE3" i="16"/>
  <c r="AP4" i="16"/>
  <c r="V4" i="16"/>
  <c r="AJ2" i="16"/>
  <c r="Z2" i="16"/>
  <c r="AO4" i="16"/>
  <c r="AN3" i="16"/>
  <c r="P2" i="16"/>
  <c r="AE2" i="16"/>
  <c r="AH2" i="16"/>
  <c r="N3" i="16"/>
  <c r="M4" i="16"/>
  <c r="AL1" i="16"/>
  <c r="AB3" i="16"/>
  <c r="G6" i="16"/>
  <c r="G1" i="16" s="1"/>
  <c r="S3" i="16"/>
  <c r="Z3" i="16"/>
  <c r="I4" i="16"/>
  <c r="Y2" i="16"/>
  <c r="O3" i="16"/>
  <c r="AP3" i="16"/>
  <c r="AI2" i="16"/>
  <c r="U4" i="16"/>
  <c r="AF3" i="16"/>
  <c r="H2" i="16"/>
  <c r="O2" i="16"/>
  <c r="AL4" i="16"/>
  <c r="AL2" i="16"/>
  <c r="AK3" i="16"/>
  <c r="U2" i="16"/>
  <c r="T3" i="16"/>
  <c r="AQ4" i="16"/>
  <c r="K3" i="16"/>
  <c r="R2" i="16"/>
  <c r="AO3" i="16"/>
  <c r="Q2" i="16"/>
  <c r="AM2" i="16"/>
  <c r="J3" i="16"/>
  <c r="P3" i="16"/>
  <c r="U3" i="16"/>
  <c r="Y3" i="16"/>
  <c r="AF4" i="16"/>
  <c r="Q3" i="16"/>
  <c r="X3" i="16"/>
  <c r="AB1" i="16"/>
  <c r="W1" i="16"/>
  <c r="AD4" i="16"/>
  <c r="AD2" i="16"/>
  <c r="AC3" i="16"/>
  <c r="R3" i="16"/>
  <c r="L3" i="16"/>
  <c r="AI4" i="16"/>
  <c r="AQ2" i="16"/>
  <c r="S4" i="16"/>
  <c r="AG3" i="16"/>
  <c r="I2" i="16"/>
  <c r="W2" i="16"/>
  <c r="J2" i="16"/>
  <c r="AH2" i="15"/>
  <c r="P3" i="15"/>
  <c r="R4" i="15"/>
  <c r="W4" i="15"/>
  <c r="AM2" i="15"/>
  <c r="AP2" i="15"/>
  <c r="AD4" i="15"/>
  <c r="AD2" i="15"/>
  <c r="I4" i="15"/>
  <c r="U3" i="15"/>
  <c r="AL1" i="15"/>
  <c r="AJ3" i="15"/>
  <c r="H1" i="15"/>
  <c r="AQ4" i="15"/>
  <c r="S3" i="15"/>
  <c r="AF4" i="15"/>
  <c r="H3" i="15"/>
  <c r="AH3" i="15"/>
  <c r="O4" i="15"/>
  <c r="AE2" i="15"/>
  <c r="R2" i="15"/>
  <c r="V4" i="15"/>
  <c r="V2" i="15"/>
  <c r="AO2" i="15"/>
  <c r="M3" i="15"/>
  <c r="Q4" i="15"/>
  <c r="AB3" i="15"/>
  <c r="AH4" i="15"/>
  <c r="AI4" i="15"/>
  <c r="K3" i="15"/>
  <c r="AO4" i="15"/>
  <c r="AK2" i="15"/>
  <c r="AA4" i="15"/>
  <c r="AM3" i="15"/>
  <c r="J2" i="15"/>
  <c r="H4" i="15"/>
  <c r="X2" i="15"/>
  <c r="AG2" i="15"/>
  <c r="AE3" i="15"/>
  <c r="G2" i="15"/>
  <c r="AO3" i="15"/>
  <c r="AD3" i="15"/>
  <c r="AP4" i="15"/>
  <c r="U4" i="15"/>
  <c r="U2" i="15"/>
  <c r="AJ4" i="15"/>
  <c r="AJ2" i="15"/>
  <c r="AG4" i="15"/>
  <c r="K4" i="15"/>
  <c r="AA2" i="15"/>
  <c r="X4" i="15"/>
  <c r="N4" i="15"/>
  <c r="T3" i="15"/>
  <c r="AF2" i="15"/>
  <c r="AL3" i="15"/>
  <c r="L3" i="15"/>
  <c r="AN3" i="15"/>
  <c r="P2" i="15"/>
  <c r="AG1" i="15"/>
  <c r="W3" i="15"/>
  <c r="W1" i="15"/>
  <c r="I3" i="15"/>
  <c r="V3" i="15"/>
  <c r="J4" i="15"/>
  <c r="M4" i="15"/>
  <c r="M2" i="15"/>
  <c r="AB4" i="15"/>
  <c r="AB2" i="15"/>
  <c r="Y3" i="15"/>
  <c r="AQ3" i="15"/>
  <c r="S2" i="15"/>
  <c r="G4" i="15"/>
  <c r="N2" i="15"/>
  <c r="Q3" i="15"/>
  <c r="R3" i="15"/>
  <c r="P4" i="15"/>
  <c r="O2" i="15"/>
  <c r="AC2" i="15"/>
  <c r="AI2" i="15"/>
  <c r="AF3" i="15"/>
  <c r="H2" i="15"/>
  <c r="AM4" i="15"/>
  <c r="O3" i="15"/>
  <c r="Z4" i="15"/>
  <c r="Q2" i="15"/>
  <c r="N3" i="15"/>
  <c r="J3" i="15"/>
  <c r="AK3" i="15"/>
  <c r="M1" i="15"/>
  <c r="T4" i="15"/>
  <c r="T2" i="15"/>
  <c r="Y2" i="15"/>
  <c r="AI3" i="15"/>
  <c r="K2" i="15"/>
  <c r="AN2" i="15"/>
  <c r="W2" i="15"/>
  <c r="AK4" i="15"/>
  <c r="AQ2" i="15"/>
  <c r="AG3" i="15"/>
  <c r="Y4" i="15"/>
  <c r="R1" i="15"/>
  <c r="AC4" i="15"/>
  <c r="I2" i="15"/>
  <c r="S4" i="15"/>
  <c r="X3" i="15"/>
  <c r="AB1" i="15"/>
  <c r="AE4" i="15"/>
  <c r="G3" i="15"/>
  <c r="AP3" i="15"/>
  <c r="AL4" i="15"/>
  <c r="AL2" i="15"/>
  <c r="Z2" i="15"/>
  <c r="AC3" i="15"/>
  <c r="Z3" i="15"/>
  <c r="L4" i="15"/>
  <c r="L2" i="15"/>
  <c r="G6" i="15"/>
  <c r="G1" i="15" s="1"/>
  <c r="AA3" i="15"/>
  <c r="AQ1" i="15"/>
  <c r="M2" i="14"/>
  <c r="M1" i="14"/>
  <c r="U2" i="14"/>
  <c r="K3" i="14"/>
  <c r="H1" i="14"/>
  <c r="L2" i="14"/>
  <c r="P3" i="14"/>
  <c r="K2" i="14"/>
  <c r="G3" i="14"/>
  <c r="AO2" i="14"/>
  <c r="N4" i="14"/>
  <c r="AH4" i="14"/>
  <c r="L4" i="14"/>
  <c r="AF4" i="14"/>
  <c r="J4" i="14"/>
  <c r="AI2" i="14"/>
  <c r="AN2" i="14"/>
  <c r="O4" i="14"/>
  <c r="R4" i="14"/>
  <c r="AB3" i="14"/>
  <c r="AQ4" i="14"/>
  <c r="Z4" i="14"/>
  <c r="I4" i="14"/>
  <c r="Y2" i="14"/>
  <c r="AL2" i="14"/>
  <c r="P4" i="14"/>
  <c r="AF2" i="14"/>
  <c r="AD2" i="14"/>
  <c r="G4" i="14"/>
  <c r="W2" i="14"/>
  <c r="AP2" i="14"/>
  <c r="AC3" i="14"/>
  <c r="G6" i="14"/>
  <c r="G1" i="14" s="1"/>
  <c r="R3" i="14"/>
  <c r="T3" i="14"/>
  <c r="AA4" i="14"/>
  <c r="AH3" i="14"/>
  <c r="AO3" i="14"/>
  <c r="Q2" i="14"/>
  <c r="V2" i="14"/>
  <c r="AP4" i="14"/>
  <c r="X4" i="14"/>
  <c r="AK3" i="14"/>
  <c r="H4" i="14"/>
  <c r="X2" i="14"/>
  <c r="N2" i="14"/>
  <c r="AM3" i="14"/>
  <c r="O2" i="14"/>
  <c r="R2" i="14"/>
  <c r="U3" i="14"/>
  <c r="AI4" i="14"/>
  <c r="J2" i="14"/>
  <c r="L3" i="14"/>
  <c r="K4" i="14"/>
  <c r="J3" i="14"/>
  <c r="AG3" i="14"/>
  <c r="I2" i="14"/>
  <c r="R1" i="14"/>
  <c r="AL3" i="14"/>
  <c r="AD3" i="14"/>
  <c r="M4" i="14"/>
  <c r="AG2" i="14"/>
  <c r="N3" i="14"/>
  <c r="AN3" i="14"/>
  <c r="P2" i="14"/>
  <c r="AA2" i="14"/>
  <c r="AE3" i="14"/>
  <c r="G2" i="14"/>
  <c r="AL1" i="14"/>
  <c r="M3" i="14"/>
  <c r="S4" i="14"/>
  <c r="AJ4" i="14"/>
  <c r="AJ2" i="14"/>
  <c r="AI3" i="14"/>
  <c r="Z2" i="14"/>
  <c r="Y3" i="14"/>
  <c r="AG1" i="14"/>
  <c r="S2" i="14"/>
  <c r="W4" i="14"/>
  <c r="Q4" i="14"/>
  <c r="Z3" i="14"/>
  <c r="AF3" i="14"/>
  <c r="H2" i="14"/>
  <c r="AQ1" i="14"/>
  <c r="W3" i="14"/>
  <c r="W1" i="14"/>
  <c r="AK4" i="14"/>
  <c r="AK2" i="14"/>
  <c r="AQ3" i="14"/>
  <c r="AB4" i="14"/>
  <c r="AB2" i="14"/>
  <c r="S3" i="14"/>
  <c r="AO4" i="14"/>
  <c r="Q3" i="14"/>
  <c r="AL4" i="14"/>
  <c r="AP3" i="14"/>
  <c r="AE4" i="14"/>
  <c r="U4" i="14"/>
  <c r="Y4" i="14"/>
  <c r="H3" i="14"/>
  <c r="AM2" i="14"/>
  <c r="AJ3" i="14"/>
  <c r="V3" i="14"/>
  <c r="AE2" i="14"/>
  <c r="X3" i="14"/>
  <c r="AB1" i="14"/>
  <c r="AM4" i="14"/>
  <c r="O3" i="14"/>
  <c r="AD4" i="14"/>
  <c r="AC4" i="14"/>
  <c r="AC2" i="14"/>
  <c r="AA3" i="14"/>
  <c r="T4" i="14"/>
  <c r="T2" i="14"/>
  <c r="AQ2" i="14"/>
  <c r="AG4" i="14"/>
  <c r="I3" i="14"/>
  <c r="V4" i="14"/>
  <c r="AH2" i="14"/>
  <c r="D37" i="13" l="1"/>
  <c r="C37" i="13"/>
  <c r="B37" i="13"/>
  <c r="D36" i="13"/>
  <c r="C36" i="13"/>
  <c r="B36" i="13"/>
  <c r="D35" i="13"/>
  <c r="C35" i="13"/>
  <c r="B35" i="13"/>
  <c r="D34" i="13"/>
  <c r="C34" i="13"/>
  <c r="B34" i="13"/>
  <c r="D33" i="13"/>
  <c r="C33" i="13"/>
  <c r="B33" i="13"/>
  <c r="D32" i="13"/>
  <c r="C32" i="13"/>
  <c r="B32" i="13"/>
  <c r="D31" i="13"/>
  <c r="C31" i="13"/>
  <c r="B31" i="13"/>
  <c r="D30" i="13"/>
  <c r="C30" i="13"/>
  <c r="B30" i="13"/>
  <c r="D29" i="13"/>
  <c r="C29" i="13"/>
  <c r="B29" i="13"/>
  <c r="D28" i="13"/>
  <c r="C28" i="13"/>
  <c r="B28" i="13"/>
  <c r="D27" i="13"/>
  <c r="C27" i="13"/>
  <c r="B27" i="13"/>
  <c r="D26" i="13"/>
  <c r="C26" i="13"/>
  <c r="B26" i="13"/>
  <c r="D25" i="13"/>
  <c r="C25" i="13"/>
  <c r="B25" i="13"/>
  <c r="D24" i="13"/>
  <c r="C24" i="13"/>
  <c r="B24" i="13"/>
  <c r="D23" i="13"/>
  <c r="C23" i="13"/>
  <c r="B23" i="13"/>
  <c r="D22" i="13"/>
  <c r="C22" i="13"/>
  <c r="B22" i="13"/>
  <c r="D21" i="13"/>
  <c r="C21" i="13"/>
  <c r="B21" i="13"/>
  <c r="D20" i="13"/>
  <c r="C20" i="13"/>
  <c r="B20" i="13"/>
  <c r="D19" i="13"/>
  <c r="C19" i="13"/>
  <c r="B19" i="13"/>
  <c r="D18" i="13"/>
  <c r="C18" i="13"/>
  <c r="B18" i="13"/>
  <c r="D17" i="13"/>
  <c r="C17" i="13"/>
  <c r="B17" i="13"/>
  <c r="D16" i="13"/>
  <c r="C16" i="13"/>
  <c r="B16" i="13"/>
  <c r="D15" i="13"/>
  <c r="C15" i="13"/>
  <c r="B15" i="13"/>
  <c r="D14" i="13"/>
  <c r="C14" i="13"/>
  <c r="B14" i="13"/>
  <c r="D13" i="13"/>
  <c r="C13" i="13"/>
  <c r="B13" i="13"/>
  <c r="D12" i="13"/>
  <c r="C12" i="13"/>
  <c r="B12" i="13"/>
  <c r="D11" i="13"/>
  <c r="C11" i="13"/>
  <c r="B11" i="13"/>
  <c r="D10" i="13"/>
  <c r="C10" i="13"/>
  <c r="B10" i="13"/>
  <c r="D9" i="13"/>
  <c r="C9" i="13"/>
  <c r="B9" i="13"/>
  <c r="D8" i="13"/>
  <c r="C8" i="13"/>
  <c r="B8" i="13"/>
  <c r="D7" i="13"/>
  <c r="C7" i="13"/>
  <c r="B7" i="13"/>
  <c r="D6" i="13"/>
  <c r="C6" i="13"/>
  <c r="B6" i="13"/>
  <c r="D5" i="13"/>
  <c r="C5" i="13"/>
  <c r="B5" i="13"/>
  <c r="D4" i="13"/>
  <c r="C4" i="13"/>
  <c r="B4" i="13"/>
  <c r="D3" i="13"/>
  <c r="C3" i="13"/>
  <c r="B3" i="13"/>
  <c r="D2" i="13"/>
  <c r="C2" i="13"/>
  <c r="B2" i="13"/>
  <c r="G6" i="13" l="1" a="1"/>
  <c r="AN4" i="13" s="1"/>
  <c r="X4" i="13" l="1"/>
  <c r="AN2" i="13"/>
  <c r="R4" i="13"/>
  <c r="AM3" i="13"/>
  <c r="G2" i="13"/>
  <c r="N3" i="13"/>
  <c r="AH3" i="13"/>
  <c r="M2" i="13"/>
  <c r="AJ3" i="13"/>
  <c r="AI3" i="13"/>
  <c r="AO4" i="13"/>
  <c r="O4" i="13"/>
  <c r="AC4" i="13"/>
  <c r="H1" i="13"/>
  <c r="H3" i="13"/>
  <c r="AD3" i="13"/>
  <c r="K4" i="13"/>
  <c r="AF2" i="13"/>
  <c r="J3" i="13"/>
  <c r="AG4" i="13"/>
  <c r="Z2" i="13"/>
  <c r="J2" i="13"/>
  <c r="AQ3" i="13"/>
  <c r="L3" i="13"/>
  <c r="K3" i="13"/>
  <c r="Q4" i="13"/>
  <c r="W2" i="13"/>
  <c r="R2" i="13"/>
  <c r="AF4" i="13"/>
  <c r="O2" i="13"/>
  <c r="U2" i="13"/>
  <c r="P4" i="13"/>
  <c r="AE3" i="13"/>
  <c r="M1" i="13"/>
  <c r="X2" i="13"/>
  <c r="AD2" i="13"/>
  <c r="AN3" i="13"/>
  <c r="P2" i="13"/>
  <c r="AL1" i="13"/>
  <c r="O3" i="13"/>
  <c r="AP3" i="13"/>
  <c r="V2" i="13"/>
  <c r="AC3" i="13"/>
  <c r="Z4" i="13"/>
  <c r="AJ2" i="13"/>
  <c r="AQ2" i="13"/>
  <c r="AG3" i="13"/>
  <c r="P3" i="13"/>
  <c r="N4" i="13"/>
  <c r="Q2" i="13"/>
  <c r="AQ4" i="13"/>
  <c r="AH4" i="13"/>
  <c r="L4" i="13"/>
  <c r="W1" i="13"/>
  <c r="S3" i="13"/>
  <c r="U4" i="13"/>
  <c r="AF3" i="13"/>
  <c r="H2" i="13"/>
  <c r="AM4" i="13"/>
  <c r="AM2" i="13"/>
  <c r="AP2" i="13"/>
  <c r="N2" i="13"/>
  <c r="U3" i="13"/>
  <c r="R3" i="13"/>
  <c r="T2" i="13"/>
  <c r="AI2" i="13"/>
  <c r="AO2" i="13"/>
  <c r="M4" i="13"/>
  <c r="AC2" i="13"/>
  <c r="K2" i="13"/>
  <c r="G4" i="13"/>
  <c r="AQ1" i="13"/>
  <c r="Z3" i="13"/>
  <c r="AL2" i="13"/>
  <c r="T3" i="13"/>
  <c r="H4" i="13"/>
  <c r="W3" i="13"/>
  <c r="X3" i="13"/>
  <c r="AB1" i="13"/>
  <c r="W4" i="13"/>
  <c r="AE2" i="13"/>
  <c r="AD4" i="13"/>
  <c r="R1" i="13"/>
  <c r="AK2" i="13"/>
  <c r="AH2" i="13"/>
  <c r="L2" i="13"/>
  <c r="AA2" i="13"/>
  <c r="Y2" i="13"/>
  <c r="AL4" i="13"/>
  <c r="I4" i="13"/>
  <c r="Q3" i="13"/>
  <c r="AJ4" i="13"/>
  <c r="I3" i="13"/>
  <c r="V4" i="13"/>
  <c r="AK4" i="13"/>
  <c r="T4" i="13"/>
  <c r="Y4" i="13"/>
  <c r="AG2" i="13"/>
  <c r="AA4" i="13"/>
  <c r="AE4" i="13"/>
  <c r="G3" i="13"/>
  <c r="AP4" i="13"/>
  <c r="V3" i="13"/>
  <c r="G6" i="13"/>
  <c r="G1" i="13" s="1"/>
  <c r="M3" i="13"/>
  <c r="J4" i="13"/>
  <c r="AB3" i="13"/>
  <c r="S4" i="13"/>
  <c r="S2" i="13"/>
  <c r="AO3" i="13"/>
  <c r="I2" i="13"/>
  <c r="AI4" i="13"/>
  <c r="AL3" i="13"/>
  <c r="AK3" i="13"/>
  <c r="AB4" i="13"/>
  <c r="AB2" i="13"/>
  <c r="AA3" i="13"/>
  <c r="Y3" i="13"/>
  <c r="AG1" i="13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D2" i="1"/>
  <c r="C2" i="1"/>
  <c r="B2" i="1"/>
  <c r="G6" i="1" l="1" a="1"/>
  <c r="G6" i="1" l="1"/>
  <c r="G1" i="1" s="1"/>
  <c r="W1" i="1"/>
  <c r="J2" i="1"/>
  <c r="R2" i="1"/>
  <c r="Z2" i="1"/>
  <c r="AH2" i="1"/>
  <c r="AP2" i="1"/>
  <c r="M3" i="1"/>
  <c r="U3" i="1"/>
  <c r="AC3" i="1"/>
  <c r="AK3" i="1"/>
  <c r="H4" i="1"/>
  <c r="P4" i="1"/>
  <c r="X4" i="1"/>
  <c r="AF4" i="1"/>
  <c r="AN4" i="1"/>
  <c r="N2" i="1"/>
  <c r="AD2" i="1"/>
  <c r="I3" i="1"/>
  <c r="Y3" i="1"/>
  <c r="L4" i="1"/>
  <c r="AJ4" i="1"/>
  <c r="W2" i="1"/>
  <c r="AP3" i="1"/>
  <c r="AK4" i="1"/>
  <c r="H2" i="1"/>
  <c r="AQ3" i="1"/>
  <c r="AG2" i="1"/>
  <c r="AE4" i="1"/>
  <c r="AB1" i="1"/>
  <c r="K2" i="1"/>
  <c r="S2" i="1"/>
  <c r="AA2" i="1"/>
  <c r="AI2" i="1"/>
  <c r="AQ2" i="1"/>
  <c r="N3" i="1"/>
  <c r="V3" i="1"/>
  <c r="AD3" i="1"/>
  <c r="AL3" i="1"/>
  <c r="I4" i="1"/>
  <c r="Q4" i="1"/>
  <c r="Y4" i="1"/>
  <c r="AG4" i="1"/>
  <c r="AO4" i="1"/>
  <c r="V2" i="1"/>
  <c r="AL2" i="1"/>
  <c r="Q3" i="1"/>
  <c r="AG3" i="1"/>
  <c r="T4" i="1"/>
  <c r="AB4" i="1"/>
  <c r="O2" i="1"/>
  <c r="AH3" i="1"/>
  <c r="AC4" i="1"/>
  <c r="X2" i="1"/>
  <c r="S3" i="1"/>
  <c r="N4" i="1"/>
  <c r="AD4" i="1"/>
  <c r="AG1" i="1"/>
  <c r="L2" i="1"/>
  <c r="T2" i="1"/>
  <c r="AB2" i="1"/>
  <c r="AJ2" i="1"/>
  <c r="G3" i="1"/>
  <c r="O3" i="1"/>
  <c r="W3" i="1"/>
  <c r="AE3" i="1"/>
  <c r="AM3" i="1"/>
  <c r="J4" i="1"/>
  <c r="R4" i="1"/>
  <c r="Z4" i="1"/>
  <c r="AH4" i="1"/>
  <c r="AP4" i="1"/>
  <c r="H1" i="1"/>
  <c r="M1" i="1"/>
  <c r="AI3" i="1"/>
  <c r="R1" i="1"/>
  <c r="Y2" i="1"/>
  <c r="AO2" i="1"/>
  <c r="T3" i="1"/>
  <c r="AJ3" i="1"/>
  <c r="O4" i="1"/>
  <c r="AM4" i="1"/>
  <c r="AL1" i="1"/>
  <c r="M2" i="1"/>
  <c r="U2" i="1"/>
  <c r="AC2" i="1"/>
  <c r="AK2" i="1"/>
  <c r="H3" i="1"/>
  <c r="P3" i="1"/>
  <c r="X3" i="1"/>
  <c r="AF3" i="1"/>
  <c r="AN3" i="1"/>
  <c r="K4" i="1"/>
  <c r="S4" i="1"/>
  <c r="AA4" i="1"/>
  <c r="AI4" i="1"/>
  <c r="AQ4" i="1"/>
  <c r="AQ1" i="1"/>
  <c r="AO3" i="1"/>
  <c r="G2" i="1"/>
  <c r="AE2" i="1"/>
  <c r="AM2" i="1"/>
  <c r="J3" i="1"/>
  <c r="R3" i="1"/>
  <c r="Z3" i="1"/>
  <c r="M4" i="1"/>
  <c r="U4" i="1"/>
  <c r="P2" i="1"/>
  <c r="AF2" i="1"/>
  <c r="AN2" i="1"/>
  <c r="K3" i="1"/>
  <c r="AA3" i="1"/>
  <c r="V4" i="1"/>
  <c r="AL4" i="1"/>
  <c r="I2" i="1"/>
  <c r="L3" i="1"/>
  <c r="AB3" i="1"/>
  <c r="G4" i="1"/>
  <c r="W4" i="1"/>
  <c r="Q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<sst xmlns="http://schemas.openxmlformats.org/spreadsheetml/2006/main" count="84" uniqueCount="18">
  <si>
    <t>PMC full text</t>
    <phoneticPr fontId="1" type="noConversion"/>
  </si>
  <si>
    <t xml:space="preserve">PMC abstracts </t>
    <phoneticPr fontId="1" type="noConversion"/>
  </si>
  <si>
    <t>Pubmed abstracts</t>
    <phoneticPr fontId="1" type="noConversion"/>
  </si>
  <si>
    <t>hasPvalue</t>
    <phoneticPr fontId="1" type="noConversion"/>
  </si>
  <si>
    <t>Year</t>
    <phoneticPr fontId="2" type="noConversion"/>
  </si>
  <si>
    <t>SUM</t>
    <phoneticPr fontId="2" type="noConversion"/>
  </si>
  <si>
    <t>MAX</t>
    <phoneticPr fontId="2" type="noConversion"/>
  </si>
  <si>
    <t>MIN</t>
    <phoneticPr fontId="2" type="noConversion"/>
  </si>
  <si>
    <t>Database</t>
    <phoneticPr fontId="1" type="noConversion"/>
  </si>
  <si>
    <t>Articles Reporting P Values, No. (range per year)</t>
    <phoneticPr fontId="1" type="noConversion"/>
  </si>
  <si>
    <r>
      <t xml:space="preserve">Articles Reporting ≥1 </t>
    </r>
    <r>
      <rPr>
        <sz val="12"/>
        <color theme="1"/>
        <rFont val="맑은 고딕"/>
        <family val="3"/>
        <charset val="129"/>
        <scheme val="minor"/>
      </rPr>
      <t>P</t>
    </r>
    <r>
      <rPr>
        <sz val="11"/>
        <color theme="1"/>
        <rFont val="맑은 고딕"/>
        <family val="2"/>
        <scheme val="minor"/>
      </rPr>
      <t xml:space="preserve"> Value ≤.01, No.</t>
    </r>
    <phoneticPr fontId="2" type="noConversion"/>
  </si>
  <si>
    <r>
      <t xml:space="preserve">Articles Reporting ≥1 </t>
    </r>
    <r>
      <rPr>
        <sz val="12"/>
        <color theme="1"/>
        <rFont val="맑은 고딕"/>
        <family val="3"/>
        <charset val="129"/>
        <scheme val="minor"/>
      </rPr>
      <t>P</t>
    </r>
    <r>
      <rPr>
        <sz val="11"/>
        <color theme="1"/>
        <rFont val="맑은 고딕"/>
        <family val="2"/>
        <scheme val="minor"/>
      </rPr>
      <t xml:space="preserve"> Value ≤.005, No.</t>
    </r>
    <phoneticPr fontId="2" type="noConversion"/>
  </si>
  <si>
    <t>Items, No</t>
    <phoneticPr fontId="1" type="noConversion"/>
  </si>
  <si>
    <t>Items Reporting P Values, No. (range per year)</t>
    <phoneticPr fontId="1" type="noConversion"/>
  </si>
  <si>
    <r>
      <t xml:space="preserve">Items Reporting ≥1 </t>
    </r>
    <r>
      <rPr>
        <sz val="12"/>
        <color theme="1"/>
        <rFont val="맑은 고딕"/>
        <family val="3"/>
        <charset val="129"/>
        <scheme val="minor"/>
      </rPr>
      <t>P</t>
    </r>
    <r>
      <rPr>
        <sz val="11"/>
        <color theme="1"/>
        <rFont val="맑은 고딕"/>
        <family val="2"/>
        <scheme val="minor"/>
      </rPr>
      <t xml:space="preserve"> Value ≤.05, No.</t>
    </r>
    <phoneticPr fontId="2" type="noConversion"/>
  </si>
  <si>
    <t>PubMed Abstracts</t>
    <phoneticPr fontId="1" type="noConversion"/>
  </si>
  <si>
    <t>PMC Abstracts</t>
    <phoneticPr fontId="1" type="noConversion"/>
  </si>
  <si>
    <t>PMC Full-texts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</si>
</sst>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>
      <alignment vertical="center"/>
    </xf>
  </cellStyleXfs>
  <cellXfs count="2">
    <xf numFmtId="0" fontId="0" fillId="0" borderId="0" xfId="0"/>
    <xf numFmtId="0" fontId="0" fillId="0" borderId="0" xfId="0" applyAlignment="1">
      <alignment vertical="center"/>
    </xf>
  </cellXfs>
  <cellStyles count="2">
    <cellStyle name="표준" xfId="0" builtinId="0"/>
    <cellStyle name="표준 2" xfId="1" xr:uid="{35EABA2B-C3C7-4673-89BF-69C6344369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284144539906727E-2"/>
          <c:y val="8.8420194615472569E-2"/>
          <c:w val="0.90256724678456202"/>
          <c:h val="0.69182723732949591"/>
        </c:manualLayout>
      </c:layout>
      <c:lineChart>
        <c:grouping val="standard"/>
        <c:varyColors val="0"/>
        <c:ser>
          <c:idx val="0"/>
          <c:order val="0"/>
          <c:tx>
            <c:strRef>
              <c:f>HasPval!$G$2</c:f>
              <c:strCache>
                <c:ptCount val="1"/>
                <c:pt idx="0">
                  <c:v>PMC Full-texts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HasPval!$H$1:$AQ$1</c:f>
              <c:numCache>
                <c:formatCode>General</c:formatCode>
                <c:ptCount val="36"/>
                <c:pt idx="0">
                  <c:v>1990</c:v>
                </c:pt>
                <c:pt idx="5">
                  <c:v>1995</c:v>
                </c:pt>
                <c:pt idx="10">
                  <c:v>2000</c:v>
                </c:pt>
                <c:pt idx="15">
                  <c:v>2005</c:v>
                </c:pt>
                <c:pt idx="20">
                  <c:v>2010</c:v>
                </c:pt>
                <c:pt idx="25">
                  <c:v>2015</c:v>
                </c:pt>
                <c:pt idx="30">
                  <c:v>2020</c:v>
                </c:pt>
                <c:pt idx="35">
                  <c:v>2025</c:v>
                </c:pt>
              </c:numCache>
            </c:numRef>
          </c:cat>
          <c:val>
            <c:numRef>
              <c:f>HasPval!$H$2:$AQ$2</c:f>
              <c:numCache>
                <c:formatCode>General</c:formatCode>
                <c:ptCount val="36"/>
                <c:pt idx="0">
                  <c:v>5.2173913043478262</c:v>
                </c:pt>
                <c:pt idx="1">
                  <c:v>4.4534412955465585</c:v>
                </c:pt>
                <c:pt idx="2">
                  <c:v>6.2780269058295968</c:v>
                </c:pt>
                <c:pt idx="3">
                  <c:v>7.3394495412844041</c:v>
                </c:pt>
                <c:pt idx="4">
                  <c:v>10.493827160493826</c:v>
                </c:pt>
                <c:pt idx="5">
                  <c:v>10.158730158730158</c:v>
                </c:pt>
                <c:pt idx="6">
                  <c:v>11.748633879781421</c:v>
                </c:pt>
                <c:pt idx="7">
                  <c:v>17.729204614450516</c:v>
                </c:pt>
                <c:pt idx="8">
                  <c:v>20.479178551055334</c:v>
                </c:pt>
                <c:pt idx="9">
                  <c:v>20.876288659793815</c:v>
                </c:pt>
                <c:pt idx="10">
                  <c:v>20.088954781319497</c:v>
                </c:pt>
                <c:pt idx="11">
                  <c:v>26.198767747120279</c:v>
                </c:pt>
                <c:pt idx="12">
                  <c:v>32.567275584364566</c:v>
                </c:pt>
                <c:pt idx="13">
                  <c:v>32.905067808708068</c:v>
                </c:pt>
                <c:pt idx="14">
                  <c:v>33.447198906890499</c:v>
                </c:pt>
                <c:pt idx="15">
                  <c:v>34.529434299578597</c:v>
                </c:pt>
                <c:pt idx="16">
                  <c:v>36.345051109449017</c:v>
                </c:pt>
                <c:pt idx="17">
                  <c:v>39.180500563042607</c:v>
                </c:pt>
                <c:pt idx="18">
                  <c:v>38.070878842342964</c:v>
                </c:pt>
                <c:pt idx="19">
                  <c:v>39.172261409025239</c:v>
                </c:pt>
                <c:pt idx="20">
                  <c:v>41.657724652509174</c:v>
                </c:pt>
                <c:pt idx="21">
                  <c:v>43.296107240368549</c:v>
                </c:pt>
                <c:pt idx="22">
                  <c:v>46.002066186380958</c:v>
                </c:pt>
                <c:pt idx="23">
                  <c:v>48.076257061841169</c:v>
                </c:pt>
                <c:pt idx="24">
                  <c:v>48.130754607072376</c:v>
                </c:pt>
                <c:pt idx="25">
                  <c:v>48.888862437956035</c:v>
                </c:pt>
                <c:pt idx="26">
                  <c:v>50.404843533445188</c:v>
                </c:pt>
                <c:pt idx="27">
                  <c:v>51.334449044305472</c:v>
                </c:pt>
                <c:pt idx="28">
                  <c:v>50.144983910322146</c:v>
                </c:pt>
                <c:pt idx="29">
                  <c:v>50.826302335469528</c:v>
                </c:pt>
                <c:pt idx="30">
                  <c:v>47.951682319366732</c:v>
                </c:pt>
                <c:pt idx="31">
                  <c:v>49.52993268317433</c:v>
                </c:pt>
                <c:pt idx="32">
                  <c:v>49.900546571617511</c:v>
                </c:pt>
                <c:pt idx="33">
                  <c:v>49.370176425614169</c:v>
                </c:pt>
                <c:pt idx="34">
                  <c:v>51.019372538582019</c:v>
                </c:pt>
                <c:pt idx="35">
                  <c:v>53.317368509289324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5E-4ED3-B13F-1CD753F41C68}"/>
            </c:ext>
          </c:extLst>
        </c:ser>
        <c:ser>
          <c:idx val="1"/>
          <c:order val="1"/>
          <c:tx>
            <c:strRef>
              <c:f>HasPval!$G$3</c:f>
              <c:strCache>
                <c:ptCount val="1"/>
                <c:pt idx="0">
                  <c:v>PMC Abstracts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HasPval!$H$1:$AQ$1</c:f>
              <c:numCache>
                <c:formatCode>General</c:formatCode>
                <c:ptCount val="36"/>
                <c:pt idx="0">
                  <c:v>1990</c:v>
                </c:pt>
                <c:pt idx="5">
                  <c:v>1995</c:v>
                </c:pt>
                <c:pt idx="10">
                  <c:v>2000</c:v>
                </c:pt>
                <c:pt idx="15">
                  <c:v>2005</c:v>
                </c:pt>
                <c:pt idx="20">
                  <c:v>2010</c:v>
                </c:pt>
                <c:pt idx="25">
                  <c:v>2015</c:v>
                </c:pt>
                <c:pt idx="30">
                  <c:v>2020</c:v>
                </c:pt>
                <c:pt idx="35">
                  <c:v>2025</c:v>
                </c:pt>
              </c:numCache>
            </c:numRef>
          </c:cat>
          <c:val>
            <c:numRef>
              <c:f>HasPval!$H$3:$AQ$3</c:f>
              <c:numCache>
                <c:formatCode>General</c:formatCode>
                <c:ptCount val="36"/>
                <c:pt idx="0">
                  <c:v>3.8461538461538463</c:v>
                </c:pt>
                <c:pt idx="1">
                  <c:v>5.7724252491694354</c:v>
                </c:pt>
                <c:pt idx="2">
                  <c:v>5.8510638297872344</c:v>
                </c:pt>
                <c:pt idx="3">
                  <c:v>7.0337477797513319</c:v>
                </c:pt>
                <c:pt idx="4">
                  <c:v>7.4145712443584779</c:v>
                </c:pt>
                <c:pt idx="5">
                  <c:v>7.6009501187648461</c:v>
                </c:pt>
                <c:pt idx="6">
                  <c:v>8.7362991618310772</c:v>
                </c:pt>
                <c:pt idx="7">
                  <c:v>9.001233045622687</c:v>
                </c:pt>
                <c:pt idx="8">
                  <c:v>9.5878398129201994</c:v>
                </c:pt>
                <c:pt idx="9">
                  <c:v>10.352673492605232</c:v>
                </c:pt>
                <c:pt idx="10">
                  <c:v>9.2355857031046185</c:v>
                </c:pt>
                <c:pt idx="11">
                  <c:v>9.2367825550298299</c:v>
                </c:pt>
                <c:pt idx="12">
                  <c:v>9.8607038123167143</c:v>
                </c:pt>
                <c:pt idx="13">
                  <c:v>10.444234404536862</c:v>
                </c:pt>
                <c:pt idx="14">
                  <c:v>10.864770748694138</c:v>
                </c:pt>
                <c:pt idx="15">
                  <c:v>10.452643590718905</c:v>
                </c:pt>
                <c:pt idx="16">
                  <c:v>11.300919842312746</c:v>
                </c:pt>
                <c:pt idx="17">
                  <c:v>10.967082396237988</c:v>
                </c:pt>
                <c:pt idx="18">
                  <c:v>10.403037533030608</c:v>
                </c:pt>
                <c:pt idx="19">
                  <c:v>10.578574799433694</c:v>
                </c:pt>
                <c:pt idx="20">
                  <c:v>11.44964988329443</c:v>
                </c:pt>
                <c:pt idx="21">
                  <c:v>12.06462720169514</c:v>
                </c:pt>
                <c:pt idx="22">
                  <c:v>13.160828625235405</c:v>
                </c:pt>
                <c:pt idx="23">
                  <c:v>14.261560571476878</c:v>
                </c:pt>
                <c:pt idx="24">
                  <c:v>14.792685860935121</c:v>
                </c:pt>
                <c:pt idx="25">
                  <c:v>15.229430379746836</c:v>
                </c:pt>
                <c:pt idx="26">
                  <c:v>15.581837016574585</c:v>
                </c:pt>
                <c:pt idx="27">
                  <c:v>15.676047953928791</c:v>
                </c:pt>
                <c:pt idx="28">
                  <c:v>15.783704672489762</c:v>
                </c:pt>
                <c:pt idx="29">
                  <c:v>15.992093748588642</c:v>
                </c:pt>
                <c:pt idx="30">
                  <c:v>15.805443945012101</c:v>
                </c:pt>
                <c:pt idx="31">
                  <c:v>16.530185713545453</c:v>
                </c:pt>
                <c:pt idx="32">
                  <c:v>16.835609553809523</c:v>
                </c:pt>
                <c:pt idx="33">
                  <c:v>16.781338021165624</c:v>
                </c:pt>
                <c:pt idx="34">
                  <c:v>17.559475741942169</c:v>
                </c:pt>
                <c:pt idx="35">
                  <c:v>19.461083093249805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5E-4ED3-B13F-1CD753F41C68}"/>
            </c:ext>
          </c:extLst>
        </c:ser>
        <c:ser>
          <c:idx val="2"/>
          <c:order val="2"/>
          <c:tx>
            <c:strRef>
              <c:f>HasPval!$G$4</c:f>
              <c:strCache>
                <c:ptCount val="1"/>
                <c:pt idx="0">
                  <c:v>PubMed Abstracts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HasPval!$H$1:$AQ$1</c:f>
              <c:numCache>
                <c:formatCode>General</c:formatCode>
                <c:ptCount val="36"/>
                <c:pt idx="0">
                  <c:v>1990</c:v>
                </c:pt>
                <c:pt idx="5">
                  <c:v>1995</c:v>
                </c:pt>
                <c:pt idx="10">
                  <c:v>2000</c:v>
                </c:pt>
                <c:pt idx="15">
                  <c:v>2005</c:v>
                </c:pt>
                <c:pt idx="20">
                  <c:v>2010</c:v>
                </c:pt>
                <c:pt idx="25">
                  <c:v>2015</c:v>
                </c:pt>
                <c:pt idx="30">
                  <c:v>2020</c:v>
                </c:pt>
                <c:pt idx="35">
                  <c:v>2025</c:v>
                </c:pt>
              </c:numCache>
            </c:numRef>
          </c:cat>
          <c:val>
            <c:numRef>
              <c:f>HasPval!$H$4:$AQ$4</c:f>
              <c:numCache>
                <c:formatCode>General</c:formatCode>
                <c:ptCount val="36"/>
                <c:pt idx="0">
                  <c:v>7.4922142969904844</c:v>
                </c:pt>
                <c:pt idx="1">
                  <c:v>8.0870050195203582</c:v>
                </c:pt>
                <c:pt idx="2">
                  <c:v>8.7406741760882749</c:v>
                </c:pt>
                <c:pt idx="3">
                  <c:v>9.3137690724187685</c:v>
                </c:pt>
                <c:pt idx="4">
                  <c:v>9.8484268417320546</c:v>
                </c:pt>
                <c:pt idx="5">
                  <c:v>10.328659721908281</c:v>
                </c:pt>
                <c:pt idx="6">
                  <c:v>10.885077675899092</c:v>
                </c:pt>
                <c:pt idx="7">
                  <c:v>11.278772142190517</c:v>
                </c:pt>
                <c:pt idx="8">
                  <c:v>11.337926491820825</c:v>
                </c:pt>
                <c:pt idx="9">
                  <c:v>11.72828551146122</c:v>
                </c:pt>
                <c:pt idx="10">
                  <c:v>11.322342125238199</c:v>
                </c:pt>
                <c:pt idx="11">
                  <c:v>11.594853456667458</c:v>
                </c:pt>
                <c:pt idx="12">
                  <c:v>11.862182353110848</c:v>
                </c:pt>
                <c:pt idx="13">
                  <c:v>12.377194341007494</c:v>
                </c:pt>
                <c:pt idx="14">
                  <c:v>12.676840607112061</c:v>
                </c:pt>
                <c:pt idx="15">
                  <c:v>13.102711092290559</c:v>
                </c:pt>
                <c:pt idx="16">
                  <c:v>13.125184327942478</c:v>
                </c:pt>
                <c:pt idx="17">
                  <c:v>13.536554113452862</c:v>
                </c:pt>
                <c:pt idx="18">
                  <c:v>13.979206194949636</c:v>
                </c:pt>
                <c:pt idx="19">
                  <c:v>14.32795047215833</c:v>
                </c:pt>
                <c:pt idx="20">
                  <c:v>14.645641271785365</c:v>
                </c:pt>
                <c:pt idx="21">
                  <c:v>15.203296222069953</c:v>
                </c:pt>
                <c:pt idx="22">
                  <c:v>15.665689399803734</c:v>
                </c:pt>
                <c:pt idx="23">
                  <c:v>16.239176395104092</c:v>
                </c:pt>
                <c:pt idx="24">
                  <c:v>16.711395693923428</c:v>
                </c:pt>
                <c:pt idx="25">
                  <c:v>17.318446487825607</c:v>
                </c:pt>
                <c:pt idx="26">
                  <c:v>17.598548329989377</c:v>
                </c:pt>
                <c:pt idx="27">
                  <c:v>17.845313571181705</c:v>
                </c:pt>
                <c:pt idx="28">
                  <c:v>18.038837711311086</c:v>
                </c:pt>
                <c:pt idx="29">
                  <c:v>18.037654943366718</c:v>
                </c:pt>
                <c:pt idx="30">
                  <c:v>18.397820926048926</c:v>
                </c:pt>
                <c:pt idx="31">
                  <c:v>18.5436095484154</c:v>
                </c:pt>
                <c:pt idx="32">
                  <c:v>18.031976808029341</c:v>
                </c:pt>
                <c:pt idx="33">
                  <c:v>18.226438453555172</c:v>
                </c:pt>
                <c:pt idx="34">
                  <c:v>18.085418722597812</c:v>
                </c:pt>
                <c:pt idx="35">
                  <c:v>18.338838624583488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5E-4ED3-B13F-1CD753F41C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4068016"/>
        <c:axId val="1304074736"/>
      </c:lineChart>
      <c:catAx>
        <c:axId val="1304068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Year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04074736"/>
        <c:crosses val="autoZero"/>
        <c:auto val="1"/>
        <c:lblAlgn val="ctr"/>
        <c:lblOffset val="100"/>
        <c:tickMarkSkip val="1"/>
        <c:noMultiLvlLbl val="0"/>
      </c:catAx>
      <c:valAx>
        <c:axId val="130407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Proportion of Items With P Values,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040680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4474020634809475E-2"/>
          <c:y val="0.11976017874999002"/>
          <c:w val="0.21289312020538523"/>
          <c:h val="0.24346963842781288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284144539906727E-2"/>
          <c:y val="8.8420194615472569E-2"/>
          <c:w val="0.90256724678456202"/>
          <c:h val="0.69182723732949591"/>
        </c:manualLayout>
      </c:layout>
      <c:lineChart>
        <c:grouping val="standard"/>
        <c:varyColors val="0"/>
        <c:ser>
          <c:idx val="0"/>
          <c:order val="0"/>
          <c:tx>
            <c:strRef>
              <c:f>'Has005'!$G$2</c:f>
              <c:strCache>
                <c:ptCount val="1"/>
                <c:pt idx="0">
                  <c:v>PMC Full-texts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'Has005'!$H$1:$AQ$1</c:f>
              <c:numCache>
                <c:formatCode>General</c:formatCode>
                <c:ptCount val="36"/>
                <c:pt idx="0">
                  <c:v>1990</c:v>
                </c:pt>
                <c:pt idx="5">
                  <c:v>1995</c:v>
                </c:pt>
                <c:pt idx="10">
                  <c:v>2000</c:v>
                </c:pt>
                <c:pt idx="15">
                  <c:v>2005</c:v>
                </c:pt>
                <c:pt idx="20">
                  <c:v>2010</c:v>
                </c:pt>
                <c:pt idx="25">
                  <c:v>2015</c:v>
                </c:pt>
                <c:pt idx="30">
                  <c:v>2020</c:v>
                </c:pt>
                <c:pt idx="35">
                  <c:v>2025</c:v>
                </c:pt>
              </c:numCache>
            </c:numRef>
          </c:cat>
          <c:val>
            <c:numRef>
              <c:f>'Has005'!$H$2:$AQ$2</c:f>
              <c:numCache>
                <c:formatCode>General</c:formatCode>
                <c:ptCount val="36"/>
                <c:pt idx="0">
                  <c:v>100</c:v>
                </c:pt>
                <c:pt idx="1">
                  <c:v>100</c:v>
                </c:pt>
                <c:pt idx="2">
                  <c:v>85.714285714285708</c:v>
                </c:pt>
                <c:pt idx="3">
                  <c:v>100</c:v>
                </c:pt>
                <c:pt idx="4">
                  <c:v>91.17647058823529</c:v>
                </c:pt>
                <c:pt idx="5">
                  <c:v>90.625</c:v>
                </c:pt>
                <c:pt idx="6">
                  <c:v>95.348837209302332</c:v>
                </c:pt>
                <c:pt idx="7">
                  <c:v>95.205479452054803</c:v>
                </c:pt>
                <c:pt idx="8">
                  <c:v>96.378830083565461</c:v>
                </c:pt>
                <c:pt idx="9">
                  <c:v>94.320987654320987</c:v>
                </c:pt>
                <c:pt idx="10">
                  <c:v>95.756457564575641</c:v>
                </c:pt>
                <c:pt idx="11">
                  <c:v>96.421267893660527</c:v>
                </c:pt>
                <c:pt idx="12">
                  <c:v>96.260554885404105</c:v>
                </c:pt>
                <c:pt idx="13">
                  <c:v>95.618221258134497</c:v>
                </c:pt>
                <c:pt idx="14">
                  <c:v>95.302013422818789</c:v>
                </c:pt>
                <c:pt idx="15">
                  <c:v>96.394230769230774</c:v>
                </c:pt>
                <c:pt idx="16">
                  <c:v>95.541226505693515</c:v>
                </c:pt>
                <c:pt idx="17">
                  <c:v>96.161691081030966</c:v>
                </c:pt>
                <c:pt idx="18">
                  <c:v>96.362425856433845</c:v>
                </c:pt>
                <c:pt idx="19">
                  <c:v>96.502798628888797</c:v>
                </c:pt>
                <c:pt idx="20">
                  <c:v>96.669362326654081</c:v>
                </c:pt>
                <c:pt idx="21">
                  <c:v>96.910195300965967</c:v>
                </c:pt>
                <c:pt idx="22">
                  <c:v>97.206936553734494</c:v>
                </c:pt>
                <c:pt idx="23">
                  <c:v>97.143275215830172</c:v>
                </c:pt>
                <c:pt idx="24">
                  <c:v>97.17132483323482</c:v>
                </c:pt>
                <c:pt idx="25">
                  <c:v>97.238250594470017</c:v>
                </c:pt>
                <c:pt idx="26">
                  <c:v>97.40086830680174</c:v>
                </c:pt>
                <c:pt idx="27">
                  <c:v>97.334070515264742</c:v>
                </c:pt>
                <c:pt idx="28">
                  <c:v>97.316737773703323</c:v>
                </c:pt>
                <c:pt idx="29">
                  <c:v>97.321514062681103</c:v>
                </c:pt>
                <c:pt idx="30">
                  <c:v>97.308568262957039</c:v>
                </c:pt>
                <c:pt idx="31">
                  <c:v>97.395825578382826</c:v>
                </c:pt>
                <c:pt idx="32">
                  <c:v>97.512288850471762</c:v>
                </c:pt>
                <c:pt idx="33">
                  <c:v>97.522783785600126</c:v>
                </c:pt>
                <c:pt idx="34">
                  <c:v>97.635522483890938</c:v>
                </c:pt>
                <c:pt idx="35">
                  <c:v>97.722473335358117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F1-489B-85C1-2F92884B2864}"/>
            </c:ext>
          </c:extLst>
        </c:ser>
        <c:ser>
          <c:idx val="1"/>
          <c:order val="1"/>
          <c:tx>
            <c:strRef>
              <c:f>'Has005'!$G$3</c:f>
              <c:strCache>
                <c:ptCount val="1"/>
                <c:pt idx="0">
                  <c:v>PMC Abstracts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'Has005'!$H$1:$AQ$1</c:f>
              <c:numCache>
                <c:formatCode>General</c:formatCode>
                <c:ptCount val="36"/>
                <c:pt idx="0">
                  <c:v>1990</c:v>
                </c:pt>
                <c:pt idx="5">
                  <c:v>1995</c:v>
                </c:pt>
                <c:pt idx="10">
                  <c:v>2000</c:v>
                </c:pt>
                <c:pt idx="15">
                  <c:v>2005</c:v>
                </c:pt>
                <c:pt idx="20">
                  <c:v>2010</c:v>
                </c:pt>
                <c:pt idx="25">
                  <c:v>2015</c:v>
                </c:pt>
                <c:pt idx="30">
                  <c:v>2020</c:v>
                </c:pt>
                <c:pt idx="35">
                  <c:v>2025</c:v>
                </c:pt>
              </c:numCache>
            </c:numRef>
          </c:cat>
          <c:val>
            <c:numRef>
              <c:f>'Has005'!$H$3:$AQ$3</c:f>
              <c:numCache>
                <c:formatCode>General</c:formatCode>
                <c:ptCount val="36"/>
                <c:pt idx="0">
                  <c:v>95.555555555555557</c:v>
                </c:pt>
                <c:pt idx="1">
                  <c:v>97.122302158273371</c:v>
                </c:pt>
                <c:pt idx="2">
                  <c:v>97.2027972027972</c:v>
                </c:pt>
                <c:pt idx="3">
                  <c:v>95.959595959595958</c:v>
                </c:pt>
                <c:pt idx="4">
                  <c:v>97.826086956521735</c:v>
                </c:pt>
                <c:pt idx="5">
                  <c:v>95.982142857142861</c:v>
                </c:pt>
                <c:pt idx="6">
                  <c:v>95.571955719557195</c:v>
                </c:pt>
                <c:pt idx="7">
                  <c:v>93.835616438356169</c:v>
                </c:pt>
                <c:pt idx="8">
                  <c:v>95.121951219512198</c:v>
                </c:pt>
                <c:pt idx="9">
                  <c:v>97.527472527472526</c:v>
                </c:pt>
                <c:pt idx="10">
                  <c:v>94.915254237288138</c:v>
                </c:pt>
                <c:pt idx="11">
                  <c:v>94.209354120267264</c:v>
                </c:pt>
                <c:pt idx="12">
                  <c:v>96.096654275092945</c:v>
                </c:pt>
                <c:pt idx="13">
                  <c:v>95.625942684766216</c:v>
                </c:pt>
                <c:pt idx="14">
                  <c:v>94.230769230769226</c:v>
                </c:pt>
                <c:pt idx="15">
                  <c:v>95.196506550218345</c:v>
                </c:pt>
                <c:pt idx="16">
                  <c:v>94.641051567239629</c:v>
                </c:pt>
                <c:pt idx="17">
                  <c:v>95.302013422818789</c:v>
                </c:pt>
                <c:pt idx="18">
                  <c:v>95.265104808877936</c:v>
                </c:pt>
                <c:pt idx="19">
                  <c:v>95.289079229122052</c:v>
                </c:pt>
                <c:pt idx="20">
                  <c:v>95.340371314160905</c:v>
                </c:pt>
                <c:pt idx="21">
                  <c:v>95.220805539137046</c:v>
                </c:pt>
                <c:pt idx="22">
                  <c:v>95.85598992616336</c:v>
                </c:pt>
                <c:pt idx="23">
                  <c:v>95.4229824709967</c:v>
                </c:pt>
                <c:pt idx="24">
                  <c:v>95.601789102737868</c:v>
                </c:pt>
                <c:pt idx="25">
                  <c:v>95.461841529257256</c:v>
                </c:pt>
                <c:pt idx="26">
                  <c:v>95.482246285570383</c:v>
                </c:pt>
                <c:pt idx="27">
                  <c:v>95.195937741472562</c:v>
                </c:pt>
                <c:pt idx="28">
                  <c:v>95.142738769309688</c:v>
                </c:pt>
                <c:pt idx="29">
                  <c:v>95.267127383879327</c:v>
                </c:pt>
                <c:pt idx="30">
                  <c:v>95.485233658959757</c:v>
                </c:pt>
                <c:pt idx="31">
                  <c:v>95.550531485404335</c:v>
                </c:pt>
                <c:pt idx="32">
                  <c:v>95.589122881425055</c:v>
                </c:pt>
                <c:pt idx="33">
                  <c:v>95.518033623864923</c:v>
                </c:pt>
                <c:pt idx="34">
                  <c:v>95.602450410426385</c:v>
                </c:pt>
                <c:pt idx="35">
                  <c:v>95.978219526354764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F1-489B-85C1-2F92884B2864}"/>
            </c:ext>
          </c:extLst>
        </c:ser>
        <c:ser>
          <c:idx val="2"/>
          <c:order val="2"/>
          <c:tx>
            <c:strRef>
              <c:f>'Has005'!$G$4</c:f>
              <c:strCache>
                <c:ptCount val="1"/>
                <c:pt idx="0">
                  <c:v>PubMed Abstracts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'Has005'!$H$1:$AQ$1</c:f>
              <c:numCache>
                <c:formatCode>General</c:formatCode>
                <c:ptCount val="36"/>
                <c:pt idx="0">
                  <c:v>1990</c:v>
                </c:pt>
                <c:pt idx="5">
                  <c:v>1995</c:v>
                </c:pt>
                <c:pt idx="10">
                  <c:v>2000</c:v>
                </c:pt>
                <c:pt idx="15">
                  <c:v>2005</c:v>
                </c:pt>
                <c:pt idx="20">
                  <c:v>2010</c:v>
                </c:pt>
                <c:pt idx="25">
                  <c:v>2015</c:v>
                </c:pt>
                <c:pt idx="30">
                  <c:v>2020</c:v>
                </c:pt>
                <c:pt idx="35">
                  <c:v>2025</c:v>
                </c:pt>
              </c:numCache>
            </c:numRef>
          </c:cat>
          <c:val>
            <c:numRef>
              <c:f>'Has005'!$H$4:$AQ$4</c:f>
              <c:numCache>
                <c:formatCode>General</c:formatCode>
                <c:ptCount val="36"/>
                <c:pt idx="0">
                  <c:v>98.003064840532517</c:v>
                </c:pt>
                <c:pt idx="1">
                  <c:v>98.005710520535914</c:v>
                </c:pt>
                <c:pt idx="2">
                  <c:v>98.007571229328548</c:v>
                </c:pt>
                <c:pt idx="3">
                  <c:v>97.474024305173117</c:v>
                </c:pt>
                <c:pt idx="4">
                  <c:v>97.278842578507934</c:v>
                </c:pt>
                <c:pt idx="5">
                  <c:v>97.061214281248041</c:v>
                </c:pt>
                <c:pt idx="6">
                  <c:v>97.081587523277463</c:v>
                </c:pt>
                <c:pt idx="7">
                  <c:v>96.897700584412036</c:v>
                </c:pt>
                <c:pt idx="8">
                  <c:v>96.700988147418116</c:v>
                </c:pt>
                <c:pt idx="9">
                  <c:v>96.680740975764522</c:v>
                </c:pt>
                <c:pt idx="10">
                  <c:v>96.387801504887378</c:v>
                </c:pt>
                <c:pt idx="11">
                  <c:v>96.530949584583936</c:v>
                </c:pt>
                <c:pt idx="12">
                  <c:v>96.310030395136778</c:v>
                </c:pt>
                <c:pt idx="13">
                  <c:v>96.160890774894369</c:v>
                </c:pt>
                <c:pt idx="14">
                  <c:v>95.992657302542085</c:v>
                </c:pt>
                <c:pt idx="15">
                  <c:v>95.95375722543352</c:v>
                </c:pt>
                <c:pt idx="16">
                  <c:v>95.85682185516616</c:v>
                </c:pt>
                <c:pt idx="17">
                  <c:v>95.88056267823336</c:v>
                </c:pt>
                <c:pt idx="18">
                  <c:v>95.77701025126072</c:v>
                </c:pt>
                <c:pt idx="19">
                  <c:v>95.70900912054806</c:v>
                </c:pt>
                <c:pt idx="20">
                  <c:v>95.555869473089416</c:v>
                </c:pt>
                <c:pt idx="21">
                  <c:v>95.571802539838529</c:v>
                </c:pt>
                <c:pt idx="22">
                  <c:v>95.548915242630812</c:v>
                </c:pt>
                <c:pt idx="23">
                  <c:v>95.406294305186719</c:v>
                </c:pt>
                <c:pt idx="24">
                  <c:v>95.378073833427749</c:v>
                </c:pt>
                <c:pt idx="25">
                  <c:v>95.30263973635266</c:v>
                </c:pt>
                <c:pt idx="26">
                  <c:v>95.145637328552908</c:v>
                </c:pt>
                <c:pt idx="27">
                  <c:v>95.021716491834098</c:v>
                </c:pt>
                <c:pt idx="28">
                  <c:v>94.889567379902985</c:v>
                </c:pt>
                <c:pt idx="29">
                  <c:v>94.938625011780232</c:v>
                </c:pt>
                <c:pt idx="30">
                  <c:v>94.951005162560747</c:v>
                </c:pt>
                <c:pt idx="31">
                  <c:v>94.960684125306628</c:v>
                </c:pt>
                <c:pt idx="32">
                  <c:v>95.012991494630867</c:v>
                </c:pt>
                <c:pt idx="33">
                  <c:v>95.064198485689147</c:v>
                </c:pt>
                <c:pt idx="34">
                  <c:v>95.20526004310976</c:v>
                </c:pt>
                <c:pt idx="35">
                  <c:v>95.485982413942665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F1-489B-85C1-2F92884B28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4068016"/>
        <c:axId val="1304074736"/>
      </c:lineChart>
      <c:catAx>
        <c:axId val="1304068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Year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04074736"/>
        <c:crosses val="autoZero"/>
        <c:auto val="1"/>
        <c:lblAlgn val="ctr"/>
        <c:lblOffset val="100"/>
        <c:tickMarkSkip val="1"/>
        <c:noMultiLvlLbl val="0"/>
      </c:catAx>
      <c:valAx>
        <c:axId val="1304074736"/>
        <c:scaling>
          <c:orientation val="minMax"/>
          <c:max val="100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Proportion of Items With </a:t>
                </a:r>
                <a:r>
                  <a:rPr lang="ko-KR" altLang="ko-K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≥</a:t>
                </a:r>
                <a:r>
                  <a:rPr lang="en-US" altLang="ko-K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1 P Value </a:t>
                </a:r>
                <a:r>
                  <a:rPr lang="ko-KR" altLang="ko-K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≤</a:t>
                </a:r>
                <a:r>
                  <a:rPr lang="en-US" altLang="ko-K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.05,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040680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4965675209126392"/>
          <c:y val="0.50404786151394543"/>
          <c:w val="0.21289312020538523"/>
          <c:h val="0.24346963842781288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284144539906727E-2"/>
          <c:y val="8.8420194615472569E-2"/>
          <c:w val="0.90256724678456202"/>
          <c:h val="0.69182723732949591"/>
        </c:manualLayout>
      </c:layout>
      <c:lineChart>
        <c:grouping val="standard"/>
        <c:varyColors val="0"/>
        <c:ser>
          <c:idx val="0"/>
          <c:order val="0"/>
          <c:tx>
            <c:strRef>
              <c:f>'Has001'!$G$2</c:f>
              <c:strCache>
                <c:ptCount val="1"/>
                <c:pt idx="0">
                  <c:v>PMC Full-texts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'Has001'!$H$1:$AQ$1</c:f>
              <c:numCache>
                <c:formatCode>General</c:formatCode>
                <c:ptCount val="36"/>
                <c:pt idx="0">
                  <c:v>1990</c:v>
                </c:pt>
                <c:pt idx="5">
                  <c:v>1995</c:v>
                </c:pt>
                <c:pt idx="10">
                  <c:v>2000</c:v>
                </c:pt>
                <c:pt idx="15">
                  <c:v>2005</c:v>
                </c:pt>
                <c:pt idx="20">
                  <c:v>2010</c:v>
                </c:pt>
                <c:pt idx="25">
                  <c:v>2015</c:v>
                </c:pt>
                <c:pt idx="30">
                  <c:v>2020</c:v>
                </c:pt>
                <c:pt idx="35">
                  <c:v>2025</c:v>
                </c:pt>
              </c:numCache>
            </c:numRef>
          </c:cat>
          <c:val>
            <c:numRef>
              <c:f>'Has001'!$H$2:$AQ$2</c:f>
              <c:numCache>
                <c:formatCode>General</c:formatCode>
                <c:ptCount val="36"/>
                <c:pt idx="0">
                  <c:v>66.666666666666657</c:v>
                </c:pt>
                <c:pt idx="1">
                  <c:v>81.818181818181827</c:v>
                </c:pt>
                <c:pt idx="2">
                  <c:v>57.142857142857139</c:v>
                </c:pt>
                <c:pt idx="3">
                  <c:v>81.25</c:v>
                </c:pt>
                <c:pt idx="4">
                  <c:v>58.82352941176471</c:v>
                </c:pt>
                <c:pt idx="5">
                  <c:v>56.25</c:v>
                </c:pt>
                <c:pt idx="6">
                  <c:v>67.441860465116278</c:v>
                </c:pt>
                <c:pt idx="7">
                  <c:v>66.780821917808225</c:v>
                </c:pt>
                <c:pt idx="8">
                  <c:v>67.688022284122567</c:v>
                </c:pt>
                <c:pt idx="9">
                  <c:v>64.691358024691354</c:v>
                </c:pt>
                <c:pt idx="10">
                  <c:v>62.546125461254611</c:v>
                </c:pt>
                <c:pt idx="11">
                  <c:v>67.280163599182004</c:v>
                </c:pt>
                <c:pt idx="12">
                  <c:v>69.179734620024121</c:v>
                </c:pt>
                <c:pt idx="13">
                  <c:v>71.149674620390456</c:v>
                </c:pt>
                <c:pt idx="14">
                  <c:v>71.724540414356568</c:v>
                </c:pt>
                <c:pt idx="15">
                  <c:v>70.857988165680467</c:v>
                </c:pt>
                <c:pt idx="16">
                  <c:v>71.779393606804774</c:v>
                </c:pt>
                <c:pt idx="17">
                  <c:v>72.139810865937321</c:v>
                </c:pt>
                <c:pt idx="18">
                  <c:v>72.799903159423792</c:v>
                </c:pt>
                <c:pt idx="19">
                  <c:v>72.794723825226711</c:v>
                </c:pt>
                <c:pt idx="20">
                  <c:v>71.917213286608558</c:v>
                </c:pt>
                <c:pt idx="21">
                  <c:v>71.289070738600415</c:v>
                </c:pt>
                <c:pt idx="22">
                  <c:v>70.671346559980961</c:v>
                </c:pt>
                <c:pt idx="23">
                  <c:v>70.40622221221706</c:v>
                </c:pt>
                <c:pt idx="24">
                  <c:v>69.760852636813127</c:v>
                </c:pt>
                <c:pt idx="25">
                  <c:v>69.900745826536493</c:v>
                </c:pt>
                <c:pt idx="26">
                  <c:v>69.68451519536903</c:v>
                </c:pt>
                <c:pt idx="27">
                  <c:v>69.072040468746039</c:v>
                </c:pt>
                <c:pt idx="28">
                  <c:v>68.990280079451821</c:v>
                </c:pt>
                <c:pt idx="29">
                  <c:v>68.496167472144251</c:v>
                </c:pt>
                <c:pt idx="30">
                  <c:v>68.86772128523944</c:v>
                </c:pt>
                <c:pt idx="31">
                  <c:v>69.907119267912819</c:v>
                </c:pt>
                <c:pt idx="32">
                  <c:v>69.670492178875676</c:v>
                </c:pt>
                <c:pt idx="33">
                  <c:v>69.966310093238931</c:v>
                </c:pt>
                <c:pt idx="34">
                  <c:v>69.98612671696209</c:v>
                </c:pt>
                <c:pt idx="35">
                  <c:v>71.682418308827465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71-460F-B285-6E86B6854A0E}"/>
            </c:ext>
          </c:extLst>
        </c:ser>
        <c:ser>
          <c:idx val="1"/>
          <c:order val="1"/>
          <c:tx>
            <c:strRef>
              <c:f>'Has001'!$G$3</c:f>
              <c:strCache>
                <c:ptCount val="1"/>
                <c:pt idx="0">
                  <c:v>PMC Abstracts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'Has001'!$H$1:$AQ$1</c:f>
              <c:numCache>
                <c:formatCode>General</c:formatCode>
                <c:ptCount val="36"/>
                <c:pt idx="0">
                  <c:v>1990</c:v>
                </c:pt>
                <c:pt idx="5">
                  <c:v>1995</c:v>
                </c:pt>
                <c:pt idx="10">
                  <c:v>2000</c:v>
                </c:pt>
                <c:pt idx="15">
                  <c:v>2005</c:v>
                </c:pt>
                <c:pt idx="20">
                  <c:v>2010</c:v>
                </c:pt>
                <c:pt idx="25">
                  <c:v>2015</c:v>
                </c:pt>
                <c:pt idx="30">
                  <c:v>2020</c:v>
                </c:pt>
                <c:pt idx="35">
                  <c:v>2025</c:v>
                </c:pt>
              </c:numCache>
            </c:numRef>
          </c:cat>
          <c:val>
            <c:numRef>
              <c:f>'Has001'!$H$3:$AQ$3</c:f>
              <c:numCache>
                <c:formatCode>General</c:formatCode>
                <c:ptCount val="36"/>
                <c:pt idx="0">
                  <c:v>73.333333333333329</c:v>
                </c:pt>
                <c:pt idx="1">
                  <c:v>74.82014388489209</c:v>
                </c:pt>
                <c:pt idx="2">
                  <c:v>72.027972027972027</c:v>
                </c:pt>
                <c:pt idx="3">
                  <c:v>68.686868686868678</c:v>
                </c:pt>
                <c:pt idx="4">
                  <c:v>68.695652173913047</c:v>
                </c:pt>
                <c:pt idx="5">
                  <c:v>69.196428571428569</c:v>
                </c:pt>
                <c:pt idx="6">
                  <c:v>69.003690036900366</c:v>
                </c:pt>
                <c:pt idx="7">
                  <c:v>67.123287671232873</c:v>
                </c:pt>
                <c:pt idx="8">
                  <c:v>70.731707317073173</c:v>
                </c:pt>
                <c:pt idx="9">
                  <c:v>74.72527472527473</c:v>
                </c:pt>
                <c:pt idx="10">
                  <c:v>65.819209039548028</c:v>
                </c:pt>
                <c:pt idx="11">
                  <c:v>69.933184855233861</c:v>
                </c:pt>
                <c:pt idx="12">
                  <c:v>69.330855018587357</c:v>
                </c:pt>
                <c:pt idx="13">
                  <c:v>68.325791855203619</c:v>
                </c:pt>
                <c:pt idx="14">
                  <c:v>69.230769230769226</c:v>
                </c:pt>
                <c:pt idx="15">
                  <c:v>68.850072780203789</c:v>
                </c:pt>
                <c:pt idx="16">
                  <c:v>68.604651162790702</c:v>
                </c:pt>
                <c:pt idx="17">
                  <c:v>66.629381058911264</c:v>
                </c:pt>
                <c:pt idx="18">
                  <c:v>67.891491985203459</c:v>
                </c:pt>
                <c:pt idx="19">
                  <c:v>67.862241256245539</c:v>
                </c:pt>
                <c:pt idx="20">
                  <c:v>67.249120252396551</c:v>
                </c:pt>
                <c:pt idx="21">
                  <c:v>67.347800388415095</c:v>
                </c:pt>
                <c:pt idx="22">
                  <c:v>65.91494476561158</c:v>
                </c:pt>
                <c:pt idx="23">
                  <c:v>66.504361080531794</c:v>
                </c:pt>
                <c:pt idx="24">
                  <c:v>65.847790729194898</c:v>
                </c:pt>
                <c:pt idx="25">
                  <c:v>66.227929373996787</c:v>
                </c:pt>
                <c:pt idx="26">
                  <c:v>66.957945101989424</c:v>
                </c:pt>
                <c:pt idx="27">
                  <c:v>67.248040622585265</c:v>
                </c:pt>
                <c:pt idx="28">
                  <c:v>66.648253003728769</c:v>
                </c:pt>
                <c:pt idx="29">
                  <c:v>67.080869160741571</c:v>
                </c:pt>
                <c:pt idx="30">
                  <c:v>67.674977055281062</c:v>
                </c:pt>
                <c:pt idx="31">
                  <c:v>68.070978712085946</c:v>
                </c:pt>
                <c:pt idx="32">
                  <c:v>66.99753682527772</c:v>
                </c:pt>
                <c:pt idx="33">
                  <c:v>67.457423142846721</c:v>
                </c:pt>
                <c:pt idx="34">
                  <c:v>67.312531454453946</c:v>
                </c:pt>
                <c:pt idx="35">
                  <c:v>68.415310391768259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71-460F-B285-6E86B6854A0E}"/>
            </c:ext>
          </c:extLst>
        </c:ser>
        <c:ser>
          <c:idx val="2"/>
          <c:order val="2"/>
          <c:tx>
            <c:strRef>
              <c:f>'Has001'!$G$4</c:f>
              <c:strCache>
                <c:ptCount val="1"/>
                <c:pt idx="0">
                  <c:v>PubMed Abstracts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'Has001'!$H$1:$AQ$1</c:f>
              <c:numCache>
                <c:formatCode>General</c:formatCode>
                <c:ptCount val="36"/>
                <c:pt idx="0">
                  <c:v>1990</c:v>
                </c:pt>
                <c:pt idx="5">
                  <c:v>1995</c:v>
                </c:pt>
                <c:pt idx="10">
                  <c:v>2000</c:v>
                </c:pt>
                <c:pt idx="15">
                  <c:v>2005</c:v>
                </c:pt>
                <c:pt idx="20">
                  <c:v>2010</c:v>
                </c:pt>
                <c:pt idx="25">
                  <c:v>2015</c:v>
                </c:pt>
                <c:pt idx="30">
                  <c:v>2020</c:v>
                </c:pt>
                <c:pt idx="35">
                  <c:v>2025</c:v>
                </c:pt>
              </c:numCache>
            </c:numRef>
          </c:cat>
          <c:val>
            <c:numRef>
              <c:f>'Has001'!$H$4:$AQ$4</c:f>
              <c:numCache>
                <c:formatCode>General</c:formatCode>
                <c:ptCount val="36"/>
                <c:pt idx="0">
                  <c:v>70.927114261086103</c:v>
                </c:pt>
                <c:pt idx="1">
                  <c:v>70.731385899406988</c:v>
                </c:pt>
                <c:pt idx="2">
                  <c:v>70.946403666068932</c:v>
                </c:pt>
                <c:pt idx="3">
                  <c:v>69.699306090979178</c:v>
                </c:pt>
                <c:pt idx="4">
                  <c:v>69.763039583544611</c:v>
                </c:pt>
                <c:pt idx="5">
                  <c:v>69.28656287125618</c:v>
                </c:pt>
                <c:pt idx="6">
                  <c:v>69.462872439478588</c:v>
                </c:pt>
                <c:pt idx="7">
                  <c:v>68.867769949205311</c:v>
                </c:pt>
                <c:pt idx="8">
                  <c:v>68.628264647145784</c:v>
                </c:pt>
                <c:pt idx="9">
                  <c:v>68.742830644570816</c:v>
                </c:pt>
                <c:pt idx="10">
                  <c:v>68.458310869412344</c:v>
                </c:pt>
                <c:pt idx="11">
                  <c:v>68.726347383531248</c:v>
                </c:pt>
                <c:pt idx="12">
                  <c:v>68.468085106382986</c:v>
                </c:pt>
                <c:pt idx="13">
                  <c:v>68.055782238906119</c:v>
                </c:pt>
                <c:pt idx="14">
                  <c:v>67.854391687017525</c:v>
                </c:pt>
                <c:pt idx="15">
                  <c:v>67.800905492753202</c:v>
                </c:pt>
                <c:pt idx="16">
                  <c:v>67.829594880487775</c:v>
                </c:pt>
                <c:pt idx="17">
                  <c:v>67.995878166263267</c:v>
                </c:pt>
                <c:pt idx="18">
                  <c:v>67.948534036613211</c:v>
                </c:pt>
                <c:pt idx="19">
                  <c:v>67.566340638025665</c:v>
                </c:pt>
                <c:pt idx="20">
                  <c:v>67.401233695908076</c:v>
                </c:pt>
                <c:pt idx="21">
                  <c:v>67.708130363693357</c:v>
                </c:pt>
                <c:pt idx="22">
                  <c:v>67.721853892364678</c:v>
                </c:pt>
                <c:pt idx="23">
                  <c:v>67.999510618851247</c:v>
                </c:pt>
                <c:pt idx="24">
                  <c:v>68.335164722663961</c:v>
                </c:pt>
                <c:pt idx="25">
                  <c:v>68.235063790909393</c:v>
                </c:pt>
                <c:pt idx="26">
                  <c:v>68.640739761537816</c:v>
                </c:pt>
                <c:pt idx="27">
                  <c:v>68.296461862792412</c:v>
                </c:pt>
                <c:pt idx="28">
                  <c:v>68.283554526875633</c:v>
                </c:pt>
                <c:pt idx="29">
                  <c:v>68.3100084817642</c:v>
                </c:pt>
                <c:pt idx="30">
                  <c:v>68.515151673013506</c:v>
                </c:pt>
                <c:pt idx="31">
                  <c:v>68.901191595807603</c:v>
                </c:pt>
                <c:pt idx="32">
                  <c:v>68.360128291009488</c:v>
                </c:pt>
                <c:pt idx="33">
                  <c:v>68.596824542820485</c:v>
                </c:pt>
                <c:pt idx="34">
                  <c:v>68.198674130339171</c:v>
                </c:pt>
                <c:pt idx="35">
                  <c:v>68.651867039943212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71-460F-B285-6E86B6854A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4068016"/>
        <c:axId val="1304074736"/>
      </c:lineChart>
      <c:catAx>
        <c:axId val="1304068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Year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04074736"/>
        <c:crosses val="autoZero"/>
        <c:auto val="1"/>
        <c:lblAlgn val="ctr"/>
        <c:lblOffset val="100"/>
        <c:tickMarkSkip val="1"/>
        <c:noMultiLvlLbl val="0"/>
      </c:catAx>
      <c:valAx>
        <c:axId val="1304074736"/>
        <c:scaling>
          <c:orientation val="minMax"/>
          <c:max val="8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Proportion of Items With </a:t>
                </a:r>
                <a:r>
                  <a:rPr lang="ko-KR" altLang="ko-K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≥</a:t>
                </a:r>
                <a:r>
                  <a:rPr lang="en-US" altLang="ko-K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1 P Value </a:t>
                </a:r>
                <a:r>
                  <a:rPr lang="ko-KR" altLang="ko-K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≤</a:t>
                </a:r>
                <a:r>
                  <a:rPr lang="en-US" altLang="ko-K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.01,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040680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4965675209126392"/>
          <c:y val="0.50404786151394543"/>
          <c:w val="0.21289312020538523"/>
          <c:h val="0.24346963842781288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284144539906727E-2"/>
          <c:y val="8.8420194615472569E-2"/>
          <c:w val="0.90256724678456202"/>
          <c:h val="0.69182723732949591"/>
        </c:manualLayout>
      </c:layout>
      <c:lineChart>
        <c:grouping val="standard"/>
        <c:varyColors val="0"/>
        <c:ser>
          <c:idx val="0"/>
          <c:order val="0"/>
          <c:tx>
            <c:strRef>
              <c:f>'Has0005'!$G$2</c:f>
              <c:strCache>
                <c:ptCount val="1"/>
                <c:pt idx="0">
                  <c:v>PMC Full-texts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'Has0005'!$H$1:$AQ$1</c:f>
              <c:numCache>
                <c:formatCode>General</c:formatCode>
                <c:ptCount val="36"/>
                <c:pt idx="0">
                  <c:v>1990</c:v>
                </c:pt>
                <c:pt idx="5">
                  <c:v>1995</c:v>
                </c:pt>
                <c:pt idx="10">
                  <c:v>2000</c:v>
                </c:pt>
                <c:pt idx="15">
                  <c:v>2005</c:v>
                </c:pt>
                <c:pt idx="20">
                  <c:v>2010</c:v>
                </c:pt>
                <c:pt idx="25">
                  <c:v>2015</c:v>
                </c:pt>
                <c:pt idx="30">
                  <c:v>2020</c:v>
                </c:pt>
                <c:pt idx="35">
                  <c:v>2025</c:v>
                </c:pt>
              </c:numCache>
            </c:numRef>
          </c:cat>
          <c:val>
            <c:numRef>
              <c:f>'Has0005'!$H$2:$AQ$2</c:f>
              <c:numCache>
                <c:formatCode>General</c:formatCode>
                <c:ptCount val="36"/>
                <c:pt idx="0">
                  <c:v>33.333333333333329</c:v>
                </c:pt>
                <c:pt idx="1">
                  <c:v>72.727272727272734</c:v>
                </c:pt>
                <c:pt idx="2">
                  <c:v>42.857142857142854</c:v>
                </c:pt>
                <c:pt idx="3">
                  <c:v>56.25</c:v>
                </c:pt>
                <c:pt idx="4">
                  <c:v>44.117647058823529</c:v>
                </c:pt>
                <c:pt idx="5">
                  <c:v>37.5</c:v>
                </c:pt>
                <c:pt idx="6">
                  <c:v>41.860465116279073</c:v>
                </c:pt>
                <c:pt idx="7">
                  <c:v>45.547945205479451</c:v>
                </c:pt>
                <c:pt idx="8">
                  <c:v>47.632311977715879</c:v>
                </c:pt>
                <c:pt idx="9">
                  <c:v>48.395061728395063</c:v>
                </c:pt>
                <c:pt idx="10">
                  <c:v>45.20295202952029</c:v>
                </c:pt>
                <c:pt idx="11">
                  <c:v>52.556237218813905</c:v>
                </c:pt>
                <c:pt idx="12">
                  <c:v>53.799758745476481</c:v>
                </c:pt>
                <c:pt idx="13">
                  <c:v>57.613882863340557</c:v>
                </c:pt>
                <c:pt idx="14">
                  <c:v>59.206302888824048</c:v>
                </c:pt>
                <c:pt idx="15">
                  <c:v>57.100591715976336</c:v>
                </c:pt>
                <c:pt idx="16">
                  <c:v>58.471669639182331</c:v>
                </c:pt>
                <c:pt idx="17">
                  <c:v>59.299091414796955</c:v>
                </c:pt>
                <c:pt idx="18">
                  <c:v>59.532744219828103</c:v>
                </c:pt>
                <c:pt idx="19">
                  <c:v>59.760489434633577</c:v>
                </c:pt>
                <c:pt idx="20">
                  <c:v>59.06790067990535</c:v>
                </c:pt>
                <c:pt idx="21">
                  <c:v>58.402581516007935</c:v>
                </c:pt>
                <c:pt idx="22">
                  <c:v>57.37678098694191</c:v>
                </c:pt>
                <c:pt idx="23">
                  <c:v>57.423770021273477</c:v>
                </c:pt>
                <c:pt idx="24">
                  <c:v>56.965671235704164</c:v>
                </c:pt>
                <c:pt idx="25">
                  <c:v>57.369399199798735</c:v>
                </c:pt>
                <c:pt idx="26">
                  <c:v>57.636758321273518</c:v>
                </c:pt>
                <c:pt idx="27">
                  <c:v>57.103002109865528</c:v>
                </c:pt>
                <c:pt idx="28">
                  <c:v>57.36692406238614</c:v>
                </c:pt>
                <c:pt idx="29">
                  <c:v>57.269204215024715</c:v>
                </c:pt>
                <c:pt idx="30">
                  <c:v>58.13469469407854</c:v>
                </c:pt>
                <c:pt idx="31">
                  <c:v>59.535387886494327</c:v>
                </c:pt>
                <c:pt idx="32">
                  <c:v>59.376497052758751</c:v>
                </c:pt>
                <c:pt idx="33">
                  <c:v>60.165264625013513</c:v>
                </c:pt>
                <c:pt idx="34">
                  <c:v>60.40668210690454</c:v>
                </c:pt>
                <c:pt idx="35">
                  <c:v>62.48083897593483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C5-4FE9-8638-30DD88BEDD8D}"/>
            </c:ext>
          </c:extLst>
        </c:ser>
        <c:ser>
          <c:idx val="1"/>
          <c:order val="1"/>
          <c:tx>
            <c:strRef>
              <c:f>'Has0005'!$G$3</c:f>
              <c:strCache>
                <c:ptCount val="1"/>
                <c:pt idx="0">
                  <c:v>PMC Abstracts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'Has0005'!$H$1:$AQ$1</c:f>
              <c:numCache>
                <c:formatCode>General</c:formatCode>
                <c:ptCount val="36"/>
                <c:pt idx="0">
                  <c:v>1990</c:v>
                </c:pt>
                <c:pt idx="5">
                  <c:v>1995</c:v>
                </c:pt>
                <c:pt idx="10">
                  <c:v>2000</c:v>
                </c:pt>
                <c:pt idx="15">
                  <c:v>2005</c:v>
                </c:pt>
                <c:pt idx="20">
                  <c:v>2010</c:v>
                </c:pt>
                <c:pt idx="25">
                  <c:v>2015</c:v>
                </c:pt>
                <c:pt idx="30">
                  <c:v>2020</c:v>
                </c:pt>
                <c:pt idx="35">
                  <c:v>2025</c:v>
                </c:pt>
              </c:numCache>
            </c:numRef>
          </c:cat>
          <c:val>
            <c:numRef>
              <c:f>'Has0005'!$H$3:$AQ$3</c:f>
              <c:numCache>
                <c:formatCode>General</c:formatCode>
                <c:ptCount val="36"/>
                <c:pt idx="0">
                  <c:v>60</c:v>
                </c:pt>
                <c:pt idx="1">
                  <c:v>56.115107913669057</c:v>
                </c:pt>
                <c:pt idx="2">
                  <c:v>51.748251748251747</c:v>
                </c:pt>
                <c:pt idx="3">
                  <c:v>50</c:v>
                </c:pt>
                <c:pt idx="4">
                  <c:v>51.304347826086961</c:v>
                </c:pt>
                <c:pt idx="5">
                  <c:v>47.321428571428569</c:v>
                </c:pt>
                <c:pt idx="6">
                  <c:v>49.446494464944649</c:v>
                </c:pt>
                <c:pt idx="7">
                  <c:v>49.315068493150683</c:v>
                </c:pt>
                <c:pt idx="8">
                  <c:v>56.40243902439024</c:v>
                </c:pt>
                <c:pt idx="9">
                  <c:v>56.043956043956044</c:v>
                </c:pt>
                <c:pt idx="10">
                  <c:v>49.435028248587571</c:v>
                </c:pt>
                <c:pt idx="11">
                  <c:v>48.775055679287306</c:v>
                </c:pt>
                <c:pt idx="12">
                  <c:v>53.159851301115246</c:v>
                </c:pt>
                <c:pt idx="13">
                  <c:v>52.639517345399703</c:v>
                </c:pt>
                <c:pt idx="14">
                  <c:v>54.273504273504273</c:v>
                </c:pt>
                <c:pt idx="15">
                  <c:v>53.129548762736533</c:v>
                </c:pt>
                <c:pt idx="16">
                  <c:v>55.005055611729013</c:v>
                </c:pt>
                <c:pt idx="17">
                  <c:v>52.386278896346006</c:v>
                </c:pt>
                <c:pt idx="18">
                  <c:v>52.872996300863129</c:v>
                </c:pt>
                <c:pt idx="19">
                  <c:v>53.658101356174157</c:v>
                </c:pt>
                <c:pt idx="20">
                  <c:v>53.161024147554912</c:v>
                </c:pt>
                <c:pt idx="21">
                  <c:v>53.542176813307442</c:v>
                </c:pt>
                <c:pt idx="22">
                  <c:v>51.571175090149389</c:v>
                </c:pt>
                <c:pt idx="23">
                  <c:v>52.32873232280464</c:v>
                </c:pt>
                <c:pt idx="24">
                  <c:v>52.52100840336135</c:v>
                </c:pt>
                <c:pt idx="25">
                  <c:v>52.981176127243543</c:v>
                </c:pt>
                <c:pt idx="26">
                  <c:v>54.054394359103497</c:v>
                </c:pt>
                <c:pt idx="27">
                  <c:v>54.003753173639481</c:v>
                </c:pt>
                <c:pt idx="28">
                  <c:v>53.637027245644845</c:v>
                </c:pt>
                <c:pt idx="29">
                  <c:v>54.325868828493583</c:v>
                </c:pt>
                <c:pt idx="30">
                  <c:v>55.122644237418115</c:v>
                </c:pt>
                <c:pt idx="31">
                  <c:v>56.118969136799315</c:v>
                </c:pt>
                <c:pt idx="32">
                  <c:v>55.070714320669452</c:v>
                </c:pt>
                <c:pt idx="33">
                  <c:v>55.824915210969692</c:v>
                </c:pt>
                <c:pt idx="34">
                  <c:v>55.947277996633296</c:v>
                </c:pt>
                <c:pt idx="35">
                  <c:v>57.01058995455729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C5-4FE9-8638-30DD88BEDD8D}"/>
            </c:ext>
          </c:extLst>
        </c:ser>
        <c:ser>
          <c:idx val="2"/>
          <c:order val="2"/>
          <c:tx>
            <c:strRef>
              <c:f>'Has0005'!$G$4</c:f>
              <c:strCache>
                <c:ptCount val="1"/>
                <c:pt idx="0">
                  <c:v>PubMed Abstracts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'Has0005'!$H$1:$AQ$1</c:f>
              <c:numCache>
                <c:formatCode>General</c:formatCode>
                <c:ptCount val="36"/>
                <c:pt idx="0">
                  <c:v>1990</c:v>
                </c:pt>
                <c:pt idx="5">
                  <c:v>1995</c:v>
                </c:pt>
                <c:pt idx="10">
                  <c:v>2000</c:v>
                </c:pt>
                <c:pt idx="15">
                  <c:v>2005</c:v>
                </c:pt>
                <c:pt idx="20">
                  <c:v>2010</c:v>
                </c:pt>
                <c:pt idx="25">
                  <c:v>2015</c:v>
                </c:pt>
                <c:pt idx="30">
                  <c:v>2020</c:v>
                </c:pt>
                <c:pt idx="35">
                  <c:v>2025</c:v>
                </c:pt>
              </c:numCache>
            </c:numRef>
          </c:cat>
          <c:val>
            <c:numRef>
              <c:f>'Has0005'!$H$4:$AQ$4</c:f>
              <c:numCache>
                <c:formatCode>General</c:formatCode>
                <c:ptCount val="36"/>
                <c:pt idx="0">
                  <c:v>46.394023560961593</c:v>
                </c:pt>
                <c:pt idx="1">
                  <c:v>46.167362178783222</c:v>
                </c:pt>
                <c:pt idx="2">
                  <c:v>46.933652121936639</c:v>
                </c:pt>
                <c:pt idx="3">
                  <c:v>47.512574806329624</c:v>
                </c:pt>
                <c:pt idx="4">
                  <c:v>47.922793496264745</c:v>
                </c:pt>
                <c:pt idx="5">
                  <c:v>47.93347089351591</c:v>
                </c:pt>
                <c:pt idx="6">
                  <c:v>48.670274674115454</c:v>
                </c:pt>
                <c:pt idx="7">
                  <c:v>49.371893604238352</c:v>
                </c:pt>
                <c:pt idx="8">
                  <c:v>49.173950255465932</c:v>
                </c:pt>
                <c:pt idx="9">
                  <c:v>49.842579259512362</c:v>
                </c:pt>
                <c:pt idx="10">
                  <c:v>49.973043294812591</c:v>
                </c:pt>
                <c:pt idx="11">
                  <c:v>50.065248597155168</c:v>
                </c:pt>
                <c:pt idx="12">
                  <c:v>50.004052684903741</c:v>
                </c:pt>
                <c:pt idx="13">
                  <c:v>49.823186986562213</c:v>
                </c:pt>
                <c:pt idx="14">
                  <c:v>50.084408240866694</c:v>
                </c:pt>
                <c:pt idx="15">
                  <c:v>50.220678265326455</c:v>
                </c:pt>
                <c:pt idx="16">
                  <c:v>50.426407011734412</c:v>
                </c:pt>
                <c:pt idx="17">
                  <c:v>51.107143713005343</c:v>
                </c:pt>
                <c:pt idx="18">
                  <c:v>51.117266036215966</c:v>
                </c:pt>
                <c:pt idx="19">
                  <c:v>51.164830176220541</c:v>
                </c:pt>
                <c:pt idx="20">
                  <c:v>51.484672976409094</c:v>
                </c:pt>
                <c:pt idx="21">
                  <c:v>52.171739848694074</c:v>
                </c:pt>
                <c:pt idx="22">
                  <c:v>52.376505742833132</c:v>
                </c:pt>
                <c:pt idx="23">
                  <c:v>53.055393627969572</c:v>
                </c:pt>
                <c:pt idx="24">
                  <c:v>53.631269664685121</c:v>
                </c:pt>
                <c:pt idx="25">
                  <c:v>53.941984533559562</c:v>
                </c:pt>
                <c:pt idx="26">
                  <c:v>54.46197695338445</c:v>
                </c:pt>
                <c:pt idx="27">
                  <c:v>54.463310558532932</c:v>
                </c:pt>
                <c:pt idx="28">
                  <c:v>54.504715238962895</c:v>
                </c:pt>
                <c:pt idx="29">
                  <c:v>54.887616624257852</c:v>
                </c:pt>
                <c:pt idx="30">
                  <c:v>55.410790845961898</c:v>
                </c:pt>
                <c:pt idx="31">
                  <c:v>56.179524719068439</c:v>
                </c:pt>
                <c:pt idx="32">
                  <c:v>55.893875728234178</c:v>
                </c:pt>
                <c:pt idx="33">
                  <c:v>56.476172862338949</c:v>
                </c:pt>
                <c:pt idx="34">
                  <c:v>56.338058757417976</c:v>
                </c:pt>
                <c:pt idx="35">
                  <c:v>56.975671306336508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C5-4FE9-8638-30DD88BEDD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4068016"/>
        <c:axId val="1304074736"/>
      </c:lineChart>
      <c:catAx>
        <c:axId val="1304068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Year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04074736"/>
        <c:crosses val="autoZero"/>
        <c:auto val="1"/>
        <c:lblAlgn val="ctr"/>
        <c:lblOffset val="100"/>
        <c:tickMarkSkip val="1"/>
        <c:noMultiLvlLbl val="0"/>
      </c:catAx>
      <c:valAx>
        <c:axId val="1304074736"/>
        <c:scaling>
          <c:orientation val="minMax"/>
          <c:max val="75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Proportion of Items With </a:t>
                </a:r>
                <a:r>
                  <a:rPr lang="ko-KR" altLang="ko-K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≥</a:t>
                </a:r>
                <a:r>
                  <a:rPr lang="en-US" altLang="ko-K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1 P Value </a:t>
                </a:r>
                <a:r>
                  <a:rPr lang="ko-KR" altLang="ko-K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≤</a:t>
                </a:r>
                <a:r>
                  <a:rPr lang="en-US" altLang="ko-K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.005,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040680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4965675209126392"/>
          <c:y val="0.50404786151394543"/>
          <c:w val="0.21289312020538523"/>
          <c:h val="0.24346963842781288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284144539906727E-2"/>
          <c:y val="8.8420194615472569E-2"/>
          <c:w val="0.90256724678456202"/>
          <c:h val="0.69182723732949591"/>
        </c:manualLayout>
      </c:layout>
      <c:lineChart>
        <c:grouping val="standard"/>
        <c:varyColors val="0"/>
        <c:ser>
          <c:idx val="0"/>
          <c:order val="0"/>
          <c:tx>
            <c:strRef>
              <c:f>'Has0005 (2)'!$G$2</c:f>
              <c:strCache>
                <c:ptCount val="1"/>
                <c:pt idx="0">
                  <c:v>PMC Full-texts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'Has0005 (2)'!$H$1:$AQ$1</c15:sqref>
                  </c15:fullRef>
                </c:ext>
              </c:extLst>
              <c:f>'Has0005 (2)'!$AG$1:$AQ$1</c:f>
              <c:numCache>
                <c:formatCode>General</c:formatCode>
                <c:ptCount val="11"/>
                <c:pt idx="0">
                  <c:v>2015</c:v>
                </c:pt>
                <c:pt idx="5">
                  <c:v>2020</c:v>
                </c:pt>
                <c:pt idx="10">
                  <c:v>2025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'Has0005 (2)'!$H$2:$AQ$2</c15:sqref>
                  </c15:fullRef>
                </c:ext>
              </c:extLst>
              <c:f>'Has0005 (2)'!$AG$2:$AQ$2</c:f>
              <c:numCache>
                <c:formatCode>General</c:formatCode>
                <c:ptCount val="11"/>
                <c:pt idx="0">
                  <c:v>57.369399199798735</c:v>
                </c:pt>
                <c:pt idx="1">
                  <c:v>57.636758321273518</c:v>
                </c:pt>
                <c:pt idx="2">
                  <c:v>57.103002109865528</c:v>
                </c:pt>
                <c:pt idx="3">
                  <c:v>57.36692406238614</c:v>
                </c:pt>
                <c:pt idx="4">
                  <c:v>57.269204215024715</c:v>
                </c:pt>
                <c:pt idx="5">
                  <c:v>58.13469469407854</c:v>
                </c:pt>
                <c:pt idx="6">
                  <c:v>59.535387886494327</c:v>
                </c:pt>
                <c:pt idx="7">
                  <c:v>59.376497052758751</c:v>
                </c:pt>
                <c:pt idx="8">
                  <c:v>60.165264625013513</c:v>
                </c:pt>
                <c:pt idx="9">
                  <c:v>60.40668210690454</c:v>
                </c:pt>
                <c:pt idx="10">
                  <c:v>62.48083897593483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BC-4F33-B742-E139C1A1B6A8}"/>
            </c:ext>
          </c:extLst>
        </c:ser>
        <c:ser>
          <c:idx val="1"/>
          <c:order val="1"/>
          <c:tx>
            <c:strRef>
              <c:f>'Has0005 (2)'!$G$3</c:f>
              <c:strCache>
                <c:ptCount val="1"/>
                <c:pt idx="0">
                  <c:v>PMC Abstracts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'Has0005 (2)'!$H$1:$AQ$1</c15:sqref>
                  </c15:fullRef>
                </c:ext>
              </c:extLst>
              <c:f>'Has0005 (2)'!$AG$1:$AQ$1</c:f>
              <c:numCache>
                <c:formatCode>General</c:formatCode>
                <c:ptCount val="11"/>
                <c:pt idx="0">
                  <c:v>2015</c:v>
                </c:pt>
                <c:pt idx="5">
                  <c:v>2020</c:v>
                </c:pt>
                <c:pt idx="10">
                  <c:v>2025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'Has0005 (2)'!$H$3:$AQ$3</c15:sqref>
                  </c15:fullRef>
                </c:ext>
              </c:extLst>
              <c:f>'Has0005 (2)'!$AG$3:$AQ$3</c:f>
              <c:numCache>
                <c:formatCode>General</c:formatCode>
                <c:ptCount val="11"/>
                <c:pt idx="0">
                  <c:v>52.981176127243543</c:v>
                </c:pt>
                <c:pt idx="1">
                  <c:v>54.054394359103497</c:v>
                </c:pt>
                <c:pt idx="2">
                  <c:v>54.003753173639481</c:v>
                </c:pt>
                <c:pt idx="3">
                  <c:v>53.637027245644845</c:v>
                </c:pt>
                <c:pt idx="4">
                  <c:v>54.325868828493583</c:v>
                </c:pt>
                <c:pt idx="5">
                  <c:v>55.122644237418115</c:v>
                </c:pt>
                <c:pt idx="6">
                  <c:v>56.118969136799315</c:v>
                </c:pt>
                <c:pt idx="7">
                  <c:v>55.070714320669452</c:v>
                </c:pt>
                <c:pt idx="8">
                  <c:v>55.824915210969692</c:v>
                </c:pt>
                <c:pt idx="9">
                  <c:v>55.947277996633296</c:v>
                </c:pt>
                <c:pt idx="10">
                  <c:v>57.01058995455729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BC-4F33-B742-E139C1A1B6A8}"/>
            </c:ext>
          </c:extLst>
        </c:ser>
        <c:ser>
          <c:idx val="2"/>
          <c:order val="2"/>
          <c:tx>
            <c:strRef>
              <c:f>'Has0005 (2)'!$G$4</c:f>
              <c:strCache>
                <c:ptCount val="1"/>
                <c:pt idx="0">
                  <c:v>PubMed Abstracts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'Has0005 (2)'!$H$1:$AQ$1</c15:sqref>
                  </c15:fullRef>
                </c:ext>
              </c:extLst>
              <c:f>'Has0005 (2)'!$AG$1:$AQ$1</c:f>
              <c:numCache>
                <c:formatCode>General</c:formatCode>
                <c:ptCount val="11"/>
                <c:pt idx="0">
                  <c:v>2015</c:v>
                </c:pt>
                <c:pt idx="5">
                  <c:v>2020</c:v>
                </c:pt>
                <c:pt idx="10">
                  <c:v>2025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'Has0005 (2)'!$H$4:$AQ$4</c15:sqref>
                  </c15:fullRef>
                </c:ext>
              </c:extLst>
              <c:f>'Has0005 (2)'!$AG$4:$AQ$4</c:f>
              <c:numCache>
                <c:formatCode>General</c:formatCode>
                <c:ptCount val="11"/>
                <c:pt idx="0">
                  <c:v>53.941984533559562</c:v>
                </c:pt>
                <c:pt idx="1">
                  <c:v>54.46197695338445</c:v>
                </c:pt>
                <c:pt idx="2">
                  <c:v>54.463310558532932</c:v>
                </c:pt>
                <c:pt idx="3">
                  <c:v>54.504715238962895</c:v>
                </c:pt>
                <c:pt idx="4">
                  <c:v>54.887616624257852</c:v>
                </c:pt>
                <c:pt idx="5">
                  <c:v>55.410790845961898</c:v>
                </c:pt>
                <c:pt idx="6">
                  <c:v>56.179524719068439</c:v>
                </c:pt>
                <c:pt idx="7">
                  <c:v>55.893875728234178</c:v>
                </c:pt>
                <c:pt idx="8">
                  <c:v>56.476172862338949</c:v>
                </c:pt>
                <c:pt idx="9">
                  <c:v>56.338058757417976</c:v>
                </c:pt>
                <c:pt idx="10">
                  <c:v>56.975671306336508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BC-4F33-B742-E139C1A1B6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4068016"/>
        <c:axId val="1304074736"/>
      </c:lineChart>
      <c:catAx>
        <c:axId val="1304068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Year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04074736"/>
        <c:crosses val="autoZero"/>
        <c:auto val="1"/>
        <c:lblAlgn val="ctr"/>
        <c:lblOffset val="100"/>
        <c:tickMarkSkip val="1"/>
        <c:noMultiLvlLbl val="0"/>
      </c:catAx>
      <c:valAx>
        <c:axId val="1304074736"/>
        <c:scaling>
          <c:orientation val="minMax"/>
          <c:max val="70"/>
          <c:min val="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Proportion of Items With </a:t>
                </a:r>
                <a:r>
                  <a:rPr lang="ko-KR" altLang="ko-K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≥</a:t>
                </a:r>
                <a:r>
                  <a:rPr lang="en-US" altLang="ko-K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1 P Value </a:t>
                </a:r>
                <a:r>
                  <a:rPr lang="ko-KR" altLang="ko-K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≤</a:t>
                </a:r>
                <a:r>
                  <a:rPr lang="en-US" altLang="ko-K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.005,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040680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6010659320556084"/>
          <c:y val="0.5458432291009615"/>
          <c:w val="0.17457722974505563"/>
          <c:h val="0.20167428160840734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284144539906727E-2"/>
          <c:y val="8.8420194615472569E-2"/>
          <c:w val="0.90256724678456202"/>
          <c:h val="0.69182723732949591"/>
        </c:manualLayout>
      </c:layout>
      <c:lineChart>
        <c:grouping val="standard"/>
        <c:varyColors val="0"/>
        <c:ser>
          <c:idx val="0"/>
          <c:order val="0"/>
          <c:tx>
            <c:strRef>
              <c:f>'Has0001'!$G$2</c:f>
              <c:strCache>
                <c:ptCount val="1"/>
                <c:pt idx="0">
                  <c:v>PMC Full-texts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'Has0001'!$H$1:$AQ$1</c:f>
              <c:numCache>
                <c:formatCode>General</c:formatCode>
                <c:ptCount val="36"/>
                <c:pt idx="0">
                  <c:v>1990</c:v>
                </c:pt>
                <c:pt idx="5">
                  <c:v>1995</c:v>
                </c:pt>
                <c:pt idx="10">
                  <c:v>2000</c:v>
                </c:pt>
                <c:pt idx="15">
                  <c:v>2005</c:v>
                </c:pt>
                <c:pt idx="20">
                  <c:v>2010</c:v>
                </c:pt>
                <c:pt idx="25">
                  <c:v>2015</c:v>
                </c:pt>
                <c:pt idx="30">
                  <c:v>2020</c:v>
                </c:pt>
                <c:pt idx="35">
                  <c:v>2025</c:v>
                </c:pt>
              </c:numCache>
            </c:numRef>
          </c:cat>
          <c:val>
            <c:numRef>
              <c:f>'Has0001'!$H$2:$AQ$2</c:f>
              <c:numCache>
                <c:formatCode>General</c:formatCode>
                <c:ptCount val="36"/>
                <c:pt idx="0">
                  <c:v>25</c:v>
                </c:pt>
                <c:pt idx="1">
                  <c:v>63.636363636363633</c:v>
                </c:pt>
                <c:pt idx="2">
                  <c:v>28.571428571428569</c:v>
                </c:pt>
                <c:pt idx="3">
                  <c:v>50</c:v>
                </c:pt>
                <c:pt idx="4">
                  <c:v>38.235294117647058</c:v>
                </c:pt>
                <c:pt idx="5">
                  <c:v>34.375</c:v>
                </c:pt>
                <c:pt idx="6">
                  <c:v>37.209302325581397</c:v>
                </c:pt>
                <c:pt idx="7">
                  <c:v>35.61643835616438</c:v>
                </c:pt>
                <c:pt idx="8">
                  <c:v>38.718662952646241</c:v>
                </c:pt>
                <c:pt idx="9">
                  <c:v>39.753086419753089</c:v>
                </c:pt>
                <c:pt idx="10">
                  <c:v>37.453874538745389</c:v>
                </c:pt>
                <c:pt idx="11">
                  <c:v>44.989775051124745</c:v>
                </c:pt>
                <c:pt idx="12">
                  <c:v>47.587454764776837</c:v>
                </c:pt>
                <c:pt idx="13">
                  <c:v>50.195227765726678</c:v>
                </c:pt>
                <c:pt idx="14">
                  <c:v>51.940472716661802</c:v>
                </c:pt>
                <c:pt idx="15">
                  <c:v>50.295857988165679</c:v>
                </c:pt>
                <c:pt idx="16">
                  <c:v>52.311702565509677</c:v>
                </c:pt>
                <c:pt idx="17">
                  <c:v>52.735026886704986</c:v>
                </c:pt>
                <c:pt idx="18">
                  <c:v>53.159423798571602</c:v>
                </c:pt>
                <c:pt idx="19">
                  <c:v>53.239033279819502</c:v>
                </c:pt>
                <c:pt idx="20">
                  <c:v>52.921795908587178</c:v>
                </c:pt>
                <c:pt idx="21">
                  <c:v>52.128063441177709</c:v>
                </c:pt>
                <c:pt idx="22">
                  <c:v>51.417353282370094</c:v>
                </c:pt>
                <c:pt idx="23">
                  <c:v>51.686683250227929</c:v>
                </c:pt>
                <c:pt idx="24">
                  <c:v>51.345848930920276</c:v>
                </c:pt>
                <c:pt idx="25">
                  <c:v>51.655183048068885</c:v>
                </c:pt>
                <c:pt idx="26">
                  <c:v>52.011577424023159</c:v>
                </c:pt>
                <c:pt idx="27">
                  <c:v>51.732377538829155</c:v>
                </c:pt>
                <c:pt idx="28">
                  <c:v>52.120282547629962</c:v>
                </c:pt>
                <c:pt idx="29">
                  <c:v>52.13396965222519</c:v>
                </c:pt>
                <c:pt idx="30">
                  <c:v>53.001508063523332</c:v>
                </c:pt>
                <c:pt idx="31">
                  <c:v>54.465511439606686</c:v>
                </c:pt>
                <c:pt idx="32">
                  <c:v>54.516412905375859</c:v>
                </c:pt>
                <c:pt idx="33">
                  <c:v>55.312807716245082</c:v>
                </c:pt>
                <c:pt idx="34">
                  <c:v>55.590589098580566</c:v>
                </c:pt>
                <c:pt idx="35">
                  <c:v>57.868972540331939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4B-4090-8FC3-5AE53A869166}"/>
            </c:ext>
          </c:extLst>
        </c:ser>
        <c:ser>
          <c:idx val="1"/>
          <c:order val="1"/>
          <c:tx>
            <c:strRef>
              <c:f>'Has0001'!$G$3</c:f>
              <c:strCache>
                <c:ptCount val="1"/>
                <c:pt idx="0">
                  <c:v>PMC Abstracts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'Has0001'!$H$1:$AQ$1</c:f>
              <c:numCache>
                <c:formatCode>General</c:formatCode>
                <c:ptCount val="36"/>
                <c:pt idx="0">
                  <c:v>1990</c:v>
                </c:pt>
                <c:pt idx="5">
                  <c:v>1995</c:v>
                </c:pt>
                <c:pt idx="10">
                  <c:v>2000</c:v>
                </c:pt>
                <c:pt idx="15">
                  <c:v>2005</c:v>
                </c:pt>
                <c:pt idx="20">
                  <c:v>2010</c:v>
                </c:pt>
                <c:pt idx="25">
                  <c:v>2015</c:v>
                </c:pt>
                <c:pt idx="30">
                  <c:v>2020</c:v>
                </c:pt>
                <c:pt idx="35">
                  <c:v>2025</c:v>
                </c:pt>
              </c:numCache>
            </c:numRef>
          </c:cat>
          <c:val>
            <c:numRef>
              <c:f>'Has0001'!$H$3:$AQ$3</c:f>
              <c:numCache>
                <c:formatCode>General</c:formatCode>
                <c:ptCount val="36"/>
                <c:pt idx="0">
                  <c:v>52.222222222222229</c:v>
                </c:pt>
                <c:pt idx="1">
                  <c:v>47.482014388489205</c:v>
                </c:pt>
                <c:pt idx="2">
                  <c:v>35.664335664335667</c:v>
                </c:pt>
                <c:pt idx="3">
                  <c:v>35.858585858585855</c:v>
                </c:pt>
                <c:pt idx="4">
                  <c:v>39.565217391304344</c:v>
                </c:pt>
                <c:pt idx="5">
                  <c:v>35.267857142857146</c:v>
                </c:pt>
                <c:pt idx="6">
                  <c:v>39.852398523985237</c:v>
                </c:pt>
                <c:pt idx="7">
                  <c:v>39.38356164383562</c:v>
                </c:pt>
                <c:pt idx="8">
                  <c:v>45.121951219512198</c:v>
                </c:pt>
                <c:pt idx="9">
                  <c:v>44.780219780219781</c:v>
                </c:pt>
                <c:pt idx="10">
                  <c:v>41.525423728813557</c:v>
                </c:pt>
                <c:pt idx="11">
                  <c:v>40.089086859688194</c:v>
                </c:pt>
                <c:pt idx="12">
                  <c:v>43.680297397769522</c:v>
                </c:pt>
                <c:pt idx="13">
                  <c:v>43.288084464555055</c:v>
                </c:pt>
                <c:pt idx="14">
                  <c:v>47.32905982905983</c:v>
                </c:pt>
                <c:pt idx="15">
                  <c:v>44.177583697234354</c:v>
                </c:pt>
                <c:pt idx="16">
                  <c:v>47.067745197168861</c:v>
                </c:pt>
                <c:pt idx="17">
                  <c:v>44.29530201342282</c:v>
                </c:pt>
                <c:pt idx="18">
                  <c:v>44.488286066584465</c:v>
                </c:pt>
                <c:pt idx="19">
                  <c:v>44.914346895074949</c:v>
                </c:pt>
                <c:pt idx="20">
                  <c:v>44.351413663390368</c:v>
                </c:pt>
                <c:pt idx="21">
                  <c:v>44.549522924934557</c:v>
                </c:pt>
                <c:pt idx="22">
                  <c:v>42.956900005723767</c:v>
                </c:pt>
                <c:pt idx="23">
                  <c:v>44.118892370226099</c:v>
                </c:pt>
                <c:pt idx="24">
                  <c:v>44.578476551911088</c:v>
                </c:pt>
                <c:pt idx="25">
                  <c:v>44.882533197139942</c:v>
                </c:pt>
                <c:pt idx="26">
                  <c:v>45.832284059430876</c:v>
                </c:pt>
                <c:pt idx="27">
                  <c:v>45.667292195606578</c:v>
                </c:pt>
                <c:pt idx="28">
                  <c:v>45.49095428808176</c:v>
                </c:pt>
                <c:pt idx="29">
                  <c:v>46.476510067114098</c:v>
                </c:pt>
                <c:pt idx="30">
                  <c:v>47.161769697884061</c:v>
                </c:pt>
                <c:pt idx="31">
                  <c:v>48.179460630183051</c:v>
                </c:pt>
                <c:pt idx="32">
                  <c:v>47.411219679297915</c:v>
                </c:pt>
                <c:pt idx="33">
                  <c:v>48.188432223478358</c:v>
                </c:pt>
                <c:pt idx="34">
                  <c:v>48.306231886573073</c:v>
                </c:pt>
                <c:pt idx="35">
                  <c:v>49.524553079895099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4B-4090-8FC3-5AE53A869166}"/>
            </c:ext>
          </c:extLst>
        </c:ser>
        <c:ser>
          <c:idx val="2"/>
          <c:order val="2"/>
          <c:tx>
            <c:strRef>
              <c:f>'Has0001'!$G$4</c:f>
              <c:strCache>
                <c:ptCount val="1"/>
                <c:pt idx="0">
                  <c:v>PubMed Abstracts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'Has0001'!$H$1:$AQ$1</c:f>
              <c:numCache>
                <c:formatCode>General</c:formatCode>
                <c:ptCount val="36"/>
                <c:pt idx="0">
                  <c:v>1990</c:v>
                </c:pt>
                <c:pt idx="5">
                  <c:v>1995</c:v>
                </c:pt>
                <c:pt idx="10">
                  <c:v>2000</c:v>
                </c:pt>
                <c:pt idx="15">
                  <c:v>2005</c:v>
                </c:pt>
                <c:pt idx="20">
                  <c:v>2010</c:v>
                </c:pt>
                <c:pt idx="25">
                  <c:v>2015</c:v>
                </c:pt>
                <c:pt idx="30">
                  <c:v>2020</c:v>
                </c:pt>
                <c:pt idx="35">
                  <c:v>2025</c:v>
                </c:pt>
              </c:numCache>
            </c:numRef>
          </c:cat>
          <c:val>
            <c:numRef>
              <c:f>'Has0001'!$H$4:$AQ$4</c:f>
              <c:numCache>
                <c:formatCode>General</c:formatCode>
                <c:ptCount val="36"/>
                <c:pt idx="0">
                  <c:v>39.091083229575716</c:v>
                </c:pt>
                <c:pt idx="1">
                  <c:v>38.901822973863389</c:v>
                </c:pt>
                <c:pt idx="2">
                  <c:v>38.892209603506672</c:v>
                </c:pt>
                <c:pt idx="3">
                  <c:v>39.82450343283034</c:v>
                </c:pt>
                <c:pt idx="4">
                  <c:v>40.050028732718111</c:v>
                </c:pt>
                <c:pt idx="5">
                  <c:v>40.064403176389668</c:v>
                </c:pt>
                <c:pt idx="6">
                  <c:v>40.499883612662941</c:v>
                </c:pt>
                <c:pt idx="7">
                  <c:v>41.261128406794469</c:v>
                </c:pt>
                <c:pt idx="8">
                  <c:v>41.149467022849286</c:v>
                </c:pt>
                <c:pt idx="9">
                  <c:v>41.700632123593586</c:v>
                </c:pt>
                <c:pt idx="10">
                  <c:v>41.625840931998781</c:v>
                </c:pt>
                <c:pt idx="11">
                  <c:v>41.763452085780159</c:v>
                </c:pt>
                <c:pt idx="12">
                  <c:v>41.839918946301921</c:v>
                </c:pt>
                <c:pt idx="13">
                  <c:v>41.686161434814935</c:v>
                </c:pt>
                <c:pt idx="14">
                  <c:v>41.954993198170882</c:v>
                </c:pt>
                <c:pt idx="15">
                  <c:v>42.079785870896096</c:v>
                </c:pt>
                <c:pt idx="16">
                  <c:v>42.159761369758606</c:v>
                </c:pt>
                <c:pt idx="17">
                  <c:v>42.950945385702987</c:v>
                </c:pt>
                <c:pt idx="18">
                  <c:v>42.877635920240998</c:v>
                </c:pt>
                <c:pt idx="19">
                  <c:v>42.851099830795263</c:v>
                </c:pt>
                <c:pt idx="20">
                  <c:v>43.274473795733861</c:v>
                </c:pt>
                <c:pt idx="21">
                  <c:v>43.974449122747565</c:v>
                </c:pt>
                <c:pt idx="22">
                  <c:v>44.271173779064341</c:v>
                </c:pt>
                <c:pt idx="23">
                  <c:v>44.776216076170741</c:v>
                </c:pt>
                <c:pt idx="24">
                  <c:v>45.410492837106453</c:v>
                </c:pt>
                <c:pt idx="25">
                  <c:v>45.850491075798608</c:v>
                </c:pt>
                <c:pt idx="26">
                  <c:v>46.257020705842905</c:v>
                </c:pt>
                <c:pt idx="27">
                  <c:v>46.178659419369588</c:v>
                </c:pt>
                <c:pt idx="28">
                  <c:v>46.379853741412845</c:v>
                </c:pt>
                <c:pt idx="29">
                  <c:v>46.941852794270098</c:v>
                </c:pt>
                <c:pt idx="30">
                  <c:v>47.367406581613778</c:v>
                </c:pt>
                <c:pt idx="31">
                  <c:v>48.171884544158857</c:v>
                </c:pt>
                <c:pt idx="32">
                  <c:v>48.206564764630656</c:v>
                </c:pt>
                <c:pt idx="33">
                  <c:v>48.615991615806671</c:v>
                </c:pt>
                <c:pt idx="34">
                  <c:v>48.662999983711671</c:v>
                </c:pt>
                <c:pt idx="35">
                  <c:v>49.562714404006151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4B-4090-8FC3-5AE53A8691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4068016"/>
        <c:axId val="1304074736"/>
      </c:lineChart>
      <c:catAx>
        <c:axId val="1304068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Year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04074736"/>
        <c:crosses val="autoZero"/>
        <c:auto val="1"/>
        <c:lblAlgn val="ctr"/>
        <c:lblOffset val="100"/>
        <c:tickMarkSkip val="1"/>
        <c:noMultiLvlLbl val="0"/>
      </c:catAx>
      <c:valAx>
        <c:axId val="1304074736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Proportion of Items With </a:t>
                </a:r>
                <a:r>
                  <a:rPr lang="ko-KR" altLang="ko-K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≥</a:t>
                </a:r>
                <a:r>
                  <a:rPr lang="en-US" altLang="ko-K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1 P Value </a:t>
                </a:r>
                <a:r>
                  <a:rPr lang="ko-KR" altLang="ko-K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≤</a:t>
                </a:r>
                <a:r>
                  <a:rPr lang="en-US" altLang="ko-K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.001,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040680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4965675209126392"/>
          <c:y val="0.50404786151394543"/>
          <c:w val="0.21289312020538523"/>
          <c:h val="0.24346963842781288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163285</xdr:colOff>
      <xdr:row>9</xdr:row>
      <xdr:rowOff>138793</xdr:rowOff>
    </xdr:from>
    <xdr:to>
      <xdr:col>19</xdr:col>
      <xdr:colOff>557893</xdr:colOff>
      <xdr:row>27</xdr:row>
      <xdr:rowOff>40822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C077BDF8-6B13-9C0D-E1C4-3AA4BF75FB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163285</xdr:colOff>
      <xdr:row>9</xdr:row>
      <xdr:rowOff>138793</xdr:rowOff>
    </xdr:from>
    <xdr:to>
      <xdr:col>19</xdr:col>
      <xdr:colOff>557893</xdr:colOff>
      <xdr:row>27</xdr:row>
      <xdr:rowOff>40822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FD436716-43E0-4FF7-AD74-E408C70C56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163285</xdr:colOff>
      <xdr:row>9</xdr:row>
      <xdr:rowOff>138793</xdr:rowOff>
    </xdr:from>
    <xdr:to>
      <xdr:col>19</xdr:col>
      <xdr:colOff>557893</xdr:colOff>
      <xdr:row>27</xdr:row>
      <xdr:rowOff>40822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C782C1E5-57F7-4E59-AD42-7CE7EA2BB0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163285</xdr:colOff>
      <xdr:row>9</xdr:row>
      <xdr:rowOff>138793</xdr:rowOff>
    </xdr:from>
    <xdr:to>
      <xdr:col>19</xdr:col>
      <xdr:colOff>557893</xdr:colOff>
      <xdr:row>27</xdr:row>
      <xdr:rowOff>40822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81E2D160-2A5B-4622-89FE-FCCC68C4BC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163285</xdr:colOff>
      <xdr:row>9</xdr:row>
      <xdr:rowOff>138793</xdr:rowOff>
    </xdr:from>
    <xdr:to>
      <xdr:col>19</xdr:col>
      <xdr:colOff>557893</xdr:colOff>
      <xdr:row>27</xdr:row>
      <xdr:rowOff>40822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87C2DC22-B543-41B0-968C-D23FCBC389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163285</xdr:colOff>
      <xdr:row>9</xdr:row>
      <xdr:rowOff>138793</xdr:rowOff>
    </xdr:from>
    <xdr:to>
      <xdr:col>19</xdr:col>
      <xdr:colOff>557893</xdr:colOff>
      <xdr:row>27</xdr:row>
      <xdr:rowOff>40822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8D5057C7-48CC-42A8-99EB-5A5150736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ake4\Downloads\OrganizedCodeStructure\OrganizedCodeStructure\Step4_text_analysis\Figure3\PMCbody.xlsx" TargetMode="External"/><Relationship Id="rId1" Type="http://schemas.openxmlformats.org/officeDocument/2006/relationships/externalLinkPath" Target="PMCbod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ake4\Downloads\OrganizedCodeStructure\OrganizedCodeStructure\Step4_text_analysis\Figure3\PMCabs.xlsx" TargetMode="External"/><Relationship Id="rId1" Type="http://schemas.openxmlformats.org/officeDocument/2006/relationships/externalLinkPath" Target="PMCab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ake4\Downloads\OrganizedCodeStructure\OrganizedCodeStructure\Step4_text_analysis\Figure3\PubmedAbs.xlsx" TargetMode="External"/><Relationship Id="rId1" Type="http://schemas.openxmlformats.org/officeDocument/2006/relationships/externalLinkPath" Target="PubmedAb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CT"/>
      <sheetName val="CT"/>
      <sheetName val="META"/>
      <sheetName val="REVIEW"/>
      <sheetName val="CCJ"/>
      <sheetName val="ALL"/>
      <sheetName val="OBS"/>
      <sheetName val="SYSREV"/>
    </sheetNames>
    <sheetDataSet>
      <sheetData sheetId="0"/>
      <sheetData sheetId="1"/>
      <sheetData sheetId="2"/>
      <sheetData sheetId="3"/>
      <sheetData sheetId="4"/>
      <sheetData sheetId="5">
        <row r="2">
          <cell r="B2">
            <v>230</v>
          </cell>
          <cell r="C2">
            <v>12</v>
          </cell>
          <cell r="D2">
            <v>12</v>
          </cell>
          <cell r="E2">
            <v>8</v>
          </cell>
          <cell r="F2">
            <v>4</v>
          </cell>
          <cell r="G2">
            <v>3</v>
          </cell>
        </row>
        <row r="3">
          <cell r="B3">
            <v>247</v>
          </cell>
          <cell r="C3">
            <v>11</v>
          </cell>
          <cell r="D3">
            <v>11</v>
          </cell>
          <cell r="E3">
            <v>9</v>
          </cell>
          <cell r="F3">
            <v>8</v>
          </cell>
          <cell r="G3">
            <v>7</v>
          </cell>
        </row>
        <row r="4">
          <cell r="B4">
            <v>223</v>
          </cell>
          <cell r="C4">
            <v>14</v>
          </cell>
          <cell r="D4">
            <v>12</v>
          </cell>
          <cell r="E4">
            <v>8</v>
          </cell>
          <cell r="F4">
            <v>6</v>
          </cell>
          <cell r="G4">
            <v>4</v>
          </cell>
        </row>
        <row r="5">
          <cell r="B5">
            <v>218</v>
          </cell>
          <cell r="C5">
            <v>16</v>
          </cell>
          <cell r="D5">
            <v>16</v>
          </cell>
          <cell r="E5">
            <v>13</v>
          </cell>
          <cell r="F5">
            <v>9</v>
          </cell>
          <cell r="G5">
            <v>8</v>
          </cell>
        </row>
        <row r="6">
          <cell r="B6">
            <v>324</v>
          </cell>
          <cell r="C6">
            <v>34</v>
          </cell>
          <cell r="D6">
            <v>31</v>
          </cell>
          <cell r="E6">
            <v>20</v>
          </cell>
          <cell r="F6">
            <v>15</v>
          </cell>
          <cell r="G6">
            <v>13</v>
          </cell>
        </row>
        <row r="7">
          <cell r="B7">
            <v>315</v>
          </cell>
          <cell r="C7">
            <v>32</v>
          </cell>
          <cell r="D7">
            <v>29</v>
          </cell>
          <cell r="E7">
            <v>18</v>
          </cell>
          <cell r="F7">
            <v>12</v>
          </cell>
          <cell r="G7">
            <v>11</v>
          </cell>
        </row>
        <row r="8">
          <cell r="B8">
            <v>366</v>
          </cell>
          <cell r="C8">
            <v>43</v>
          </cell>
          <cell r="D8">
            <v>41</v>
          </cell>
          <cell r="E8">
            <v>29</v>
          </cell>
          <cell r="F8">
            <v>18</v>
          </cell>
          <cell r="G8">
            <v>16</v>
          </cell>
        </row>
        <row r="9">
          <cell r="B9">
            <v>1647</v>
          </cell>
          <cell r="C9">
            <v>292</v>
          </cell>
          <cell r="D9">
            <v>278</v>
          </cell>
          <cell r="E9">
            <v>195</v>
          </cell>
          <cell r="F9">
            <v>133</v>
          </cell>
          <cell r="G9">
            <v>104</v>
          </cell>
        </row>
        <row r="10">
          <cell r="B10">
            <v>1753</v>
          </cell>
          <cell r="C10">
            <v>359</v>
          </cell>
          <cell r="D10">
            <v>346</v>
          </cell>
          <cell r="E10">
            <v>243</v>
          </cell>
          <cell r="F10">
            <v>171</v>
          </cell>
          <cell r="G10">
            <v>139</v>
          </cell>
        </row>
        <row r="11">
          <cell r="B11">
            <v>1940</v>
          </cell>
          <cell r="C11">
            <v>405</v>
          </cell>
          <cell r="D11">
            <v>382</v>
          </cell>
          <cell r="E11">
            <v>262</v>
          </cell>
          <cell r="F11">
            <v>196</v>
          </cell>
          <cell r="G11">
            <v>161</v>
          </cell>
        </row>
        <row r="12">
          <cell r="B12">
            <v>2698</v>
          </cell>
          <cell r="C12">
            <v>542</v>
          </cell>
          <cell r="D12">
            <v>519</v>
          </cell>
          <cell r="E12">
            <v>339</v>
          </cell>
          <cell r="F12">
            <v>245</v>
          </cell>
          <cell r="G12">
            <v>203</v>
          </cell>
        </row>
        <row r="13">
          <cell r="B13">
            <v>3733</v>
          </cell>
          <cell r="C13">
            <v>978</v>
          </cell>
          <cell r="D13">
            <v>943</v>
          </cell>
          <cell r="E13">
            <v>658</v>
          </cell>
          <cell r="F13">
            <v>514</v>
          </cell>
          <cell r="G13">
            <v>440</v>
          </cell>
        </row>
        <row r="14">
          <cell r="B14">
            <v>5091</v>
          </cell>
          <cell r="C14">
            <v>1658</v>
          </cell>
          <cell r="D14">
            <v>1596</v>
          </cell>
          <cell r="E14">
            <v>1147</v>
          </cell>
          <cell r="F14">
            <v>892</v>
          </cell>
          <cell r="G14">
            <v>789</v>
          </cell>
        </row>
        <row r="15">
          <cell r="B15">
            <v>7005</v>
          </cell>
          <cell r="C15">
            <v>2305</v>
          </cell>
          <cell r="D15">
            <v>2204</v>
          </cell>
          <cell r="E15">
            <v>1640</v>
          </cell>
          <cell r="F15">
            <v>1328</v>
          </cell>
          <cell r="G15">
            <v>1157</v>
          </cell>
        </row>
        <row r="16">
          <cell r="B16">
            <v>10246</v>
          </cell>
          <cell r="C16">
            <v>3427</v>
          </cell>
          <cell r="D16">
            <v>3266</v>
          </cell>
          <cell r="E16">
            <v>2458</v>
          </cell>
          <cell r="F16">
            <v>2029</v>
          </cell>
          <cell r="G16">
            <v>1780</v>
          </cell>
        </row>
        <row r="17">
          <cell r="B17">
            <v>15662</v>
          </cell>
          <cell r="C17">
            <v>5408</v>
          </cell>
          <cell r="D17">
            <v>5213</v>
          </cell>
          <cell r="E17">
            <v>3832</v>
          </cell>
          <cell r="F17">
            <v>3088</v>
          </cell>
          <cell r="G17">
            <v>2720</v>
          </cell>
        </row>
        <row r="18">
          <cell r="B18">
            <v>20055</v>
          </cell>
          <cell r="C18">
            <v>7289</v>
          </cell>
          <cell r="D18">
            <v>6964</v>
          </cell>
          <cell r="E18">
            <v>5232</v>
          </cell>
          <cell r="F18">
            <v>4262</v>
          </cell>
          <cell r="G18">
            <v>3813</v>
          </cell>
        </row>
        <row r="19">
          <cell r="B19">
            <v>27529</v>
          </cell>
          <cell r="C19">
            <v>10786</v>
          </cell>
          <cell r="D19">
            <v>10372</v>
          </cell>
          <cell r="E19">
            <v>7781</v>
          </cell>
          <cell r="F19">
            <v>6396</v>
          </cell>
          <cell r="G19">
            <v>5688</v>
          </cell>
        </row>
        <row r="20">
          <cell r="B20">
            <v>43398</v>
          </cell>
          <cell r="C20">
            <v>16522</v>
          </cell>
          <cell r="D20">
            <v>15921</v>
          </cell>
          <cell r="E20">
            <v>12028</v>
          </cell>
          <cell r="F20">
            <v>9836</v>
          </cell>
          <cell r="G20">
            <v>8783</v>
          </cell>
        </row>
        <row r="21">
          <cell r="B21">
            <v>58835</v>
          </cell>
          <cell r="C21">
            <v>23047</v>
          </cell>
          <cell r="D21">
            <v>22241</v>
          </cell>
          <cell r="E21">
            <v>16777</v>
          </cell>
          <cell r="F21">
            <v>13773</v>
          </cell>
          <cell r="G21">
            <v>12270</v>
          </cell>
        </row>
        <row r="22">
          <cell r="B22">
            <v>80146</v>
          </cell>
          <cell r="C22">
            <v>33387</v>
          </cell>
          <cell r="D22">
            <v>32275</v>
          </cell>
          <cell r="E22">
            <v>24011</v>
          </cell>
          <cell r="F22">
            <v>19721</v>
          </cell>
          <cell r="G22">
            <v>17669</v>
          </cell>
        </row>
        <row r="23">
          <cell r="B23">
            <v>109511</v>
          </cell>
          <cell r="C23">
            <v>47414</v>
          </cell>
          <cell r="D23">
            <v>45949</v>
          </cell>
          <cell r="E23">
            <v>33801</v>
          </cell>
          <cell r="F23">
            <v>27691</v>
          </cell>
          <cell r="G23">
            <v>24716</v>
          </cell>
        </row>
        <row r="24">
          <cell r="B24">
            <v>146163</v>
          </cell>
          <cell r="C24">
            <v>67238</v>
          </cell>
          <cell r="D24">
            <v>65360</v>
          </cell>
          <cell r="E24">
            <v>47518</v>
          </cell>
          <cell r="F24">
            <v>38579</v>
          </cell>
          <cell r="G24">
            <v>34572</v>
          </cell>
        </row>
        <row r="25">
          <cell r="B25">
            <v>184796</v>
          </cell>
          <cell r="C25">
            <v>88843</v>
          </cell>
          <cell r="D25">
            <v>86305</v>
          </cell>
          <cell r="E25">
            <v>62551</v>
          </cell>
          <cell r="F25">
            <v>51017</v>
          </cell>
          <cell r="G25">
            <v>45920</v>
          </cell>
        </row>
        <row r="26">
          <cell r="B26">
            <v>221453</v>
          </cell>
          <cell r="C26">
            <v>106587</v>
          </cell>
          <cell r="D26">
            <v>103572</v>
          </cell>
          <cell r="E26">
            <v>74356</v>
          </cell>
          <cell r="F26">
            <v>60718</v>
          </cell>
          <cell r="G26">
            <v>54728</v>
          </cell>
        </row>
        <row r="27">
          <cell r="B27">
            <v>252039</v>
          </cell>
          <cell r="C27">
            <v>123219</v>
          </cell>
          <cell r="D27">
            <v>119816</v>
          </cell>
          <cell r="E27">
            <v>86131</v>
          </cell>
          <cell r="F27">
            <v>70690</v>
          </cell>
          <cell r="G27">
            <v>63649</v>
          </cell>
        </row>
        <row r="28">
          <cell r="B28">
            <v>274180</v>
          </cell>
          <cell r="C28">
            <v>138200</v>
          </cell>
          <cell r="D28">
            <v>134608</v>
          </cell>
          <cell r="E28">
            <v>96304</v>
          </cell>
          <cell r="F28">
            <v>79654</v>
          </cell>
          <cell r="G28">
            <v>71880</v>
          </cell>
        </row>
        <row r="29">
          <cell r="B29">
            <v>306531</v>
          </cell>
          <cell r="C29">
            <v>157356</v>
          </cell>
          <cell r="D29">
            <v>153161</v>
          </cell>
          <cell r="E29">
            <v>108689</v>
          </cell>
          <cell r="F29">
            <v>89855</v>
          </cell>
          <cell r="G29">
            <v>81404</v>
          </cell>
        </row>
        <row r="30">
          <cell r="B30">
            <v>339348</v>
          </cell>
          <cell r="C30">
            <v>170166</v>
          </cell>
          <cell r="D30">
            <v>165600</v>
          </cell>
          <cell r="E30">
            <v>117398</v>
          </cell>
          <cell r="F30">
            <v>97619</v>
          </cell>
          <cell r="G30">
            <v>88691</v>
          </cell>
        </row>
        <row r="31">
          <cell r="B31">
            <v>390414</v>
          </cell>
          <cell r="C31">
            <v>198433</v>
          </cell>
          <cell r="D31">
            <v>193118</v>
          </cell>
          <cell r="E31">
            <v>135919</v>
          </cell>
          <cell r="F31">
            <v>113641</v>
          </cell>
          <cell r="G31">
            <v>103451</v>
          </cell>
        </row>
        <row r="32">
          <cell r="B32">
            <v>542079</v>
          </cell>
          <cell r="C32">
            <v>259936</v>
          </cell>
          <cell r="D32">
            <v>252940</v>
          </cell>
          <cell r="E32">
            <v>179012</v>
          </cell>
          <cell r="F32">
            <v>151113</v>
          </cell>
          <cell r="G32">
            <v>137770</v>
          </cell>
        </row>
        <row r="33">
          <cell r="B33">
            <v>677988</v>
          </cell>
          <cell r="C33">
            <v>335807</v>
          </cell>
          <cell r="D33">
            <v>327062</v>
          </cell>
          <cell r="E33">
            <v>234753</v>
          </cell>
          <cell r="F33">
            <v>199924</v>
          </cell>
          <cell r="G33">
            <v>182899</v>
          </cell>
        </row>
        <row r="34">
          <cell r="B34">
            <v>769707</v>
          </cell>
          <cell r="C34">
            <v>384088</v>
          </cell>
          <cell r="D34">
            <v>374533</v>
          </cell>
          <cell r="E34">
            <v>267596</v>
          </cell>
          <cell r="F34">
            <v>228058</v>
          </cell>
          <cell r="G34">
            <v>209391</v>
          </cell>
        </row>
        <row r="35">
          <cell r="B35">
            <v>693210</v>
          </cell>
          <cell r="C35">
            <v>342239</v>
          </cell>
          <cell r="D35">
            <v>333761</v>
          </cell>
          <cell r="E35">
            <v>239452</v>
          </cell>
          <cell r="F35">
            <v>205909</v>
          </cell>
          <cell r="G35">
            <v>189302</v>
          </cell>
        </row>
        <row r="36">
          <cell r="B36">
            <v>683803</v>
          </cell>
          <cell r="C36">
            <v>348872</v>
          </cell>
          <cell r="D36">
            <v>340623</v>
          </cell>
          <cell r="E36">
            <v>244162</v>
          </cell>
          <cell r="F36">
            <v>210742</v>
          </cell>
          <cell r="G36">
            <v>193940</v>
          </cell>
        </row>
        <row r="37">
          <cell r="B37">
            <v>524904</v>
          </cell>
          <cell r="C37">
            <v>279865</v>
          </cell>
          <cell r="D37">
            <v>273491</v>
          </cell>
          <cell r="E37">
            <v>200614</v>
          </cell>
          <cell r="F37">
            <v>174862</v>
          </cell>
          <cell r="G37">
            <v>161955</v>
          </cell>
        </row>
        <row r="38">
          <cell r="B38">
            <v>6397787</v>
          </cell>
          <cell r="C38">
            <v>3154830</v>
          </cell>
          <cell r="D38">
            <v>3072571</v>
          </cell>
          <cell r="F38">
            <v>1862728</v>
          </cell>
        </row>
        <row r="39">
          <cell r="C39">
            <v>384088</v>
          </cell>
          <cell r="D39">
            <v>374533</v>
          </cell>
          <cell r="F39">
            <v>228058</v>
          </cell>
        </row>
        <row r="40">
          <cell r="C40">
            <v>11</v>
          </cell>
          <cell r="D40">
            <v>11</v>
          </cell>
          <cell r="F40">
            <v>4</v>
          </cell>
        </row>
      </sheetData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CT"/>
      <sheetName val="CT"/>
      <sheetName val="META"/>
      <sheetName val="REVIEW"/>
      <sheetName val="CCJ"/>
      <sheetName val="ALL"/>
      <sheetName val="OBS"/>
      <sheetName val="SYSREV"/>
    </sheetNames>
    <sheetDataSet>
      <sheetData sheetId="0"/>
      <sheetData sheetId="1"/>
      <sheetData sheetId="2"/>
      <sheetData sheetId="3"/>
      <sheetData sheetId="4"/>
      <sheetData sheetId="5">
        <row r="2">
          <cell r="B2">
            <v>2340</v>
          </cell>
          <cell r="C2">
            <v>90</v>
          </cell>
          <cell r="D2">
            <v>86</v>
          </cell>
          <cell r="E2">
            <v>66</v>
          </cell>
          <cell r="F2">
            <v>54</v>
          </cell>
          <cell r="G2">
            <v>47</v>
          </cell>
        </row>
        <row r="3">
          <cell r="B3">
            <v>2408</v>
          </cell>
          <cell r="C3">
            <v>139</v>
          </cell>
          <cell r="D3">
            <v>135</v>
          </cell>
          <cell r="E3">
            <v>104</v>
          </cell>
          <cell r="F3">
            <v>78</v>
          </cell>
          <cell r="G3">
            <v>66</v>
          </cell>
        </row>
        <row r="4">
          <cell r="B4">
            <v>2444</v>
          </cell>
          <cell r="C4">
            <v>143</v>
          </cell>
          <cell r="D4">
            <v>139</v>
          </cell>
          <cell r="E4">
            <v>103</v>
          </cell>
          <cell r="F4">
            <v>74</v>
          </cell>
          <cell r="G4">
            <v>51</v>
          </cell>
        </row>
        <row r="5">
          <cell r="B5">
            <v>2815</v>
          </cell>
          <cell r="C5">
            <v>198</v>
          </cell>
          <cell r="D5">
            <v>190</v>
          </cell>
          <cell r="E5">
            <v>136</v>
          </cell>
          <cell r="F5">
            <v>99</v>
          </cell>
          <cell r="G5">
            <v>71</v>
          </cell>
        </row>
        <row r="6">
          <cell r="B6">
            <v>3102</v>
          </cell>
          <cell r="C6">
            <v>230</v>
          </cell>
          <cell r="D6">
            <v>225</v>
          </cell>
          <cell r="E6">
            <v>158</v>
          </cell>
          <cell r="F6">
            <v>118</v>
          </cell>
          <cell r="G6">
            <v>91</v>
          </cell>
        </row>
        <row r="7">
          <cell r="B7">
            <v>2947</v>
          </cell>
          <cell r="C7">
            <v>224</v>
          </cell>
          <cell r="D7">
            <v>215</v>
          </cell>
          <cell r="E7">
            <v>155</v>
          </cell>
          <cell r="F7">
            <v>106</v>
          </cell>
          <cell r="G7">
            <v>79</v>
          </cell>
        </row>
        <row r="8">
          <cell r="B8">
            <v>3102</v>
          </cell>
          <cell r="C8">
            <v>271</v>
          </cell>
          <cell r="D8">
            <v>259</v>
          </cell>
          <cell r="E8">
            <v>187</v>
          </cell>
          <cell r="F8">
            <v>134</v>
          </cell>
          <cell r="G8">
            <v>108</v>
          </cell>
        </row>
        <row r="9">
          <cell r="B9">
            <v>3244</v>
          </cell>
          <cell r="C9">
            <v>292</v>
          </cell>
          <cell r="D9">
            <v>274</v>
          </cell>
          <cell r="E9">
            <v>196</v>
          </cell>
          <cell r="F9">
            <v>144</v>
          </cell>
          <cell r="G9">
            <v>115</v>
          </cell>
        </row>
        <row r="10">
          <cell r="B10">
            <v>3421</v>
          </cell>
          <cell r="C10">
            <v>328</v>
          </cell>
          <cell r="D10">
            <v>312</v>
          </cell>
          <cell r="E10">
            <v>232</v>
          </cell>
          <cell r="F10">
            <v>185</v>
          </cell>
          <cell r="G10">
            <v>148</v>
          </cell>
        </row>
        <row r="11">
          <cell r="B11">
            <v>3516</v>
          </cell>
          <cell r="C11">
            <v>364</v>
          </cell>
          <cell r="D11">
            <v>355</v>
          </cell>
          <cell r="E11">
            <v>272</v>
          </cell>
          <cell r="F11">
            <v>204</v>
          </cell>
          <cell r="G11">
            <v>163</v>
          </cell>
        </row>
        <row r="12">
          <cell r="B12">
            <v>3833</v>
          </cell>
          <cell r="C12">
            <v>354</v>
          </cell>
          <cell r="D12">
            <v>336</v>
          </cell>
          <cell r="E12">
            <v>233</v>
          </cell>
          <cell r="F12">
            <v>175</v>
          </cell>
          <cell r="G12">
            <v>147</v>
          </cell>
        </row>
        <row r="13">
          <cell r="B13">
            <v>4861</v>
          </cell>
          <cell r="C13">
            <v>449</v>
          </cell>
          <cell r="D13">
            <v>423</v>
          </cell>
          <cell r="E13">
            <v>314</v>
          </cell>
          <cell r="F13">
            <v>219</v>
          </cell>
          <cell r="G13">
            <v>180</v>
          </cell>
        </row>
        <row r="14">
          <cell r="B14">
            <v>5456</v>
          </cell>
          <cell r="C14">
            <v>538</v>
          </cell>
          <cell r="D14">
            <v>517</v>
          </cell>
          <cell r="E14">
            <v>373</v>
          </cell>
          <cell r="F14">
            <v>286</v>
          </cell>
          <cell r="G14">
            <v>235</v>
          </cell>
        </row>
        <row r="15">
          <cell r="B15">
            <v>6348</v>
          </cell>
          <cell r="C15">
            <v>663</v>
          </cell>
          <cell r="D15">
            <v>634</v>
          </cell>
          <cell r="E15">
            <v>453</v>
          </cell>
          <cell r="F15">
            <v>349</v>
          </cell>
          <cell r="G15">
            <v>287</v>
          </cell>
        </row>
        <row r="16">
          <cell r="B16">
            <v>8615</v>
          </cell>
          <cell r="C16">
            <v>936</v>
          </cell>
          <cell r="D16">
            <v>882</v>
          </cell>
          <cell r="E16">
            <v>648</v>
          </cell>
          <cell r="F16">
            <v>508</v>
          </cell>
          <cell r="G16">
            <v>443</v>
          </cell>
        </row>
        <row r="17">
          <cell r="B17">
            <v>13145</v>
          </cell>
          <cell r="C17">
            <v>1374</v>
          </cell>
          <cell r="D17">
            <v>1308</v>
          </cell>
          <cell r="E17">
            <v>946</v>
          </cell>
          <cell r="F17">
            <v>730</v>
          </cell>
          <cell r="G17">
            <v>607</v>
          </cell>
        </row>
        <row r="18">
          <cell r="B18">
            <v>17503</v>
          </cell>
          <cell r="C18">
            <v>1978</v>
          </cell>
          <cell r="D18">
            <v>1872</v>
          </cell>
          <cell r="E18">
            <v>1357</v>
          </cell>
          <cell r="F18">
            <v>1088</v>
          </cell>
          <cell r="G18">
            <v>931</v>
          </cell>
        </row>
        <row r="19">
          <cell r="B19">
            <v>24455</v>
          </cell>
          <cell r="C19">
            <v>2682</v>
          </cell>
          <cell r="D19">
            <v>2556</v>
          </cell>
          <cell r="E19">
            <v>1787</v>
          </cell>
          <cell r="F19">
            <v>1405</v>
          </cell>
          <cell r="G19">
            <v>1188</v>
          </cell>
        </row>
        <row r="20">
          <cell r="B20">
            <v>38979</v>
          </cell>
          <cell r="C20">
            <v>4055</v>
          </cell>
          <cell r="D20">
            <v>3863</v>
          </cell>
          <cell r="E20">
            <v>2753</v>
          </cell>
          <cell r="F20">
            <v>2144</v>
          </cell>
          <cell r="G20">
            <v>1804</v>
          </cell>
        </row>
        <row r="21">
          <cell r="B21">
            <v>52975</v>
          </cell>
          <cell r="C21">
            <v>5604</v>
          </cell>
          <cell r="D21">
            <v>5340</v>
          </cell>
          <cell r="E21">
            <v>3803</v>
          </cell>
          <cell r="F21">
            <v>3007</v>
          </cell>
          <cell r="G21">
            <v>2517</v>
          </cell>
        </row>
        <row r="22">
          <cell r="B22">
            <v>71976</v>
          </cell>
          <cell r="C22">
            <v>8241</v>
          </cell>
          <cell r="D22">
            <v>7857</v>
          </cell>
          <cell r="E22">
            <v>5542</v>
          </cell>
          <cell r="F22">
            <v>4381</v>
          </cell>
          <cell r="G22">
            <v>3655</v>
          </cell>
        </row>
        <row r="23">
          <cell r="B23">
            <v>98163</v>
          </cell>
          <cell r="C23">
            <v>11843</v>
          </cell>
          <cell r="D23">
            <v>11277</v>
          </cell>
          <cell r="E23">
            <v>7976</v>
          </cell>
          <cell r="F23">
            <v>6341</v>
          </cell>
          <cell r="G23">
            <v>5276</v>
          </cell>
        </row>
        <row r="24">
          <cell r="B24">
            <v>132750</v>
          </cell>
          <cell r="C24">
            <v>17471</v>
          </cell>
          <cell r="D24">
            <v>16747</v>
          </cell>
          <cell r="E24">
            <v>11516</v>
          </cell>
          <cell r="F24">
            <v>9010</v>
          </cell>
          <cell r="G24">
            <v>7505</v>
          </cell>
        </row>
        <row r="25">
          <cell r="B25">
            <v>165606</v>
          </cell>
          <cell r="C25">
            <v>23618</v>
          </cell>
          <cell r="D25">
            <v>22537</v>
          </cell>
          <cell r="E25">
            <v>15707</v>
          </cell>
          <cell r="F25">
            <v>12359</v>
          </cell>
          <cell r="G25">
            <v>10420</v>
          </cell>
        </row>
        <row r="26">
          <cell r="B26">
            <v>199504</v>
          </cell>
          <cell r="C26">
            <v>29512</v>
          </cell>
          <cell r="D26">
            <v>28214</v>
          </cell>
          <cell r="E26">
            <v>19433</v>
          </cell>
          <cell r="F26">
            <v>15500</v>
          </cell>
          <cell r="G26">
            <v>13156</v>
          </cell>
        </row>
        <row r="27">
          <cell r="B27">
            <v>224992</v>
          </cell>
          <cell r="C27">
            <v>34265</v>
          </cell>
          <cell r="D27">
            <v>32710</v>
          </cell>
          <cell r="E27">
            <v>22693</v>
          </cell>
          <cell r="F27">
            <v>18154</v>
          </cell>
          <cell r="G27">
            <v>15379</v>
          </cell>
        </row>
        <row r="28">
          <cell r="B28">
            <v>254848</v>
          </cell>
          <cell r="C28">
            <v>39710</v>
          </cell>
          <cell r="D28">
            <v>37916</v>
          </cell>
          <cell r="E28">
            <v>26589</v>
          </cell>
          <cell r="F28">
            <v>21465</v>
          </cell>
          <cell r="G28">
            <v>18200</v>
          </cell>
        </row>
        <row r="29">
          <cell r="B29">
            <v>288944</v>
          </cell>
          <cell r="C29">
            <v>45295</v>
          </cell>
          <cell r="D29">
            <v>43119</v>
          </cell>
          <cell r="E29">
            <v>30460</v>
          </cell>
          <cell r="F29">
            <v>24461</v>
          </cell>
          <cell r="G29">
            <v>20685</v>
          </cell>
        </row>
        <row r="30">
          <cell r="B30">
            <v>321135</v>
          </cell>
          <cell r="C30">
            <v>50687</v>
          </cell>
          <cell r="D30">
            <v>48225</v>
          </cell>
          <cell r="E30">
            <v>33782</v>
          </cell>
          <cell r="F30">
            <v>27187</v>
          </cell>
          <cell r="G30">
            <v>23058</v>
          </cell>
        </row>
        <row r="31">
          <cell r="B31">
            <v>376411</v>
          </cell>
          <cell r="C31">
            <v>60196</v>
          </cell>
          <cell r="D31">
            <v>57347</v>
          </cell>
          <cell r="E31">
            <v>40380</v>
          </cell>
          <cell r="F31">
            <v>32702</v>
          </cell>
          <cell r="G31">
            <v>27977</v>
          </cell>
        </row>
        <row r="32">
          <cell r="B32">
            <v>503238</v>
          </cell>
          <cell r="C32">
            <v>79539</v>
          </cell>
          <cell r="D32">
            <v>75948</v>
          </cell>
          <cell r="E32">
            <v>53828</v>
          </cell>
          <cell r="F32">
            <v>43844</v>
          </cell>
          <cell r="G32">
            <v>37512</v>
          </cell>
        </row>
        <row r="33">
          <cell r="B33">
            <v>636841</v>
          </cell>
          <cell r="C33">
            <v>105271</v>
          </cell>
          <cell r="D33">
            <v>100587</v>
          </cell>
          <cell r="E33">
            <v>71659</v>
          </cell>
          <cell r="F33">
            <v>59077</v>
          </cell>
          <cell r="G33">
            <v>50719</v>
          </cell>
        </row>
        <row r="34">
          <cell r="B34">
            <v>728254</v>
          </cell>
          <cell r="C34">
            <v>122606</v>
          </cell>
          <cell r="D34">
            <v>117198</v>
          </cell>
          <cell r="E34">
            <v>82143</v>
          </cell>
          <cell r="F34">
            <v>67520</v>
          </cell>
          <cell r="G34">
            <v>58129</v>
          </cell>
        </row>
        <row r="35">
          <cell r="B35">
            <v>653607</v>
          </cell>
          <cell r="C35">
            <v>109684</v>
          </cell>
          <cell r="D35">
            <v>104768</v>
          </cell>
          <cell r="E35">
            <v>73990</v>
          </cell>
          <cell r="F35">
            <v>61231</v>
          </cell>
          <cell r="G35">
            <v>52855</v>
          </cell>
        </row>
        <row r="36">
          <cell r="B36">
            <v>656318</v>
          </cell>
          <cell r="C36">
            <v>115246</v>
          </cell>
          <cell r="D36">
            <v>110178</v>
          </cell>
          <cell r="E36">
            <v>77575</v>
          </cell>
          <cell r="F36">
            <v>64477</v>
          </cell>
          <cell r="G36">
            <v>55671</v>
          </cell>
        </row>
        <row r="37">
          <cell r="B37">
            <v>513363</v>
          </cell>
          <cell r="C37">
            <v>99906</v>
          </cell>
          <cell r="D37">
            <v>95888</v>
          </cell>
          <cell r="E37">
            <v>68351</v>
          </cell>
          <cell r="F37">
            <v>56957</v>
          </cell>
          <cell r="G37">
            <v>49478</v>
          </cell>
        </row>
        <row r="38">
          <cell r="B38">
            <v>6031459</v>
          </cell>
          <cell r="C38">
            <v>974002</v>
          </cell>
          <cell r="D38">
            <v>930437</v>
          </cell>
          <cell r="F38">
            <v>535773</v>
          </cell>
        </row>
        <row r="39">
          <cell r="C39">
            <v>122606</v>
          </cell>
          <cell r="D39">
            <v>117198</v>
          </cell>
          <cell r="F39">
            <v>67520</v>
          </cell>
        </row>
        <row r="40">
          <cell r="C40">
            <v>90</v>
          </cell>
          <cell r="D40">
            <v>86</v>
          </cell>
          <cell r="F40">
            <v>54</v>
          </cell>
        </row>
      </sheetData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CT"/>
      <sheetName val="CT"/>
      <sheetName val="META"/>
      <sheetName val="REVIEW"/>
      <sheetName val="CCJ"/>
      <sheetName val="ALL"/>
      <sheetName val="OBS"/>
      <sheetName val="SYSREV"/>
      <sheetName val="Sheet2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B2">
            <v>278716</v>
          </cell>
          <cell r="C2">
            <v>20882</v>
          </cell>
          <cell r="D2">
            <v>20465</v>
          </cell>
          <cell r="E2">
            <v>14811</v>
          </cell>
          <cell r="F2">
            <v>9688</v>
          </cell>
          <cell r="G2">
            <v>8163</v>
          </cell>
        </row>
        <row r="3">
          <cell r="B3">
            <v>281501</v>
          </cell>
          <cell r="C3">
            <v>22765</v>
          </cell>
          <cell r="D3">
            <v>22311</v>
          </cell>
          <cell r="E3">
            <v>16102</v>
          </cell>
          <cell r="F3">
            <v>10510</v>
          </cell>
          <cell r="G3">
            <v>8856</v>
          </cell>
        </row>
        <row r="4">
          <cell r="B4">
            <v>287106</v>
          </cell>
          <cell r="C4">
            <v>25095</v>
          </cell>
          <cell r="D4">
            <v>24595</v>
          </cell>
          <cell r="E4">
            <v>17804</v>
          </cell>
          <cell r="F4">
            <v>11778</v>
          </cell>
          <cell r="G4">
            <v>9760</v>
          </cell>
        </row>
        <row r="5">
          <cell r="B5">
            <v>292438</v>
          </cell>
          <cell r="C5">
            <v>27237</v>
          </cell>
          <cell r="D5">
            <v>26549</v>
          </cell>
          <cell r="E5">
            <v>18984</v>
          </cell>
          <cell r="F5">
            <v>12941</v>
          </cell>
          <cell r="G5">
            <v>10847</v>
          </cell>
        </row>
        <row r="6">
          <cell r="B6">
            <v>300383</v>
          </cell>
          <cell r="C6">
            <v>29583</v>
          </cell>
          <cell r="D6">
            <v>28778</v>
          </cell>
          <cell r="E6">
            <v>20638</v>
          </cell>
          <cell r="F6">
            <v>14177</v>
          </cell>
          <cell r="G6">
            <v>11848</v>
          </cell>
        </row>
        <row r="7">
          <cell r="B7">
            <v>309682</v>
          </cell>
          <cell r="C7">
            <v>31986</v>
          </cell>
          <cell r="D7">
            <v>31046</v>
          </cell>
          <cell r="E7">
            <v>22162</v>
          </cell>
          <cell r="F7">
            <v>15332</v>
          </cell>
          <cell r="G7">
            <v>12815</v>
          </cell>
        </row>
        <row r="8">
          <cell r="B8">
            <v>315735</v>
          </cell>
          <cell r="C8">
            <v>34368</v>
          </cell>
          <cell r="D8">
            <v>33365</v>
          </cell>
          <cell r="E8">
            <v>23873</v>
          </cell>
          <cell r="F8">
            <v>16727</v>
          </cell>
          <cell r="G8">
            <v>13919</v>
          </cell>
        </row>
        <row r="9">
          <cell r="B9">
            <v>324663</v>
          </cell>
          <cell r="C9">
            <v>36618</v>
          </cell>
          <cell r="D9">
            <v>35482</v>
          </cell>
          <cell r="E9">
            <v>25218</v>
          </cell>
          <cell r="F9">
            <v>18079</v>
          </cell>
          <cell r="G9">
            <v>15109</v>
          </cell>
        </row>
        <row r="10">
          <cell r="B10">
            <v>340071</v>
          </cell>
          <cell r="C10">
            <v>38557</v>
          </cell>
          <cell r="D10">
            <v>37285</v>
          </cell>
          <cell r="E10">
            <v>26461</v>
          </cell>
          <cell r="F10">
            <v>18960</v>
          </cell>
          <cell r="G10">
            <v>15866</v>
          </cell>
        </row>
        <row r="11">
          <cell r="B11">
            <v>349352</v>
          </cell>
          <cell r="C11">
            <v>40973</v>
          </cell>
          <cell r="D11">
            <v>39613</v>
          </cell>
          <cell r="E11">
            <v>28166</v>
          </cell>
          <cell r="F11">
            <v>20422</v>
          </cell>
          <cell r="G11">
            <v>17086</v>
          </cell>
        </row>
        <row r="12">
          <cell r="B12">
            <v>376786</v>
          </cell>
          <cell r="C12">
            <v>42661</v>
          </cell>
          <cell r="D12">
            <v>41120</v>
          </cell>
          <cell r="E12">
            <v>29205</v>
          </cell>
          <cell r="F12">
            <v>21319</v>
          </cell>
          <cell r="G12">
            <v>17758</v>
          </cell>
        </row>
        <row r="13">
          <cell r="B13">
            <v>396538</v>
          </cell>
          <cell r="C13">
            <v>45978</v>
          </cell>
          <cell r="D13">
            <v>44383</v>
          </cell>
          <cell r="E13">
            <v>31599</v>
          </cell>
          <cell r="F13">
            <v>23019</v>
          </cell>
          <cell r="G13">
            <v>19202</v>
          </cell>
        </row>
        <row r="14">
          <cell r="B14">
            <v>416028</v>
          </cell>
          <cell r="C14">
            <v>49350</v>
          </cell>
          <cell r="D14">
            <v>47529</v>
          </cell>
          <cell r="E14">
            <v>33789</v>
          </cell>
          <cell r="F14">
            <v>24677</v>
          </cell>
          <cell r="G14">
            <v>20648</v>
          </cell>
        </row>
        <row r="15">
          <cell r="B15">
            <v>445521</v>
          </cell>
          <cell r="C15">
            <v>55143</v>
          </cell>
          <cell r="D15">
            <v>53026</v>
          </cell>
          <cell r="E15">
            <v>37528</v>
          </cell>
          <cell r="F15">
            <v>27474</v>
          </cell>
          <cell r="G15">
            <v>22987</v>
          </cell>
        </row>
        <row r="16">
          <cell r="B16">
            <v>481295</v>
          </cell>
          <cell r="C16">
            <v>61013</v>
          </cell>
          <cell r="D16">
            <v>58568</v>
          </cell>
          <cell r="E16">
            <v>41400</v>
          </cell>
          <cell r="F16">
            <v>30558</v>
          </cell>
          <cell r="G16">
            <v>25598</v>
          </cell>
        </row>
        <row r="17">
          <cell r="B17">
            <v>536057</v>
          </cell>
          <cell r="C17">
            <v>70238</v>
          </cell>
          <cell r="D17">
            <v>67396</v>
          </cell>
          <cell r="E17">
            <v>47622</v>
          </cell>
          <cell r="F17">
            <v>35274</v>
          </cell>
          <cell r="G17">
            <v>29556</v>
          </cell>
        </row>
        <row r="18">
          <cell r="B18">
            <v>579809</v>
          </cell>
          <cell r="C18">
            <v>76101</v>
          </cell>
          <cell r="D18">
            <v>72948</v>
          </cell>
          <cell r="E18">
            <v>51619</v>
          </cell>
          <cell r="F18">
            <v>38375</v>
          </cell>
          <cell r="G18">
            <v>32084</v>
          </cell>
        </row>
        <row r="19">
          <cell r="B19">
            <v>616538</v>
          </cell>
          <cell r="C19">
            <v>83458</v>
          </cell>
          <cell r="D19">
            <v>80020</v>
          </cell>
          <cell r="E19">
            <v>56748</v>
          </cell>
          <cell r="F19">
            <v>42653</v>
          </cell>
          <cell r="G19">
            <v>35846</v>
          </cell>
        </row>
        <row r="20">
          <cell r="B20">
            <v>648270</v>
          </cell>
          <cell r="C20">
            <v>90623</v>
          </cell>
          <cell r="D20">
            <v>86796</v>
          </cell>
          <cell r="E20">
            <v>61577</v>
          </cell>
          <cell r="F20">
            <v>46324</v>
          </cell>
          <cell r="G20">
            <v>38857</v>
          </cell>
        </row>
        <row r="21">
          <cell r="B21">
            <v>676468</v>
          </cell>
          <cell r="C21">
            <v>96924</v>
          </cell>
          <cell r="D21">
            <v>92765</v>
          </cell>
          <cell r="E21">
            <v>65488</v>
          </cell>
          <cell r="F21">
            <v>49591</v>
          </cell>
          <cell r="G21">
            <v>41533</v>
          </cell>
        </row>
        <row r="22">
          <cell r="B22">
            <v>725028</v>
          </cell>
          <cell r="C22">
            <v>106185</v>
          </cell>
          <cell r="D22">
            <v>101466</v>
          </cell>
          <cell r="E22">
            <v>71570</v>
          </cell>
          <cell r="F22">
            <v>54669</v>
          </cell>
          <cell r="G22">
            <v>45951</v>
          </cell>
        </row>
        <row r="23">
          <cell r="B23">
            <v>776404</v>
          </cell>
          <cell r="C23">
            <v>118039</v>
          </cell>
          <cell r="D23">
            <v>112812</v>
          </cell>
          <cell r="E23">
            <v>79922</v>
          </cell>
          <cell r="F23">
            <v>61583</v>
          </cell>
          <cell r="G23">
            <v>51907</v>
          </cell>
        </row>
        <row r="24">
          <cell r="B24">
            <v>820315</v>
          </cell>
          <cell r="C24">
            <v>128508</v>
          </cell>
          <cell r="D24">
            <v>122788</v>
          </cell>
          <cell r="E24">
            <v>87028</v>
          </cell>
          <cell r="F24">
            <v>67308</v>
          </cell>
          <cell r="G24">
            <v>56892</v>
          </cell>
        </row>
        <row r="25">
          <cell r="B25">
            <v>855653</v>
          </cell>
          <cell r="C25">
            <v>138951</v>
          </cell>
          <cell r="D25">
            <v>132568</v>
          </cell>
          <cell r="E25">
            <v>94486</v>
          </cell>
          <cell r="F25">
            <v>73721</v>
          </cell>
          <cell r="G25">
            <v>62217</v>
          </cell>
        </row>
        <row r="26">
          <cell r="B26">
            <v>876761</v>
          </cell>
          <cell r="C26">
            <v>146519</v>
          </cell>
          <cell r="D26">
            <v>139747</v>
          </cell>
          <cell r="E26">
            <v>100124</v>
          </cell>
          <cell r="F26">
            <v>78580</v>
          </cell>
          <cell r="G26">
            <v>66535</v>
          </cell>
        </row>
        <row r="27">
          <cell r="B27">
            <v>884808</v>
          </cell>
          <cell r="C27">
            <v>153235</v>
          </cell>
          <cell r="D27">
            <v>146037</v>
          </cell>
          <cell r="E27">
            <v>104560</v>
          </cell>
          <cell r="F27">
            <v>82658</v>
          </cell>
          <cell r="G27">
            <v>70259</v>
          </cell>
        </row>
        <row r="28">
          <cell r="B28">
            <v>881192</v>
          </cell>
          <cell r="C28">
            <v>155077</v>
          </cell>
          <cell r="D28">
            <v>147549</v>
          </cell>
          <cell r="E28">
            <v>106446</v>
          </cell>
          <cell r="F28">
            <v>84458</v>
          </cell>
          <cell r="G28">
            <v>71734</v>
          </cell>
        </row>
        <row r="29">
          <cell r="B29">
            <v>882495</v>
          </cell>
          <cell r="C29">
            <v>157484</v>
          </cell>
          <cell r="D29">
            <v>149644</v>
          </cell>
          <cell r="E29">
            <v>107556</v>
          </cell>
          <cell r="F29">
            <v>85771</v>
          </cell>
          <cell r="G29">
            <v>72724</v>
          </cell>
        </row>
        <row r="30">
          <cell r="B30">
            <v>900568</v>
          </cell>
          <cell r="C30">
            <v>162452</v>
          </cell>
          <cell r="D30">
            <v>154150</v>
          </cell>
          <cell r="E30">
            <v>110928</v>
          </cell>
          <cell r="F30">
            <v>88544</v>
          </cell>
          <cell r="G30">
            <v>75345</v>
          </cell>
        </row>
        <row r="31">
          <cell r="B31">
            <v>941231</v>
          </cell>
          <cell r="C31">
            <v>169776</v>
          </cell>
          <cell r="D31">
            <v>161183</v>
          </cell>
          <cell r="E31">
            <v>115974</v>
          </cell>
          <cell r="F31">
            <v>93186</v>
          </cell>
          <cell r="G31">
            <v>79696</v>
          </cell>
        </row>
        <row r="32">
          <cell r="B32">
            <v>1043379</v>
          </cell>
          <cell r="C32">
            <v>191959</v>
          </cell>
          <cell r="D32">
            <v>182267</v>
          </cell>
          <cell r="E32">
            <v>131521</v>
          </cell>
          <cell r="F32">
            <v>106366</v>
          </cell>
          <cell r="G32">
            <v>90926</v>
          </cell>
        </row>
        <row r="33">
          <cell r="B33">
            <v>1112394</v>
          </cell>
          <cell r="C33">
            <v>206278</v>
          </cell>
          <cell r="D33">
            <v>195883</v>
          </cell>
          <cell r="E33">
            <v>142128</v>
          </cell>
          <cell r="F33">
            <v>115886</v>
          </cell>
          <cell r="G33">
            <v>99368</v>
          </cell>
        </row>
        <row r="34">
          <cell r="B34">
            <v>1092792</v>
          </cell>
          <cell r="C34">
            <v>197052</v>
          </cell>
          <cell r="D34">
            <v>187225</v>
          </cell>
          <cell r="E34">
            <v>134705</v>
          </cell>
          <cell r="F34">
            <v>110140</v>
          </cell>
          <cell r="G34">
            <v>94992</v>
          </cell>
        </row>
        <row r="35">
          <cell r="B35">
            <v>978968</v>
          </cell>
          <cell r="C35">
            <v>178431</v>
          </cell>
          <cell r="D35">
            <v>169624</v>
          </cell>
          <cell r="E35">
            <v>122398</v>
          </cell>
          <cell r="F35">
            <v>100771</v>
          </cell>
          <cell r="G35">
            <v>86746</v>
          </cell>
        </row>
        <row r="36">
          <cell r="B36">
            <v>1018395</v>
          </cell>
          <cell r="C36">
            <v>184181</v>
          </cell>
          <cell r="D36">
            <v>175350</v>
          </cell>
          <cell r="E36">
            <v>125609</v>
          </cell>
          <cell r="F36">
            <v>103764</v>
          </cell>
          <cell r="G36">
            <v>89628</v>
          </cell>
        </row>
        <row r="37">
          <cell r="B37">
            <v>691456</v>
          </cell>
          <cell r="C37">
            <v>126805</v>
          </cell>
          <cell r="D37">
            <v>121081</v>
          </cell>
          <cell r="E37">
            <v>87054</v>
          </cell>
          <cell r="F37">
            <v>72248</v>
          </cell>
          <cell r="G37">
            <v>62848</v>
          </cell>
        </row>
        <row r="38">
          <cell r="B38">
            <v>22734796</v>
          </cell>
          <cell r="C38">
            <v>3500485</v>
          </cell>
          <cell r="D38">
            <v>3343414</v>
          </cell>
          <cell r="F38">
            <v>1867531</v>
          </cell>
        </row>
        <row r="39">
          <cell r="C39">
            <v>206278</v>
          </cell>
          <cell r="D39">
            <v>195883</v>
          </cell>
          <cell r="F39">
            <v>115886</v>
          </cell>
        </row>
        <row r="40">
          <cell r="C40">
            <v>20882</v>
          </cell>
          <cell r="D40">
            <v>20465</v>
          </cell>
          <cell r="F40">
            <v>9688</v>
          </cell>
        </row>
      </sheetData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40"/>
  <sheetViews>
    <sheetView topLeftCell="A4" zoomScale="85" zoomScaleNormal="85" workbookViewId="0">
      <selection activeCell="I33" sqref="I33"/>
    </sheetView>
  </sheetViews>
  <sheetFormatPr defaultRowHeight="16.5" x14ac:dyDescent="0.3"/>
  <cols>
    <col min="1" max="1" width="9" style="1"/>
    <col min="8" max="8" width="10" bestFit="1" customWidth="1"/>
    <col min="9" max="9" width="14.25" bestFit="1" customWidth="1"/>
  </cols>
  <sheetData>
    <row r="1" spans="1:43" x14ac:dyDescent="0.3">
      <c r="A1" s="1" t="s">
        <v>4</v>
      </c>
      <c r="B1" t="s">
        <v>17</v>
      </c>
      <c r="C1" t="s">
        <v>16</v>
      </c>
      <c r="D1" t="s">
        <v>15</v>
      </c>
      <c r="F1" t="s">
        <v>3</v>
      </c>
      <c r="G1" t="str">
        <f t="shared" ref="G1:AQ1" si="0">G6</f>
        <v>Year</v>
      </c>
      <c r="H1">
        <f t="shared" si="0"/>
        <v>1990</v>
      </c>
      <c r="M1">
        <f t="shared" si="0"/>
        <v>1995</v>
      </c>
      <c r="R1">
        <f t="shared" si="0"/>
        <v>2000</v>
      </c>
      <c r="W1">
        <f t="shared" si="0"/>
        <v>2005</v>
      </c>
      <c r="AB1">
        <f t="shared" si="0"/>
        <v>2010</v>
      </c>
      <c r="AG1">
        <f t="shared" si="0"/>
        <v>2015</v>
      </c>
      <c r="AL1">
        <f t="shared" si="0"/>
        <v>2020</v>
      </c>
      <c r="AQ1">
        <f t="shared" si="0"/>
        <v>2025</v>
      </c>
    </row>
    <row r="2" spans="1:43" x14ac:dyDescent="0.3">
      <c r="A2" s="1">
        <v>1990</v>
      </c>
      <c r="B2">
        <f>[1]ALL!$C2/[1]ALL!$B2*100</f>
        <v>5.2173913043478262</v>
      </c>
      <c r="C2">
        <f>[2]ALL!$C2/[2]ALL!$B2*100</f>
        <v>3.8461538461538463</v>
      </c>
      <c r="D2">
        <f>[3]ALL!$C2/[3]ALL!$B2*100</f>
        <v>7.4922142969904844</v>
      </c>
      <c r="G2" t="str">
        <f t="shared" ref="G2:AQ2" si="1">G7</f>
        <v>PMC Full-texts</v>
      </c>
      <c r="H2">
        <f t="shared" si="1"/>
        <v>5.2173913043478262</v>
      </c>
      <c r="I2">
        <f t="shared" si="1"/>
        <v>4.4534412955465585</v>
      </c>
      <c r="J2">
        <f t="shared" si="1"/>
        <v>6.2780269058295968</v>
      </c>
      <c r="K2">
        <f t="shared" si="1"/>
        <v>7.3394495412844041</v>
      </c>
      <c r="L2">
        <f t="shared" si="1"/>
        <v>10.493827160493826</v>
      </c>
      <c r="M2">
        <f t="shared" si="1"/>
        <v>10.158730158730158</v>
      </c>
      <c r="N2">
        <f t="shared" si="1"/>
        <v>11.748633879781421</v>
      </c>
      <c r="O2">
        <f t="shared" si="1"/>
        <v>17.729204614450516</v>
      </c>
      <c r="P2">
        <f t="shared" si="1"/>
        <v>20.479178551055334</v>
      </c>
      <c r="Q2">
        <f t="shared" si="1"/>
        <v>20.876288659793815</v>
      </c>
      <c r="R2">
        <f t="shared" si="1"/>
        <v>20.088954781319497</v>
      </c>
      <c r="S2">
        <f t="shared" si="1"/>
        <v>26.198767747120279</v>
      </c>
      <c r="T2">
        <f t="shared" si="1"/>
        <v>32.567275584364566</v>
      </c>
      <c r="U2">
        <f t="shared" si="1"/>
        <v>32.905067808708068</v>
      </c>
      <c r="V2">
        <f t="shared" si="1"/>
        <v>33.447198906890499</v>
      </c>
      <c r="W2">
        <f t="shared" si="1"/>
        <v>34.529434299578597</v>
      </c>
      <c r="X2">
        <f t="shared" si="1"/>
        <v>36.345051109449017</v>
      </c>
      <c r="Y2">
        <f t="shared" si="1"/>
        <v>39.180500563042607</v>
      </c>
      <c r="Z2">
        <f t="shared" si="1"/>
        <v>38.070878842342964</v>
      </c>
      <c r="AA2">
        <f t="shared" si="1"/>
        <v>39.172261409025239</v>
      </c>
      <c r="AB2">
        <f t="shared" si="1"/>
        <v>41.657724652509174</v>
      </c>
      <c r="AC2">
        <f t="shared" si="1"/>
        <v>43.296107240368549</v>
      </c>
      <c r="AD2">
        <f t="shared" si="1"/>
        <v>46.002066186380958</v>
      </c>
      <c r="AE2">
        <f t="shared" si="1"/>
        <v>48.076257061841169</v>
      </c>
      <c r="AF2">
        <f t="shared" si="1"/>
        <v>48.130754607072376</v>
      </c>
      <c r="AG2">
        <f t="shared" si="1"/>
        <v>48.888862437956035</v>
      </c>
      <c r="AH2">
        <f t="shared" si="1"/>
        <v>50.404843533445188</v>
      </c>
      <c r="AI2">
        <f t="shared" si="1"/>
        <v>51.334449044305472</v>
      </c>
      <c r="AJ2">
        <f t="shared" si="1"/>
        <v>50.144983910322146</v>
      </c>
      <c r="AK2">
        <f t="shared" si="1"/>
        <v>50.826302335469528</v>
      </c>
      <c r="AL2">
        <f t="shared" si="1"/>
        <v>47.951682319366732</v>
      </c>
      <c r="AM2">
        <f t="shared" si="1"/>
        <v>49.52993268317433</v>
      </c>
      <c r="AN2">
        <f t="shared" si="1"/>
        <v>49.900546571617511</v>
      </c>
      <c r="AO2">
        <f t="shared" si="1"/>
        <v>49.370176425614169</v>
      </c>
      <c r="AP2">
        <f t="shared" si="1"/>
        <v>51.019372538582019</v>
      </c>
      <c r="AQ2">
        <f t="shared" si="1"/>
        <v>53.317368509289324</v>
      </c>
    </row>
    <row r="3" spans="1:43" x14ac:dyDescent="0.3">
      <c r="A3" s="1">
        <v>1991</v>
      </c>
      <c r="B3">
        <f>[1]ALL!$C3/[1]ALL!$B3*100</f>
        <v>4.4534412955465585</v>
      </c>
      <c r="C3">
        <f>[2]ALL!$C3/[2]ALL!$B3*100</f>
        <v>5.7724252491694354</v>
      </c>
      <c r="D3">
        <f>[3]ALL!$C3/[3]ALL!$B3*100</f>
        <v>8.0870050195203582</v>
      </c>
      <c r="G3" t="str">
        <f t="shared" ref="G3:AQ3" si="2">G8</f>
        <v>PMC Abstracts</v>
      </c>
      <c r="H3">
        <f t="shared" si="2"/>
        <v>3.8461538461538463</v>
      </c>
      <c r="I3">
        <f t="shared" si="2"/>
        <v>5.7724252491694354</v>
      </c>
      <c r="J3">
        <f t="shared" si="2"/>
        <v>5.8510638297872344</v>
      </c>
      <c r="K3">
        <f t="shared" si="2"/>
        <v>7.0337477797513319</v>
      </c>
      <c r="L3">
        <f t="shared" si="2"/>
        <v>7.4145712443584779</v>
      </c>
      <c r="M3">
        <f t="shared" si="2"/>
        <v>7.6009501187648461</v>
      </c>
      <c r="N3">
        <f t="shared" si="2"/>
        <v>8.7362991618310772</v>
      </c>
      <c r="O3">
        <f t="shared" si="2"/>
        <v>9.001233045622687</v>
      </c>
      <c r="P3">
        <f t="shared" si="2"/>
        <v>9.5878398129201994</v>
      </c>
      <c r="Q3">
        <f t="shared" si="2"/>
        <v>10.352673492605232</v>
      </c>
      <c r="R3">
        <f t="shared" si="2"/>
        <v>9.2355857031046185</v>
      </c>
      <c r="S3">
        <f t="shared" si="2"/>
        <v>9.2367825550298299</v>
      </c>
      <c r="T3">
        <f t="shared" si="2"/>
        <v>9.8607038123167143</v>
      </c>
      <c r="U3">
        <f t="shared" si="2"/>
        <v>10.444234404536862</v>
      </c>
      <c r="V3">
        <f t="shared" si="2"/>
        <v>10.864770748694138</v>
      </c>
      <c r="W3">
        <f t="shared" si="2"/>
        <v>10.452643590718905</v>
      </c>
      <c r="X3">
        <f t="shared" si="2"/>
        <v>11.300919842312746</v>
      </c>
      <c r="Y3">
        <f t="shared" si="2"/>
        <v>10.967082396237988</v>
      </c>
      <c r="Z3">
        <f t="shared" si="2"/>
        <v>10.403037533030608</v>
      </c>
      <c r="AA3">
        <f t="shared" si="2"/>
        <v>10.578574799433694</v>
      </c>
      <c r="AB3">
        <f t="shared" si="2"/>
        <v>11.44964988329443</v>
      </c>
      <c r="AC3">
        <f t="shared" si="2"/>
        <v>12.06462720169514</v>
      </c>
      <c r="AD3">
        <f t="shared" si="2"/>
        <v>13.160828625235405</v>
      </c>
      <c r="AE3">
        <f t="shared" si="2"/>
        <v>14.261560571476878</v>
      </c>
      <c r="AF3">
        <f t="shared" si="2"/>
        <v>14.792685860935121</v>
      </c>
      <c r="AG3">
        <f t="shared" si="2"/>
        <v>15.229430379746836</v>
      </c>
      <c r="AH3">
        <f t="shared" si="2"/>
        <v>15.581837016574585</v>
      </c>
      <c r="AI3">
        <f t="shared" si="2"/>
        <v>15.676047953928791</v>
      </c>
      <c r="AJ3">
        <f t="shared" si="2"/>
        <v>15.783704672489762</v>
      </c>
      <c r="AK3">
        <f t="shared" si="2"/>
        <v>15.992093748588642</v>
      </c>
      <c r="AL3">
        <f t="shared" si="2"/>
        <v>15.805443945012101</v>
      </c>
      <c r="AM3">
        <f t="shared" si="2"/>
        <v>16.530185713545453</v>
      </c>
      <c r="AN3">
        <f t="shared" si="2"/>
        <v>16.835609553809523</v>
      </c>
      <c r="AO3">
        <f t="shared" si="2"/>
        <v>16.781338021165624</v>
      </c>
      <c r="AP3">
        <f t="shared" si="2"/>
        <v>17.559475741942169</v>
      </c>
      <c r="AQ3">
        <f t="shared" si="2"/>
        <v>19.461083093249805</v>
      </c>
    </row>
    <row r="4" spans="1:43" x14ac:dyDescent="0.3">
      <c r="A4" s="1">
        <v>1992</v>
      </c>
      <c r="B4">
        <f>[1]ALL!$C4/[1]ALL!$B4*100</f>
        <v>6.2780269058295968</v>
      </c>
      <c r="C4">
        <f>[2]ALL!$C4/[2]ALL!$B4*100</f>
        <v>5.8510638297872344</v>
      </c>
      <c r="D4">
        <f>[3]ALL!$C4/[3]ALL!$B4*100</f>
        <v>8.7406741760882749</v>
      </c>
      <c r="G4" t="str">
        <f t="shared" ref="G4:AQ4" si="3">G9</f>
        <v>PubMed Abstracts</v>
      </c>
      <c r="H4">
        <f t="shared" si="3"/>
        <v>7.4922142969904844</v>
      </c>
      <c r="I4">
        <f t="shared" si="3"/>
        <v>8.0870050195203582</v>
      </c>
      <c r="J4">
        <f t="shared" si="3"/>
        <v>8.7406741760882749</v>
      </c>
      <c r="K4">
        <f t="shared" si="3"/>
        <v>9.3137690724187685</v>
      </c>
      <c r="L4">
        <f t="shared" si="3"/>
        <v>9.8484268417320546</v>
      </c>
      <c r="M4">
        <f t="shared" si="3"/>
        <v>10.328659721908281</v>
      </c>
      <c r="N4">
        <f t="shared" si="3"/>
        <v>10.885077675899092</v>
      </c>
      <c r="O4">
        <f t="shared" si="3"/>
        <v>11.278772142190517</v>
      </c>
      <c r="P4">
        <f t="shared" si="3"/>
        <v>11.337926491820825</v>
      </c>
      <c r="Q4">
        <f t="shared" si="3"/>
        <v>11.72828551146122</v>
      </c>
      <c r="R4">
        <f t="shared" si="3"/>
        <v>11.322342125238199</v>
      </c>
      <c r="S4">
        <f t="shared" si="3"/>
        <v>11.594853456667458</v>
      </c>
      <c r="T4">
        <f t="shared" si="3"/>
        <v>11.862182353110848</v>
      </c>
      <c r="U4">
        <f t="shared" si="3"/>
        <v>12.377194341007494</v>
      </c>
      <c r="V4">
        <f t="shared" si="3"/>
        <v>12.676840607112061</v>
      </c>
      <c r="W4">
        <f t="shared" si="3"/>
        <v>13.102711092290559</v>
      </c>
      <c r="X4">
        <f t="shared" si="3"/>
        <v>13.125184327942478</v>
      </c>
      <c r="Y4">
        <f t="shared" si="3"/>
        <v>13.536554113452862</v>
      </c>
      <c r="Z4">
        <f t="shared" si="3"/>
        <v>13.979206194949636</v>
      </c>
      <c r="AA4">
        <f t="shared" si="3"/>
        <v>14.32795047215833</v>
      </c>
      <c r="AB4">
        <f t="shared" si="3"/>
        <v>14.645641271785365</v>
      </c>
      <c r="AC4">
        <f t="shared" si="3"/>
        <v>15.203296222069953</v>
      </c>
      <c r="AD4">
        <f t="shared" si="3"/>
        <v>15.665689399803734</v>
      </c>
      <c r="AE4">
        <f t="shared" si="3"/>
        <v>16.239176395104092</v>
      </c>
      <c r="AF4">
        <f t="shared" si="3"/>
        <v>16.711395693923428</v>
      </c>
      <c r="AG4">
        <f t="shared" si="3"/>
        <v>17.318446487825607</v>
      </c>
      <c r="AH4">
        <f t="shared" si="3"/>
        <v>17.598548329989377</v>
      </c>
      <c r="AI4">
        <f t="shared" si="3"/>
        <v>17.845313571181705</v>
      </c>
      <c r="AJ4">
        <f t="shared" si="3"/>
        <v>18.038837711311086</v>
      </c>
      <c r="AK4">
        <f t="shared" si="3"/>
        <v>18.037654943366718</v>
      </c>
      <c r="AL4">
        <f t="shared" si="3"/>
        <v>18.397820926048926</v>
      </c>
      <c r="AM4">
        <f t="shared" si="3"/>
        <v>18.5436095484154</v>
      </c>
      <c r="AN4">
        <f t="shared" si="3"/>
        <v>18.031976808029341</v>
      </c>
      <c r="AO4">
        <f t="shared" si="3"/>
        <v>18.226438453555172</v>
      </c>
      <c r="AP4">
        <f t="shared" si="3"/>
        <v>18.085418722597812</v>
      </c>
      <c r="AQ4">
        <f t="shared" si="3"/>
        <v>18.338838624583488</v>
      </c>
    </row>
    <row r="5" spans="1:43" x14ac:dyDescent="0.3">
      <c r="A5" s="1">
        <v>1993</v>
      </c>
      <c r="B5">
        <f>[1]ALL!$C5/[1]ALL!$B5*100</f>
        <v>7.3394495412844041</v>
      </c>
      <c r="C5">
        <f>[2]ALL!$C5/[2]ALL!$B5*100</f>
        <v>7.0337477797513319</v>
      </c>
      <c r="D5">
        <f>[3]ALL!$C5/[3]ALL!$B5*100</f>
        <v>9.3137690724187685</v>
      </c>
    </row>
    <row r="6" spans="1:43" x14ac:dyDescent="0.3">
      <c r="A6" s="1">
        <v>1994</v>
      </c>
      <c r="B6">
        <f>[1]ALL!$C6/[1]ALL!$B6*100</f>
        <v>10.493827160493826</v>
      </c>
      <c r="C6">
        <f>[2]ALL!$C6/[2]ALL!$B6*100</f>
        <v>7.4145712443584779</v>
      </c>
      <c r="D6">
        <f>[3]ALL!$C6/[3]ALL!$B6*100</f>
        <v>9.8484268417320546</v>
      </c>
      <c r="G6" t="str" cm="1">
        <f t="array" ref="G6:AQ9">TRANSPOSE(A1:D37)</f>
        <v>Year</v>
      </c>
      <c r="H6">
        <v>1990</v>
      </c>
      <c r="I6">
        <v>1991</v>
      </c>
      <c r="J6">
        <v>1992</v>
      </c>
      <c r="K6">
        <v>1993</v>
      </c>
      <c r="L6">
        <v>1994</v>
      </c>
      <c r="M6">
        <v>1995</v>
      </c>
      <c r="N6">
        <v>1996</v>
      </c>
      <c r="O6">
        <v>1997</v>
      </c>
      <c r="P6">
        <v>1998</v>
      </c>
      <c r="Q6">
        <v>1999</v>
      </c>
      <c r="R6">
        <v>2000</v>
      </c>
      <c r="S6">
        <v>2001</v>
      </c>
      <c r="T6">
        <v>2002</v>
      </c>
      <c r="U6">
        <v>2003</v>
      </c>
      <c r="V6">
        <v>2004</v>
      </c>
      <c r="W6">
        <v>2005</v>
      </c>
      <c r="X6">
        <v>2006</v>
      </c>
      <c r="Y6">
        <v>2007</v>
      </c>
      <c r="Z6">
        <v>2008</v>
      </c>
      <c r="AA6">
        <v>2009</v>
      </c>
      <c r="AB6">
        <v>2010</v>
      </c>
      <c r="AC6">
        <v>2011</v>
      </c>
      <c r="AD6">
        <v>2012</v>
      </c>
      <c r="AE6">
        <v>2013</v>
      </c>
      <c r="AF6">
        <v>2014</v>
      </c>
      <c r="AG6">
        <v>2015</v>
      </c>
      <c r="AH6">
        <v>2016</v>
      </c>
      <c r="AI6">
        <v>2017</v>
      </c>
      <c r="AJ6">
        <v>2018</v>
      </c>
      <c r="AK6">
        <v>2019</v>
      </c>
      <c r="AL6">
        <v>2020</v>
      </c>
      <c r="AM6">
        <v>2021</v>
      </c>
      <c r="AN6">
        <v>2022</v>
      </c>
      <c r="AO6">
        <v>2023</v>
      </c>
      <c r="AP6">
        <v>2024</v>
      </c>
      <c r="AQ6">
        <v>2025</v>
      </c>
    </row>
    <row r="7" spans="1:43" x14ac:dyDescent="0.3">
      <c r="A7" s="1">
        <v>1995</v>
      </c>
      <c r="B7">
        <f>[1]ALL!$C7/[1]ALL!$B7*100</f>
        <v>10.158730158730158</v>
      </c>
      <c r="C7">
        <f>[2]ALL!$C7/[2]ALL!$B7*100</f>
        <v>7.6009501187648461</v>
      </c>
      <c r="D7">
        <f>[3]ALL!$C7/[3]ALL!$B7*100</f>
        <v>10.328659721908281</v>
      </c>
      <c r="G7" t="str">
        <v>PMC Full-texts</v>
      </c>
      <c r="H7">
        <v>5.2173913043478262</v>
      </c>
      <c r="I7">
        <v>4.4534412955465585</v>
      </c>
      <c r="J7">
        <v>6.2780269058295968</v>
      </c>
      <c r="K7">
        <v>7.3394495412844041</v>
      </c>
      <c r="L7">
        <v>10.493827160493826</v>
      </c>
      <c r="M7">
        <v>10.158730158730158</v>
      </c>
      <c r="N7">
        <v>11.748633879781421</v>
      </c>
      <c r="O7">
        <v>17.729204614450516</v>
      </c>
      <c r="P7">
        <v>20.479178551055334</v>
      </c>
      <c r="Q7">
        <v>20.876288659793815</v>
      </c>
      <c r="R7">
        <v>20.088954781319497</v>
      </c>
      <c r="S7">
        <v>26.198767747120279</v>
      </c>
      <c r="T7">
        <v>32.567275584364566</v>
      </c>
      <c r="U7">
        <v>32.905067808708068</v>
      </c>
      <c r="V7">
        <v>33.447198906890499</v>
      </c>
      <c r="W7">
        <v>34.529434299578597</v>
      </c>
      <c r="X7">
        <v>36.345051109449017</v>
      </c>
      <c r="Y7">
        <v>39.180500563042607</v>
      </c>
      <c r="Z7">
        <v>38.070878842342964</v>
      </c>
      <c r="AA7">
        <v>39.172261409025239</v>
      </c>
      <c r="AB7">
        <v>41.657724652509174</v>
      </c>
      <c r="AC7">
        <v>43.296107240368549</v>
      </c>
      <c r="AD7">
        <v>46.002066186380958</v>
      </c>
      <c r="AE7">
        <v>48.076257061841169</v>
      </c>
      <c r="AF7">
        <v>48.130754607072376</v>
      </c>
      <c r="AG7">
        <v>48.888862437956035</v>
      </c>
      <c r="AH7">
        <v>50.404843533445188</v>
      </c>
      <c r="AI7">
        <v>51.334449044305472</v>
      </c>
      <c r="AJ7">
        <v>50.144983910322146</v>
      </c>
      <c r="AK7">
        <v>50.826302335469528</v>
      </c>
      <c r="AL7">
        <v>47.951682319366732</v>
      </c>
      <c r="AM7">
        <v>49.52993268317433</v>
      </c>
      <c r="AN7">
        <v>49.900546571617511</v>
      </c>
      <c r="AO7">
        <v>49.370176425614169</v>
      </c>
      <c r="AP7">
        <v>51.019372538582019</v>
      </c>
      <c r="AQ7">
        <v>53.317368509289324</v>
      </c>
    </row>
    <row r="8" spans="1:43" x14ac:dyDescent="0.3">
      <c r="A8" s="1">
        <v>1996</v>
      </c>
      <c r="B8">
        <f>[1]ALL!$C8/[1]ALL!$B8*100</f>
        <v>11.748633879781421</v>
      </c>
      <c r="C8">
        <f>[2]ALL!$C8/[2]ALL!$B8*100</f>
        <v>8.7362991618310772</v>
      </c>
      <c r="D8">
        <f>[3]ALL!$C8/[3]ALL!$B8*100</f>
        <v>10.885077675899092</v>
      </c>
      <c r="G8" t="str">
        <v>PMC Abstracts</v>
      </c>
      <c r="H8">
        <v>3.8461538461538463</v>
      </c>
      <c r="I8">
        <v>5.7724252491694354</v>
      </c>
      <c r="J8">
        <v>5.8510638297872344</v>
      </c>
      <c r="K8">
        <v>7.0337477797513319</v>
      </c>
      <c r="L8">
        <v>7.4145712443584779</v>
      </c>
      <c r="M8">
        <v>7.6009501187648461</v>
      </c>
      <c r="N8">
        <v>8.7362991618310772</v>
      </c>
      <c r="O8">
        <v>9.001233045622687</v>
      </c>
      <c r="P8">
        <v>9.5878398129201994</v>
      </c>
      <c r="Q8">
        <v>10.352673492605232</v>
      </c>
      <c r="R8">
        <v>9.2355857031046185</v>
      </c>
      <c r="S8">
        <v>9.2367825550298299</v>
      </c>
      <c r="T8">
        <v>9.8607038123167143</v>
      </c>
      <c r="U8">
        <v>10.444234404536862</v>
      </c>
      <c r="V8">
        <v>10.864770748694138</v>
      </c>
      <c r="W8">
        <v>10.452643590718905</v>
      </c>
      <c r="X8">
        <v>11.300919842312746</v>
      </c>
      <c r="Y8">
        <v>10.967082396237988</v>
      </c>
      <c r="Z8">
        <v>10.403037533030608</v>
      </c>
      <c r="AA8">
        <v>10.578574799433694</v>
      </c>
      <c r="AB8">
        <v>11.44964988329443</v>
      </c>
      <c r="AC8">
        <v>12.06462720169514</v>
      </c>
      <c r="AD8">
        <v>13.160828625235405</v>
      </c>
      <c r="AE8">
        <v>14.261560571476878</v>
      </c>
      <c r="AF8">
        <v>14.792685860935121</v>
      </c>
      <c r="AG8">
        <v>15.229430379746836</v>
      </c>
      <c r="AH8">
        <v>15.581837016574585</v>
      </c>
      <c r="AI8">
        <v>15.676047953928791</v>
      </c>
      <c r="AJ8">
        <v>15.783704672489762</v>
      </c>
      <c r="AK8">
        <v>15.992093748588642</v>
      </c>
      <c r="AL8">
        <v>15.805443945012101</v>
      </c>
      <c r="AM8">
        <v>16.530185713545453</v>
      </c>
      <c r="AN8">
        <v>16.835609553809523</v>
      </c>
      <c r="AO8">
        <v>16.781338021165624</v>
      </c>
      <c r="AP8">
        <v>17.559475741942169</v>
      </c>
      <c r="AQ8">
        <v>19.461083093249805</v>
      </c>
    </row>
    <row r="9" spans="1:43" x14ac:dyDescent="0.3">
      <c r="A9" s="1">
        <v>1997</v>
      </c>
      <c r="B9">
        <f>[1]ALL!$C9/[1]ALL!$B9*100</f>
        <v>17.729204614450516</v>
      </c>
      <c r="C9">
        <f>[2]ALL!$C9/[2]ALL!$B9*100</f>
        <v>9.001233045622687</v>
      </c>
      <c r="D9">
        <f>[3]ALL!$C9/[3]ALL!$B9*100</f>
        <v>11.278772142190517</v>
      </c>
      <c r="G9" t="str">
        <v>PubMed Abstracts</v>
      </c>
      <c r="H9">
        <v>7.4922142969904844</v>
      </c>
      <c r="I9">
        <v>8.0870050195203582</v>
      </c>
      <c r="J9">
        <v>8.7406741760882749</v>
      </c>
      <c r="K9">
        <v>9.3137690724187685</v>
      </c>
      <c r="L9">
        <v>9.8484268417320546</v>
      </c>
      <c r="M9">
        <v>10.328659721908281</v>
      </c>
      <c r="N9">
        <v>10.885077675899092</v>
      </c>
      <c r="O9">
        <v>11.278772142190517</v>
      </c>
      <c r="P9">
        <v>11.337926491820825</v>
      </c>
      <c r="Q9">
        <v>11.72828551146122</v>
      </c>
      <c r="R9">
        <v>11.322342125238199</v>
      </c>
      <c r="S9">
        <v>11.594853456667458</v>
      </c>
      <c r="T9">
        <v>11.862182353110848</v>
      </c>
      <c r="U9">
        <v>12.377194341007494</v>
      </c>
      <c r="V9">
        <v>12.676840607112061</v>
      </c>
      <c r="W9">
        <v>13.102711092290559</v>
      </c>
      <c r="X9">
        <v>13.125184327942478</v>
      </c>
      <c r="Y9">
        <v>13.536554113452862</v>
      </c>
      <c r="Z9">
        <v>13.979206194949636</v>
      </c>
      <c r="AA9">
        <v>14.32795047215833</v>
      </c>
      <c r="AB9">
        <v>14.645641271785365</v>
      </c>
      <c r="AC9">
        <v>15.203296222069953</v>
      </c>
      <c r="AD9">
        <v>15.665689399803734</v>
      </c>
      <c r="AE9">
        <v>16.239176395104092</v>
      </c>
      <c r="AF9">
        <v>16.711395693923428</v>
      </c>
      <c r="AG9">
        <v>17.318446487825607</v>
      </c>
      <c r="AH9">
        <v>17.598548329989377</v>
      </c>
      <c r="AI9">
        <v>17.845313571181705</v>
      </c>
      <c r="AJ9">
        <v>18.038837711311086</v>
      </c>
      <c r="AK9">
        <v>18.037654943366718</v>
      </c>
      <c r="AL9">
        <v>18.397820926048926</v>
      </c>
      <c r="AM9">
        <v>18.5436095484154</v>
      </c>
      <c r="AN9">
        <v>18.031976808029341</v>
      </c>
      <c r="AO9">
        <v>18.226438453555172</v>
      </c>
      <c r="AP9">
        <v>18.085418722597812</v>
      </c>
      <c r="AQ9">
        <v>18.338838624583488</v>
      </c>
    </row>
    <row r="10" spans="1:43" x14ac:dyDescent="0.3">
      <c r="A10" s="1">
        <v>1998</v>
      </c>
      <c r="B10">
        <f>[1]ALL!$C10/[1]ALL!$B10*100</f>
        <v>20.479178551055334</v>
      </c>
      <c r="C10">
        <f>[2]ALL!$C10/[2]ALL!$B10*100</f>
        <v>9.5878398129201994</v>
      </c>
      <c r="D10">
        <f>[3]ALL!$C10/[3]ALL!$B10*100</f>
        <v>11.337926491820825</v>
      </c>
    </row>
    <row r="11" spans="1:43" x14ac:dyDescent="0.3">
      <c r="A11" s="1">
        <v>1999</v>
      </c>
      <c r="B11">
        <f>[1]ALL!$C11/[1]ALL!$B11*100</f>
        <v>20.876288659793815</v>
      </c>
      <c r="C11">
        <f>[2]ALL!$C11/[2]ALL!$B11*100</f>
        <v>10.352673492605232</v>
      </c>
      <c r="D11">
        <f>[3]ALL!$C11/[3]ALL!$B11*100</f>
        <v>11.72828551146122</v>
      </c>
    </row>
    <row r="12" spans="1:43" x14ac:dyDescent="0.3">
      <c r="A12" s="1">
        <v>2000</v>
      </c>
      <c r="B12">
        <f>[1]ALL!$C12/[1]ALL!$B12*100</f>
        <v>20.088954781319497</v>
      </c>
      <c r="C12">
        <f>[2]ALL!$C12/[2]ALL!$B12*100</f>
        <v>9.2355857031046185</v>
      </c>
      <c r="D12">
        <f>[3]ALL!$C12/[3]ALL!$B12*100</f>
        <v>11.322342125238199</v>
      </c>
    </row>
    <row r="13" spans="1:43" x14ac:dyDescent="0.3">
      <c r="A13" s="1">
        <v>2001</v>
      </c>
      <c r="B13">
        <f>[1]ALL!$C13/[1]ALL!$B13*100</f>
        <v>26.198767747120279</v>
      </c>
      <c r="C13">
        <f>[2]ALL!$C13/[2]ALL!$B13*100</f>
        <v>9.2367825550298299</v>
      </c>
      <c r="D13">
        <f>[3]ALL!$C13/[3]ALL!$B13*100</f>
        <v>11.594853456667458</v>
      </c>
    </row>
    <row r="14" spans="1:43" x14ac:dyDescent="0.3">
      <c r="A14" s="1">
        <v>2002</v>
      </c>
      <c r="B14">
        <f>[1]ALL!$C14/[1]ALL!$B14*100</f>
        <v>32.567275584364566</v>
      </c>
      <c r="C14">
        <f>[2]ALL!$C14/[2]ALL!$B14*100</f>
        <v>9.8607038123167143</v>
      </c>
      <c r="D14">
        <f>[3]ALL!$C14/[3]ALL!$B14*100</f>
        <v>11.862182353110848</v>
      </c>
    </row>
    <row r="15" spans="1:43" x14ac:dyDescent="0.3">
      <c r="A15" s="1">
        <v>2003</v>
      </c>
      <c r="B15">
        <f>[1]ALL!$C15/[1]ALL!$B15*100</f>
        <v>32.905067808708068</v>
      </c>
      <c r="C15">
        <f>[2]ALL!$C15/[2]ALL!$B15*100</f>
        <v>10.444234404536862</v>
      </c>
      <c r="D15">
        <f>[3]ALL!$C15/[3]ALL!$B15*100</f>
        <v>12.377194341007494</v>
      </c>
    </row>
    <row r="16" spans="1:43" x14ac:dyDescent="0.3">
      <c r="A16" s="1">
        <v>2004</v>
      </c>
      <c r="B16">
        <f>[1]ALL!$C16/[1]ALL!$B16*100</f>
        <v>33.447198906890499</v>
      </c>
      <c r="C16">
        <f>[2]ALL!$C16/[2]ALL!$B16*100</f>
        <v>10.864770748694138</v>
      </c>
      <c r="D16">
        <f>[3]ALL!$C16/[3]ALL!$B16*100</f>
        <v>12.676840607112061</v>
      </c>
    </row>
    <row r="17" spans="1:9" x14ac:dyDescent="0.3">
      <c r="A17" s="1">
        <v>2005</v>
      </c>
      <c r="B17">
        <f>[1]ALL!$C17/[1]ALL!$B17*100</f>
        <v>34.529434299578597</v>
      </c>
      <c r="C17">
        <f>[2]ALL!$C17/[2]ALL!$B17*100</f>
        <v>10.452643590718905</v>
      </c>
      <c r="D17">
        <f>[3]ALL!$C17/[3]ALL!$B17*100</f>
        <v>13.102711092290559</v>
      </c>
    </row>
    <row r="18" spans="1:9" x14ac:dyDescent="0.3">
      <c r="A18" s="1">
        <v>2006</v>
      </c>
      <c r="B18">
        <f>[1]ALL!$C18/[1]ALL!$B18*100</f>
        <v>36.345051109449017</v>
      </c>
      <c r="C18">
        <f>[2]ALL!$C18/[2]ALL!$B18*100</f>
        <v>11.300919842312746</v>
      </c>
      <c r="D18">
        <f>[3]ALL!$C18/[3]ALL!$B18*100</f>
        <v>13.125184327942478</v>
      </c>
    </row>
    <row r="19" spans="1:9" x14ac:dyDescent="0.3">
      <c r="A19" s="1">
        <v>2007</v>
      </c>
      <c r="B19">
        <f>[1]ALL!$C19/[1]ALL!$B19*100</f>
        <v>39.180500563042607</v>
      </c>
      <c r="C19">
        <f>[2]ALL!$C19/[2]ALL!$B19*100</f>
        <v>10.967082396237988</v>
      </c>
      <c r="D19">
        <f>[3]ALL!$C19/[3]ALL!$B19*100</f>
        <v>13.536554113452862</v>
      </c>
    </row>
    <row r="20" spans="1:9" x14ac:dyDescent="0.3">
      <c r="A20" s="1">
        <v>2008</v>
      </c>
      <c r="B20">
        <f>[1]ALL!$C20/[1]ALL!$B20*100</f>
        <v>38.070878842342964</v>
      </c>
      <c r="C20">
        <f>[2]ALL!$C20/[2]ALL!$B20*100</f>
        <v>10.403037533030608</v>
      </c>
      <c r="D20">
        <f>[3]ALL!$C20/[3]ALL!$B20*100</f>
        <v>13.979206194949636</v>
      </c>
    </row>
    <row r="21" spans="1:9" x14ac:dyDescent="0.3">
      <c r="A21" s="1">
        <v>2009</v>
      </c>
      <c r="B21">
        <f>[1]ALL!$C21/[1]ALL!$B21*100</f>
        <v>39.172261409025239</v>
      </c>
      <c r="C21">
        <f>[2]ALL!$C21/[2]ALL!$B21*100</f>
        <v>10.578574799433694</v>
      </c>
      <c r="D21">
        <f>[3]ALL!$C21/[3]ALL!$B21*100</f>
        <v>14.32795047215833</v>
      </c>
    </row>
    <row r="22" spans="1:9" x14ac:dyDescent="0.3">
      <c r="A22" s="1">
        <v>2010</v>
      </c>
      <c r="B22">
        <f>[1]ALL!$C22/[1]ALL!$B22*100</f>
        <v>41.657724652509174</v>
      </c>
      <c r="C22">
        <f>[2]ALL!$C22/[2]ALL!$B22*100</f>
        <v>11.44964988329443</v>
      </c>
      <c r="D22">
        <f>[3]ALL!$C22/[3]ALL!$B22*100</f>
        <v>14.645641271785365</v>
      </c>
    </row>
    <row r="23" spans="1:9" x14ac:dyDescent="0.3">
      <c r="A23" s="1">
        <v>2011</v>
      </c>
      <c r="B23">
        <f>[1]ALL!$C23/[1]ALL!$B23*100</f>
        <v>43.296107240368549</v>
      </c>
      <c r="C23">
        <f>[2]ALL!$C23/[2]ALL!$B23*100</f>
        <v>12.06462720169514</v>
      </c>
      <c r="D23">
        <f>[3]ALL!$C23/[3]ALL!$B23*100</f>
        <v>15.203296222069953</v>
      </c>
    </row>
    <row r="24" spans="1:9" x14ac:dyDescent="0.3">
      <c r="A24" s="1">
        <v>2012</v>
      </c>
      <c r="B24">
        <f>[1]ALL!$C24/[1]ALL!$B24*100</f>
        <v>46.002066186380958</v>
      </c>
      <c r="C24">
        <f>[2]ALL!$C24/[2]ALL!$B24*100</f>
        <v>13.160828625235405</v>
      </c>
      <c r="D24">
        <f>[3]ALL!$C24/[3]ALL!$B24*100</f>
        <v>15.665689399803734</v>
      </c>
    </row>
    <row r="25" spans="1:9" x14ac:dyDescent="0.3">
      <c r="A25" s="1">
        <v>2013</v>
      </c>
      <c r="B25">
        <f>[1]ALL!$C25/[1]ALL!$B25*100</f>
        <v>48.076257061841169</v>
      </c>
      <c r="C25">
        <f>[2]ALL!$C25/[2]ALL!$B25*100</f>
        <v>14.261560571476878</v>
      </c>
      <c r="D25">
        <f>[3]ALL!$C25/[3]ALL!$B25*100</f>
        <v>16.239176395104092</v>
      </c>
    </row>
    <row r="26" spans="1:9" x14ac:dyDescent="0.3">
      <c r="A26" s="1">
        <v>2014</v>
      </c>
      <c r="B26">
        <f>[1]ALL!$C26/[1]ALL!$B26*100</f>
        <v>48.130754607072376</v>
      </c>
      <c r="C26">
        <f>[2]ALL!$C26/[2]ALL!$B26*100</f>
        <v>14.792685860935121</v>
      </c>
      <c r="D26">
        <f>[3]ALL!$C26/[3]ALL!$B26*100</f>
        <v>16.711395693923428</v>
      </c>
    </row>
    <row r="27" spans="1:9" x14ac:dyDescent="0.3">
      <c r="A27" s="1">
        <v>2015</v>
      </c>
      <c r="B27">
        <f>[1]ALL!$C27/[1]ALL!$B27*100</f>
        <v>48.888862437956035</v>
      </c>
      <c r="C27">
        <f>[2]ALL!$C27/[2]ALL!$B27*100</f>
        <v>15.229430379746836</v>
      </c>
      <c r="D27">
        <f>[3]ALL!$C27/[3]ALL!$B27*100</f>
        <v>17.318446487825607</v>
      </c>
    </row>
    <row r="28" spans="1:9" x14ac:dyDescent="0.3">
      <c r="A28" s="1">
        <v>2016</v>
      </c>
      <c r="B28">
        <f>[1]ALL!$C28/[1]ALL!$B28*100</f>
        <v>50.404843533445188</v>
      </c>
      <c r="C28">
        <f>[2]ALL!$C28/[2]ALL!$B28*100</f>
        <v>15.581837016574585</v>
      </c>
      <c r="D28">
        <f>[3]ALL!$C28/[3]ALL!$B28*100</f>
        <v>17.598548329989377</v>
      </c>
    </row>
    <row r="29" spans="1:9" x14ac:dyDescent="0.3">
      <c r="A29" s="1">
        <v>2017</v>
      </c>
      <c r="B29">
        <f>[1]ALL!$C29/[1]ALL!$B29*100</f>
        <v>51.334449044305472</v>
      </c>
      <c r="C29">
        <f>[2]ALL!$C29/[2]ALL!$B29*100</f>
        <v>15.676047953928791</v>
      </c>
      <c r="D29">
        <f>[3]ALL!$C29/[3]ALL!$B29*100</f>
        <v>17.845313571181705</v>
      </c>
    </row>
    <row r="30" spans="1:9" x14ac:dyDescent="0.3">
      <c r="A30" s="1">
        <v>2018</v>
      </c>
      <c r="B30">
        <f>[1]ALL!$C30/[1]ALL!$B30*100</f>
        <v>50.144983910322146</v>
      </c>
      <c r="C30">
        <f>[2]ALL!$C30/[2]ALL!$B30*100</f>
        <v>15.783704672489762</v>
      </c>
      <c r="D30">
        <f>[3]ALL!$C30/[3]ALL!$B30*100</f>
        <v>18.038837711311086</v>
      </c>
      <c r="G30" s="1" t="s">
        <v>8</v>
      </c>
      <c r="H30" s="1" t="s">
        <v>12</v>
      </c>
      <c r="I30" s="1" t="s">
        <v>13</v>
      </c>
    </row>
    <row r="31" spans="1:9" x14ac:dyDescent="0.3">
      <c r="A31" s="1">
        <v>2019</v>
      </c>
      <c r="B31">
        <f>[1]ALL!$C31/[1]ALL!$B31*100</f>
        <v>50.826302335469528</v>
      </c>
      <c r="C31">
        <f>[2]ALL!$C31/[2]ALL!$B31*100</f>
        <v>15.992093748588642</v>
      </c>
      <c r="D31">
        <f>[3]ALL!$C31/[3]ALL!$B31*100</f>
        <v>18.037654943366718</v>
      </c>
      <c r="G31" t="s">
        <v>17</v>
      </c>
      <c r="H31" s="1">
        <f>[1]ALL!$B$38</f>
        <v>6397787</v>
      </c>
      <c r="I31" s="1" t="str">
        <f>[1]ALL!$C$38 &amp; " (" &amp; [1]ALL!$C$40 &amp; "-" &amp; [1]ALL!$C$39 &amp; ")"</f>
        <v>3154830 (11-384088)</v>
      </c>
    </row>
    <row r="32" spans="1:9" x14ac:dyDescent="0.3">
      <c r="A32" s="1">
        <v>2020</v>
      </c>
      <c r="B32">
        <f>[1]ALL!$C32/[1]ALL!$B32*100</f>
        <v>47.951682319366732</v>
      </c>
      <c r="C32">
        <f>[2]ALL!$C32/[2]ALL!$B32*100</f>
        <v>15.805443945012101</v>
      </c>
      <c r="D32">
        <f>[3]ALL!$C32/[3]ALL!$B32*100</f>
        <v>18.397820926048926</v>
      </c>
      <c r="G32" t="s">
        <v>16</v>
      </c>
      <c r="H32" s="1">
        <f>[2]ALL!$B$38</f>
        <v>6031459</v>
      </c>
      <c r="I32" s="1" t="str">
        <f>[2]ALL!$C$38 &amp; " (" &amp; [2]ALL!$C$40 &amp; "-" &amp; [2]ALL!$C$39 &amp; ")"</f>
        <v>974002 (90-122606)</v>
      </c>
    </row>
    <row r="33" spans="1:9" x14ac:dyDescent="0.3">
      <c r="A33" s="1">
        <v>2021</v>
      </c>
      <c r="B33">
        <f>[1]ALL!$C33/[1]ALL!$B33*100</f>
        <v>49.52993268317433</v>
      </c>
      <c r="C33">
        <f>[2]ALL!$C33/[2]ALL!$B33*100</f>
        <v>16.530185713545453</v>
      </c>
      <c r="D33">
        <f>[3]ALL!$C33/[3]ALL!$B33*100</f>
        <v>18.5436095484154</v>
      </c>
      <c r="G33" t="s">
        <v>15</v>
      </c>
      <c r="H33" s="1">
        <f>[3]ALL!$B$38</f>
        <v>22734796</v>
      </c>
      <c r="I33" s="1" t="str">
        <f>[3]ALL!$C$38 &amp; " (" &amp; [3]ALL!$C$40 &amp; "-" &amp; [3]ALL!$C$39 &amp; ")"</f>
        <v>3500485 (20882-206278)</v>
      </c>
    </row>
    <row r="34" spans="1:9" x14ac:dyDescent="0.3">
      <c r="A34" s="1">
        <v>2022</v>
      </c>
      <c r="B34">
        <f>[1]ALL!$C34/[1]ALL!$B34*100</f>
        <v>49.900546571617511</v>
      </c>
      <c r="C34">
        <f>[2]ALL!$C34/[2]ALL!$B34*100</f>
        <v>16.835609553809523</v>
      </c>
      <c r="D34">
        <f>[3]ALL!$C34/[3]ALL!$B34*100</f>
        <v>18.031976808029341</v>
      </c>
      <c r="G34" s="1"/>
      <c r="H34" s="1"/>
      <c r="I34" s="1"/>
    </row>
    <row r="35" spans="1:9" x14ac:dyDescent="0.3">
      <c r="A35" s="1">
        <v>2023</v>
      </c>
      <c r="B35">
        <f>[1]ALL!$C35/[1]ALL!$B35*100</f>
        <v>49.370176425614169</v>
      </c>
      <c r="C35">
        <f>[2]ALL!$C35/[2]ALL!$B35*100</f>
        <v>16.781338021165624</v>
      </c>
      <c r="D35">
        <f>[3]ALL!$C35/[3]ALL!$B35*100</f>
        <v>18.226438453555172</v>
      </c>
      <c r="G35" s="1"/>
      <c r="H35" s="1"/>
      <c r="I35" s="1"/>
    </row>
    <row r="36" spans="1:9" x14ac:dyDescent="0.3">
      <c r="A36" s="1">
        <v>2024</v>
      </c>
      <c r="B36">
        <f>[1]ALL!$C36/[1]ALL!$B36*100</f>
        <v>51.019372538582019</v>
      </c>
      <c r="C36">
        <f>[2]ALL!$C36/[2]ALL!$B36*100</f>
        <v>17.559475741942169</v>
      </c>
      <c r="D36">
        <f>[3]ALL!$C36/[3]ALL!$B36*100</f>
        <v>18.085418722597812</v>
      </c>
      <c r="G36" s="1"/>
      <c r="H36" s="1"/>
      <c r="I36" s="1"/>
    </row>
    <row r="37" spans="1:9" x14ac:dyDescent="0.3">
      <c r="A37" s="1">
        <v>2025</v>
      </c>
      <c r="B37">
        <f>[1]ALL!$C37/[1]ALL!$B37*100</f>
        <v>53.317368509289324</v>
      </c>
      <c r="C37">
        <f>[2]ALL!$C37/[2]ALL!$B37*100</f>
        <v>19.461083093249805</v>
      </c>
      <c r="D37">
        <f>[3]ALL!$C37/[3]ALL!$B37*100</f>
        <v>18.338838624583488</v>
      </c>
      <c r="G37" s="1"/>
      <c r="H37" s="1"/>
      <c r="I37" s="1"/>
    </row>
    <row r="38" spans="1:9" x14ac:dyDescent="0.3">
      <c r="A38" s="1" t="s">
        <v>5</v>
      </c>
      <c r="G38" s="1"/>
      <c r="H38" s="1"/>
      <c r="I38" s="1"/>
    </row>
    <row r="39" spans="1:9" x14ac:dyDescent="0.3">
      <c r="A39" s="1" t="s">
        <v>6</v>
      </c>
    </row>
    <row r="40" spans="1:9" x14ac:dyDescent="0.3">
      <c r="A40" s="1" t="s">
        <v>7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14E93-F041-489E-AF05-A0E412C0B97C}">
  <dimension ref="A1:AQ40"/>
  <sheetViews>
    <sheetView zoomScale="85" zoomScaleNormal="85" workbookViewId="0">
      <selection activeCell="I32" sqref="I32"/>
    </sheetView>
  </sheetViews>
  <sheetFormatPr defaultRowHeight="16.5" x14ac:dyDescent="0.3"/>
  <cols>
    <col min="1" max="1" width="9" style="1"/>
  </cols>
  <sheetData>
    <row r="1" spans="1:43" x14ac:dyDescent="0.3">
      <c r="A1" s="1" t="s">
        <v>4</v>
      </c>
      <c r="B1" t="s">
        <v>17</v>
      </c>
      <c r="C1" t="s">
        <v>16</v>
      </c>
      <c r="D1" t="s">
        <v>15</v>
      </c>
      <c r="F1" t="s">
        <v>3</v>
      </c>
      <c r="G1" t="str">
        <f t="shared" ref="G1:AQ4" si="0">G6</f>
        <v>Year</v>
      </c>
      <c r="H1">
        <f t="shared" si="0"/>
        <v>1990</v>
      </c>
      <c r="M1">
        <f t="shared" si="0"/>
        <v>1995</v>
      </c>
      <c r="R1">
        <f t="shared" si="0"/>
        <v>2000</v>
      </c>
      <c r="W1">
        <f t="shared" si="0"/>
        <v>2005</v>
      </c>
      <c r="AB1">
        <f t="shared" si="0"/>
        <v>2010</v>
      </c>
      <c r="AG1">
        <f t="shared" si="0"/>
        <v>2015</v>
      </c>
      <c r="AL1">
        <f t="shared" si="0"/>
        <v>2020</v>
      </c>
      <c r="AQ1">
        <f t="shared" si="0"/>
        <v>2025</v>
      </c>
    </row>
    <row r="2" spans="1:43" x14ac:dyDescent="0.3">
      <c r="A2" s="1">
        <v>1990</v>
      </c>
      <c r="B2">
        <f>[1]ALL!$D2/[1]ALL!$C2*100</f>
        <v>100</v>
      </c>
      <c r="C2">
        <f>[2]ALL!$D2/[2]ALL!$C2*100</f>
        <v>95.555555555555557</v>
      </c>
      <c r="D2">
        <f>[3]ALL!$D2/[3]ALL!$C2*100</f>
        <v>98.003064840532517</v>
      </c>
      <c r="G2" t="str">
        <f t="shared" si="0"/>
        <v>PMC Full-texts</v>
      </c>
      <c r="H2">
        <f t="shared" si="0"/>
        <v>100</v>
      </c>
      <c r="I2">
        <f t="shared" si="0"/>
        <v>100</v>
      </c>
      <c r="J2">
        <f t="shared" si="0"/>
        <v>85.714285714285708</v>
      </c>
      <c r="K2">
        <f t="shared" si="0"/>
        <v>100</v>
      </c>
      <c r="L2">
        <f t="shared" si="0"/>
        <v>91.17647058823529</v>
      </c>
      <c r="M2">
        <f t="shared" si="0"/>
        <v>90.625</v>
      </c>
      <c r="N2">
        <f t="shared" si="0"/>
        <v>95.348837209302332</v>
      </c>
      <c r="O2">
        <f t="shared" si="0"/>
        <v>95.205479452054803</v>
      </c>
      <c r="P2">
        <f t="shared" si="0"/>
        <v>96.378830083565461</v>
      </c>
      <c r="Q2">
        <f t="shared" si="0"/>
        <v>94.320987654320987</v>
      </c>
      <c r="R2">
        <f t="shared" si="0"/>
        <v>95.756457564575641</v>
      </c>
      <c r="S2">
        <f t="shared" si="0"/>
        <v>96.421267893660527</v>
      </c>
      <c r="T2">
        <f t="shared" si="0"/>
        <v>96.260554885404105</v>
      </c>
      <c r="U2">
        <f t="shared" si="0"/>
        <v>95.618221258134497</v>
      </c>
      <c r="V2">
        <f t="shared" si="0"/>
        <v>95.302013422818789</v>
      </c>
      <c r="W2">
        <f t="shared" si="0"/>
        <v>96.394230769230774</v>
      </c>
      <c r="X2">
        <f t="shared" si="0"/>
        <v>95.541226505693515</v>
      </c>
      <c r="Y2">
        <f t="shared" si="0"/>
        <v>96.161691081030966</v>
      </c>
      <c r="Z2">
        <f t="shared" si="0"/>
        <v>96.362425856433845</v>
      </c>
      <c r="AA2">
        <f t="shared" si="0"/>
        <v>96.502798628888797</v>
      </c>
      <c r="AB2">
        <f t="shared" si="0"/>
        <v>96.669362326654081</v>
      </c>
      <c r="AC2">
        <f t="shared" si="0"/>
        <v>96.910195300965967</v>
      </c>
      <c r="AD2">
        <f t="shared" si="0"/>
        <v>97.206936553734494</v>
      </c>
      <c r="AE2">
        <f t="shared" si="0"/>
        <v>97.143275215830172</v>
      </c>
      <c r="AF2">
        <f t="shared" si="0"/>
        <v>97.17132483323482</v>
      </c>
      <c r="AG2">
        <f t="shared" si="0"/>
        <v>97.238250594470017</v>
      </c>
      <c r="AH2">
        <f t="shared" si="0"/>
        <v>97.40086830680174</v>
      </c>
      <c r="AI2">
        <f t="shared" si="0"/>
        <v>97.334070515264742</v>
      </c>
      <c r="AJ2">
        <f t="shared" si="0"/>
        <v>97.316737773703323</v>
      </c>
      <c r="AK2">
        <f t="shared" si="0"/>
        <v>97.321514062681103</v>
      </c>
      <c r="AL2">
        <f t="shared" si="0"/>
        <v>97.308568262957039</v>
      </c>
      <c r="AM2">
        <f t="shared" si="0"/>
        <v>97.395825578382826</v>
      </c>
      <c r="AN2">
        <f t="shared" si="0"/>
        <v>97.512288850471762</v>
      </c>
      <c r="AO2">
        <f t="shared" si="0"/>
        <v>97.522783785600126</v>
      </c>
      <c r="AP2">
        <f t="shared" si="0"/>
        <v>97.635522483890938</v>
      </c>
      <c r="AQ2">
        <f t="shared" si="0"/>
        <v>97.722473335358117</v>
      </c>
    </row>
    <row r="3" spans="1:43" x14ac:dyDescent="0.3">
      <c r="A3" s="1">
        <v>1991</v>
      </c>
      <c r="B3">
        <f>[1]ALL!$D3/[1]ALL!$C3*100</f>
        <v>100</v>
      </c>
      <c r="C3">
        <f>[2]ALL!$D3/[2]ALL!$C3*100</f>
        <v>97.122302158273371</v>
      </c>
      <c r="D3">
        <f>[3]ALL!$D3/[3]ALL!$C3*100</f>
        <v>98.005710520535914</v>
      </c>
      <c r="G3" t="str">
        <f t="shared" si="0"/>
        <v>PMC Abstracts</v>
      </c>
      <c r="H3">
        <f t="shared" si="0"/>
        <v>95.555555555555557</v>
      </c>
      <c r="I3">
        <f t="shared" si="0"/>
        <v>97.122302158273371</v>
      </c>
      <c r="J3">
        <f t="shared" si="0"/>
        <v>97.2027972027972</v>
      </c>
      <c r="K3">
        <f t="shared" si="0"/>
        <v>95.959595959595958</v>
      </c>
      <c r="L3">
        <f t="shared" si="0"/>
        <v>97.826086956521735</v>
      </c>
      <c r="M3">
        <f t="shared" si="0"/>
        <v>95.982142857142861</v>
      </c>
      <c r="N3">
        <f t="shared" si="0"/>
        <v>95.571955719557195</v>
      </c>
      <c r="O3">
        <f t="shared" si="0"/>
        <v>93.835616438356169</v>
      </c>
      <c r="P3">
        <f t="shared" si="0"/>
        <v>95.121951219512198</v>
      </c>
      <c r="Q3">
        <f t="shared" si="0"/>
        <v>97.527472527472526</v>
      </c>
      <c r="R3">
        <f t="shared" si="0"/>
        <v>94.915254237288138</v>
      </c>
      <c r="S3">
        <f t="shared" si="0"/>
        <v>94.209354120267264</v>
      </c>
      <c r="T3">
        <f t="shared" si="0"/>
        <v>96.096654275092945</v>
      </c>
      <c r="U3">
        <f t="shared" si="0"/>
        <v>95.625942684766216</v>
      </c>
      <c r="V3">
        <f t="shared" si="0"/>
        <v>94.230769230769226</v>
      </c>
      <c r="W3">
        <f t="shared" si="0"/>
        <v>95.196506550218345</v>
      </c>
      <c r="X3">
        <f t="shared" si="0"/>
        <v>94.641051567239629</v>
      </c>
      <c r="Y3">
        <f t="shared" si="0"/>
        <v>95.302013422818789</v>
      </c>
      <c r="Z3">
        <f t="shared" si="0"/>
        <v>95.265104808877936</v>
      </c>
      <c r="AA3">
        <f t="shared" si="0"/>
        <v>95.289079229122052</v>
      </c>
      <c r="AB3">
        <f t="shared" si="0"/>
        <v>95.340371314160905</v>
      </c>
      <c r="AC3">
        <f t="shared" si="0"/>
        <v>95.220805539137046</v>
      </c>
      <c r="AD3">
        <f t="shared" si="0"/>
        <v>95.85598992616336</v>
      </c>
      <c r="AE3">
        <f t="shared" si="0"/>
        <v>95.4229824709967</v>
      </c>
      <c r="AF3">
        <f t="shared" si="0"/>
        <v>95.601789102737868</v>
      </c>
      <c r="AG3">
        <f t="shared" si="0"/>
        <v>95.461841529257256</v>
      </c>
      <c r="AH3">
        <f t="shared" si="0"/>
        <v>95.482246285570383</v>
      </c>
      <c r="AI3">
        <f t="shared" si="0"/>
        <v>95.195937741472562</v>
      </c>
      <c r="AJ3">
        <f t="shared" si="0"/>
        <v>95.142738769309688</v>
      </c>
      <c r="AK3">
        <f t="shared" si="0"/>
        <v>95.267127383879327</v>
      </c>
      <c r="AL3">
        <f t="shared" si="0"/>
        <v>95.485233658959757</v>
      </c>
      <c r="AM3">
        <f t="shared" si="0"/>
        <v>95.550531485404335</v>
      </c>
      <c r="AN3">
        <f t="shared" si="0"/>
        <v>95.589122881425055</v>
      </c>
      <c r="AO3">
        <f t="shared" si="0"/>
        <v>95.518033623864923</v>
      </c>
      <c r="AP3">
        <f t="shared" si="0"/>
        <v>95.602450410426385</v>
      </c>
      <c r="AQ3">
        <f t="shared" si="0"/>
        <v>95.978219526354764</v>
      </c>
    </row>
    <row r="4" spans="1:43" x14ac:dyDescent="0.3">
      <c r="A4" s="1">
        <v>1992</v>
      </c>
      <c r="B4">
        <f>[1]ALL!$D4/[1]ALL!$C4*100</f>
        <v>85.714285714285708</v>
      </c>
      <c r="C4">
        <f>[2]ALL!$D4/[2]ALL!$C4*100</f>
        <v>97.2027972027972</v>
      </c>
      <c r="D4">
        <f>[3]ALL!$D4/[3]ALL!$C4*100</f>
        <v>98.007571229328548</v>
      </c>
      <c r="G4" t="str">
        <f t="shared" si="0"/>
        <v>PubMed Abstracts</v>
      </c>
      <c r="H4">
        <f t="shared" si="0"/>
        <v>98.003064840532517</v>
      </c>
      <c r="I4">
        <f t="shared" si="0"/>
        <v>98.005710520535914</v>
      </c>
      <c r="J4">
        <f t="shared" si="0"/>
        <v>98.007571229328548</v>
      </c>
      <c r="K4">
        <f t="shared" si="0"/>
        <v>97.474024305173117</v>
      </c>
      <c r="L4">
        <f t="shared" si="0"/>
        <v>97.278842578507934</v>
      </c>
      <c r="M4">
        <f t="shared" si="0"/>
        <v>97.061214281248041</v>
      </c>
      <c r="N4">
        <f t="shared" si="0"/>
        <v>97.081587523277463</v>
      </c>
      <c r="O4">
        <f t="shared" si="0"/>
        <v>96.897700584412036</v>
      </c>
      <c r="P4">
        <f t="shared" si="0"/>
        <v>96.700988147418116</v>
      </c>
      <c r="Q4">
        <f t="shared" si="0"/>
        <v>96.680740975764522</v>
      </c>
      <c r="R4">
        <f t="shared" si="0"/>
        <v>96.387801504887378</v>
      </c>
      <c r="S4">
        <f t="shared" si="0"/>
        <v>96.530949584583936</v>
      </c>
      <c r="T4">
        <f t="shared" si="0"/>
        <v>96.310030395136778</v>
      </c>
      <c r="U4">
        <f t="shared" si="0"/>
        <v>96.160890774894369</v>
      </c>
      <c r="V4">
        <f t="shared" si="0"/>
        <v>95.992657302542085</v>
      </c>
      <c r="W4">
        <f t="shared" si="0"/>
        <v>95.95375722543352</v>
      </c>
      <c r="X4">
        <f t="shared" si="0"/>
        <v>95.85682185516616</v>
      </c>
      <c r="Y4">
        <f t="shared" si="0"/>
        <v>95.88056267823336</v>
      </c>
      <c r="Z4">
        <f t="shared" si="0"/>
        <v>95.77701025126072</v>
      </c>
      <c r="AA4">
        <f t="shared" si="0"/>
        <v>95.70900912054806</v>
      </c>
      <c r="AB4">
        <f t="shared" si="0"/>
        <v>95.555869473089416</v>
      </c>
      <c r="AC4">
        <f t="shared" si="0"/>
        <v>95.571802539838529</v>
      </c>
      <c r="AD4">
        <f t="shared" si="0"/>
        <v>95.548915242630812</v>
      </c>
      <c r="AE4">
        <f t="shared" si="0"/>
        <v>95.406294305186719</v>
      </c>
      <c r="AF4">
        <f t="shared" si="0"/>
        <v>95.378073833427749</v>
      </c>
      <c r="AG4">
        <f t="shared" si="0"/>
        <v>95.30263973635266</v>
      </c>
      <c r="AH4">
        <f t="shared" si="0"/>
        <v>95.145637328552908</v>
      </c>
      <c r="AI4">
        <f t="shared" si="0"/>
        <v>95.021716491834098</v>
      </c>
      <c r="AJ4">
        <f t="shared" si="0"/>
        <v>94.889567379902985</v>
      </c>
      <c r="AK4">
        <f t="shared" si="0"/>
        <v>94.938625011780232</v>
      </c>
      <c r="AL4">
        <f t="shared" si="0"/>
        <v>94.951005162560747</v>
      </c>
      <c r="AM4">
        <f t="shared" si="0"/>
        <v>94.960684125306628</v>
      </c>
      <c r="AN4">
        <f t="shared" si="0"/>
        <v>95.012991494630867</v>
      </c>
      <c r="AO4">
        <f t="shared" si="0"/>
        <v>95.064198485689147</v>
      </c>
      <c r="AP4">
        <f t="shared" si="0"/>
        <v>95.20526004310976</v>
      </c>
      <c r="AQ4">
        <f t="shared" si="0"/>
        <v>95.485982413942665</v>
      </c>
    </row>
    <row r="5" spans="1:43" x14ac:dyDescent="0.3">
      <c r="A5" s="1">
        <v>1993</v>
      </c>
      <c r="B5">
        <f>[1]ALL!$D5/[1]ALL!$C5*100</f>
        <v>100</v>
      </c>
      <c r="C5">
        <f>[2]ALL!$D5/[2]ALL!$C5*100</f>
        <v>95.959595959595958</v>
      </c>
      <c r="D5">
        <f>[3]ALL!$D5/[3]ALL!$C5*100</f>
        <v>97.474024305173117</v>
      </c>
    </row>
    <row r="6" spans="1:43" x14ac:dyDescent="0.3">
      <c r="A6" s="1">
        <v>1994</v>
      </c>
      <c r="B6">
        <f>[1]ALL!$D6/[1]ALL!$C6*100</f>
        <v>91.17647058823529</v>
      </c>
      <c r="C6">
        <f>[2]ALL!$D6/[2]ALL!$C6*100</f>
        <v>97.826086956521735</v>
      </c>
      <c r="D6">
        <f>[3]ALL!$D6/[3]ALL!$C6*100</f>
        <v>97.278842578507934</v>
      </c>
      <c r="G6" t="str" cm="1">
        <f t="array" ref="G6:AQ9">TRANSPOSE(A1:D37)</f>
        <v>Year</v>
      </c>
      <c r="H6">
        <v>1990</v>
      </c>
      <c r="I6">
        <v>1991</v>
      </c>
      <c r="J6">
        <v>1992</v>
      </c>
      <c r="K6">
        <v>1993</v>
      </c>
      <c r="L6">
        <v>1994</v>
      </c>
      <c r="M6">
        <v>1995</v>
      </c>
      <c r="N6">
        <v>1996</v>
      </c>
      <c r="O6">
        <v>1997</v>
      </c>
      <c r="P6">
        <v>1998</v>
      </c>
      <c r="Q6">
        <v>1999</v>
      </c>
      <c r="R6">
        <v>2000</v>
      </c>
      <c r="S6">
        <v>2001</v>
      </c>
      <c r="T6">
        <v>2002</v>
      </c>
      <c r="U6">
        <v>2003</v>
      </c>
      <c r="V6">
        <v>2004</v>
      </c>
      <c r="W6">
        <v>2005</v>
      </c>
      <c r="X6">
        <v>2006</v>
      </c>
      <c r="Y6">
        <v>2007</v>
      </c>
      <c r="Z6">
        <v>2008</v>
      </c>
      <c r="AA6">
        <v>2009</v>
      </c>
      <c r="AB6">
        <v>2010</v>
      </c>
      <c r="AC6">
        <v>2011</v>
      </c>
      <c r="AD6">
        <v>2012</v>
      </c>
      <c r="AE6">
        <v>2013</v>
      </c>
      <c r="AF6">
        <v>2014</v>
      </c>
      <c r="AG6">
        <v>2015</v>
      </c>
      <c r="AH6">
        <v>2016</v>
      </c>
      <c r="AI6">
        <v>2017</v>
      </c>
      <c r="AJ6">
        <v>2018</v>
      </c>
      <c r="AK6">
        <v>2019</v>
      </c>
      <c r="AL6">
        <v>2020</v>
      </c>
      <c r="AM6">
        <v>2021</v>
      </c>
      <c r="AN6">
        <v>2022</v>
      </c>
      <c r="AO6">
        <v>2023</v>
      </c>
      <c r="AP6">
        <v>2024</v>
      </c>
      <c r="AQ6">
        <v>2025</v>
      </c>
    </row>
    <row r="7" spans="1:43" x14ac:dyDescent="0.3">
      <c r="A7" s="1">
        <v>1995</v>
      </c>
      <c r="B7">
        <f>[1]ALL!$D7/[1]ALL!$C7*100</f>
        <v>90.625</v>
      </c>
      <c r="C7">
        <f>[2]ALL!$D7/[2]ALL!$C7*100</f>
        <v>95.982142857142861</v>
      </c>
      <c r="D7">
        <f>[3]ALL!$D7/[3]ALL!$C7*100</f>
        <v>97.061214281248041</v>
      </c>
      <c r="G7" t="str">
        <v>PMC Full-texts</v>
      </c>
      <c r="H7">
        <v>100</v>
      </c>
      <c r="I7">
        <v>100</v>
      </c>
      <c r="J7">
        <v>85.714285714285708</v>
      </c>
      <c r="K7">
        <v>100</v>
      </c>
      <c r="L7">
        <v>91.17647058823529</v>
      </c>
      <c r="M7">
        <v>90.625</v>
      </c>
      <c r="N7">
        <v>95.348837209302332</v>
      </c>
      <c r="O7">
        <v>95.205479452054803</v>
      </c>
      <c r="P7">
        <v>96.378830083565461</v>
      </c>
      <c r="Q7">
        <v>94.320987654320987</v>
      </c>
      <c r="R7">
        <v>95.756457564575641</v>
      </c>
      <c r="S7">
        <v>96.421267893660527</v>
      </c>
      <c r="T7">
        <v>96.260554885404105</v>
      </c>
      <c r="U7">
        <v>95.618221258134497</v>
      </c>
      <c r="V7">
        <v>95.302013422818789</v>
      </c>
      <c r="W7">
        <v>96.394230769230774</v>
      </c>
      <c r="X7">
        <v>95.541226505693515</v>
      </c>
      <c r="Y7">
        <v>96.161691081030966</v>
      </c>
      <c r="Z7">
        <v>96.362425856433845</v>
      </c>
      <c r="AA7">
        <v>96.502798628888797</v>
      </c>
      <c r="AB7">
        <v>96.669362326654081</v>
      </c>
      <c r="AC7">
        <v>96.910195300965967</v>
      </c>
      <c r="AD7">
        <v>97.206936553734494</v>
      </c>
      <c r="AE7">
        <v>97.143275215830172</v>
      </c>
      <c r="AF7">
        <v>97.17132483323482</v>
      </c>
      <c r="AG7">
        <v>97.238250594470017</v>
      </c>
      <c r="AH7">
        <v>97.40086830680174</v>
      </c>
      <c r="AI7">
        <v>97.334070515264742</v>
      </c>
      <c r="AJ7">
        <v>97.316737773703323</v>
      </c>
      <c r="AK7">
        <v>97.321514062681103</v>
      </c>
      <c r="AL7">
        <v>97.308568262957039</v>
      </c>
      <c r="AM7">
        <v>97.395825578382826</v>
      </c>
      <c r="AN7">
        <v>97.512288850471762</v>
      </c>
      <c r="AO7">
        <v>97.522783785600126</v>
      </c>
      <c r="AP7">
        <v>97.635522483890938</v>
      </c>
      <c r="AQ7">
        <v>97.722473335358117</v>
      </c>
    </row>
    <row r="8" spans="1:43" x14ac:dyDescent="0.3">
      <c r="A8" s="1">
        <v>1996</v>
      </c>
      <c r="B8">
        <f>[1]ALL!$D8/[1]ALL!$C8*100</f>
        <v>95.348837209302332</v>
      </c>
      <c r="C8">
        <f>[2]ALL!$D8/[2]ALL!$C8*100</f>
        <v>95.571955719557195</v>
      </c>
      <c r="D8">
        <f>[3]ALL!$D8/[3]ALL!$C8*100</f>
        <v>97.081587523277463</v>
      </c>
      <c r="G8" t="str">
        <v>PMC Abstracts</v>
      </c>
      <c r="H8">
        <v>95.555555555555557</v>
      </c>
      <c r="I8">
        <v>97.122302158273371</v>
      </c>
      <c r="J8">
        <v>97.2027972027972</v>
      </c>
      <c r="K8">
        <v>95.959595959595958</v>
      </c>
      <c r="L8">
        <v>97.826086956521735</v>
      </c>
      <c r="M8">
        <v>95.982142857142861</v>
      </c>
      <c r="N8">
        <v>95.571955719557195</v>
      </c>
      <c r="O8">
        <v>93.835616438356169</v>
      </c>
      <c r="P8">
        <v>95.121951219512198</v>
      </c>
      <c r="Q8">
        <v>97.527472527472526</v>
      </c>
      <c r="R8">
        <v>94.915254237288138</v>
      </c>
      <c r="S8">
        <v>94.209354120267264</v>
      </c>
      <c r="T8">
        <v>96.096654275092945</v>
      </c>
      <c r="U8">
        <v>95.625942684766216</v>
      </c>
      <c r="V8">
        <v>94.230769230769226</v>
      </c>
      <c r="W8">
        <v>95.196506550218345</v>
      </c>
      <c r="X8">
        <v>94.641051567239629</v>
      </c>
      <c r="Y8">
        <v>95.302013422818789</v>
      </c>
      <c r="Z8">
        <v>95.265104808877936</v>
      </c>
      <c r="AA8">
        <v>95.289079229122052</v>
      </c>
      <c r="AB8">
        <v>95.340371314160905</v>
      </c>
      <c r="AC8">
        <v>95.220805539137046</v>
      </c>
      <c r="AD8">
        <v>95.85598992616336</v>
      </c>
      <c r="AE8">
        <v>95.4229824709967</v>
      </c>
      <c r="AF8">
        <v>95.601789102737868</v>
      </c>
      <c r="AG8">
        <v>95.461841529257256</v>
      </c>
      <c r="AH8">
        <v>95.482246285570383</v>
      </c>
      <c r="AI8">
        <v>95.195937741472562</v>
      </c>
      <c r="AJ8">
        <v>95.142738769309688</v>
      </c>
      <c r="AK8">
        <v>95.267127383879327</v>
      </c>
      <c r="AL8">
        <v>95.485233658959757</v>
      </c>
      <c r="AM8">
        <v>95.550531485404335</v>
      </c>
      <c r="AN8">
        <v>95.589122881425055</v>
      </c>
      <c r="AO8">
        <v>95.518033623864923</v>
      </c>
      <c r="AP8">
        <v>95.602450410426385</v>
      </c>
      <c r="AQ8">
        <v>95.978219526354764</v>
      </c>
    </row>
    <row r="9" spans="1:43" x14ac:dyDescent="0.3">
      <c r="A9" s="1">
        <v>1997</v>
      </c>
      <c r="B9">
        <f>[1]ALL!$D9/[1]ALL!$C9*100</f>
        <v>95.205479452054803</v>
      </c>
      <c r="C9">
        <f>[2]ALL!$D9/[2]ALL!$C9*100</f>
        <v>93.835616438356169</v>
      </c>
      <c r="D9">
        <f>[3]ALL!$D9/[3]ALL!$C9*100</f>
        <v>96.897700584412036</v>
      </c>
      <c r="G9" t="str">
        <v>PubMed Abstracts</v>
      </c>
      <c r="H9">
        <v>98.003064840532517</v>
      </c>
      <c r="I9">
        <v>98.005710520535914</v>
      </c>
      <c r="J9">
        <v>98.007571229328548</v>
      </c>
      <c r="K9">
        <v>97.474024305173117</v>
      </c>
      <c r="L9">
        <v>97.278842578507934</v>
      </c>
      <c r="M9">
        <v>97.061214281248041</v>
      </c>
      <c r="N9">
        <v>97.081587523277463</v>
      </c>
      <c r="O9">
        <v>96.897700584412036</v>
      </c>
      <c r="P9">
        <v>96.700988147418116</v>
      </c>
      <c r="Q9">
        <v>96.680740975764522</v>
      </c>
      <c r="R9">
        <v>96.387801504887378</v>
      </c>
      <c r="S9">
        <v>96.530949584583936</v>
      </c>
      <c r="T9">
        <v>96.310030395136778</v>
      </c>
      <c r="U9">
        <v>96.160890774894369</v>
      </c>
      <c r="V9">
        <v>95.992657302542085</v>
      </c>
      <c r="W9">
        <v>95.95375722543352</v>
      </c>
      <c r="X9">
        <v>95.85682185516616</v>
      </c>
      <c r="Y9">
        <v>95.88056267823336</v>
      </c>
      <c r="Z9">
        <v>95.77701025126072</v>
      </c>
      <c r="AA9">
        <v>95.70900912054806</v>
      </c>
      <c r="AB9">
        <v>95.555869473089416</v>
      </c>
      <c r="AC9">
        <v>95.571802539838529</v>
      </c>
      <c r="AD9">
        <v>95.548915242630812</v>
      </c>
      <c r="AE9">
        <v>95.406294305186719</v>
      </c>
      <c r="AF9">
        <v>95.378073833427749</v>
      </c>
      <c r="AG9">
        <v>95.30263973635266</v>
      </c>
      <c r="AH9">
        <v>95.145637328552908</v>
      </c>
      <c r="AI9">
        <v>95.021716491834098</v>
      </c>
      <c r="AJ9">
        <v>94.889567379902985</v>
      </c>
      <c r="AK9">
        <v>94.938625011780232</v>
      </c>
      <c r="AL9">
        <v>94.951005162560747</v>
      </c>
      <c r="AM9">
        <v>94.960684125306628</v>
      </c>
      <c r="AN9">
        <v>95.012991494630867</v>
      </c>
      <c r="AO9">
        <v>95.064198485689147</v>
      </c>
      <c r="AP9">
        <v>95.20526004310976</v>
      </c>
      <c r="AQ9">
        <v>95.485982413942665</v>
      </c>
    </row>
    <row r="10" spans="1:43" x14ac:dyDescent="0.3">
      <c r="A10" s="1">
        <v>1998</v>
      </c>
      <c r="B10">
        <f>[1]ALL!$D10/[1]ALL!$C10*100</f>
        <v>96.378830083565461</v>
      </c>
      <c r="C10">
        <f>[2]ALL!$D10/[2]ALL!$C10*100</f>
        <v>95.121951219512198</v>
      </c>
      <c r="D10">
        <f>[3]ALL!$D10/[3]ALL!$C10*100</f>
        <v>96.700988147418116</v>
      </c>
    </row>
    <row r="11" spans="1:43" x14ac:dyDescent="0.3">
      <c r="A11" s="1">
        <v>1999</v>
      </c>
      <c r="B11">
        <f>[1]ALL!$D11/[1]ALL!$C11*100</f>
        <v>94.320987654320987</v>
      </c>
      <c r="C11">
        <f>[2]ALL!$D11/[2]ALL!$C11*100</f>
        <v>97.527472527472526</v>
      </c>
      <c r="D11">
        <f>[3]ALL!$D11/[3]ALL!$C11*100</f>
        <v>96.680740975764522</v>
      </c>
    </row>
    <row r="12" spans="1:43" x14ac:dyDescent="0.3">
      <c r="A12" s="1">
        <v>2000</v>
      </c>
      <c r="B12">
        <f>[1]ALL!$D12/[1]ALL!$C12*100</f>
        <v>95.756457564575641</v>
      </c>
      <c r="C12">
        <f>[2]ALL!$D12/[2]ALL!$C12*100</f>
        <v>94.915254237288138</v>
      </c>
      <c r="D12">
        <f>[3]ALL!$D12/[3]ALL!$C12*100</f>
        <v>96.387801504887378</v>
      </c>
    </row>
    <row r="13" spans="1:43" x14ac:dyDescent="0.3">
      <c r="A13" s="1">
        <v>2001</v>
      </c>
      <c r="B13">
        <f>[1]ALL!$D13/[1]ALL!$C13*100</f>
        <v>96.421267893660527</v>
      </c>
      <c r="C13">
        <f>[2]ALL!$D13/[2]ALL!$C13*100</f>
        <v>94.209354120267264</v>
      </c>
      <c r="D13">
        <f>[3]ALL!$D13/[3]ALL!$C13*100</f>
        <v>96.530949584583936</v>
      </c>
    </row>
    <row r="14" spans="1:43" x14ac:dyDescent="0.3">
      <c r="A14" s="1">
        <v>2002</v>
      </c>
      <c r="B14">
        <f>[1]ALL!$D14/[1]ALL!$C14*100</f>
        <v>96.260554885404105</v>
      </c>
      <c r="C14">
        <f>[2]ALL!$D14/[2]ALL!$C14*100</f>
        <v>96.096654275092945</v>
      </c>
      <c r="D14">
        <f>[3]ALL!$D14/[3]ALL!$C14*100</f>
        <v>96.310030395136778</v>
      </c>
    </row>
    <row r="15" spans="1:43" x14ac:dyDescent="0.3">
      <c r="A15" s="1">
        <v>2003</v>
      </c>
      <c r="B15">
        <f>[1]ALL!$D15/[1]ALL!$C15*100</f>
        <v>95.618221258134497</v>
      </c>
      <c r="C15">
        <f>[2]ALL!$D15/[2]ALL!$C15*100</f>
        <v>95.625942684766216</v>
      </c>
      <c r="D15">
        <f>[3]ALL!$D15/[3]ALL!$C15*100</f>
        <v>96.160890774894369</v>
      </c>
    </row>
    <row r="16" spans="1:43" x14ac:dyDescent="0.3">
      <c r="A16" s="1">
        <v>2004</v>
      </c>
      <c r="B16">
        <f>[1]ALL!$D16/[1]ALL!$C16*100</f>
        <v>95.302013422818789</v>
      </c>
      <c r="C16">
        <f>[2]ALL!$D16/[2]ALL!$C16*100</f>
        <v>94.230769230769226</v>
      </c>
      <c r="D16">
        <f>[3]ALL!$D16/[3]ALL!$C16*100</f>
        <v>95.992657302542085</v>
      </c>
    </row>
    <row r="17" spans="1:9" x14ac:dyDescent="0.3">
      <c r="A17" s="1">
        <v>2005</v>
      </c>
      <c r="B17">
        <f>[1]ALL!$D17/[1]ALL!$C17*100</f>
        <v>96.394230769230774</v>
      </c>
      <c r="C17">
        <f>[2]ALL!$D17/[2]ALL!$C17*100</f>
        <v>95.196506550218345</v>
      </c>
      <c r="D17">
        <f>[3]ALL!$D17/[3]ALL!$C17*100</f>
        <v>95.95375722543352</v>
      </c>
    </row>
    <row r="18" spans="1:9" x14ac:dyDescent="0.3">
      <c r="A18" s="1">
        <v>2006</v>
      </c>
      <c r="B18">
        <f>[1]ALL!$D18/[1]ALL!$C18*100</f>
        <v>95.541226505693515</v>
      </c>
      <c r="C18">
        <f>[2]ALL!$D18/[2]ALL!$C18*100</f>
        <v>94.641051567239629</v>
      </c>
      <c r="D18">
        <f>[3]ALL!$D18/[3]ALL!$C18*100</f>
        <v>95.85682185516616</v>
      </c>
    </row>
    <row r="19" spans="1:9" x14ac:dyDescent="0.3">
      <c r="A19" s="1">
        <v>2007</v>
      </c>
      <c r="B19">
        <f>[1]ALL!$D19/[1]ALL!$C19*100</f>
        <v>96.161691081030966</v>
      </c>
      <c r="C19">
        <f>[2]ALL!$D19/[2]ALL!$C19*100</f>
        <v>95.302013422818789</v>
      </c>
      <c r="D19">
        <f>[3]ALL!$D19/[3]ALL!$C19*100</f>
        <v>95.88056267823336</v>
      </c>
    </row>
    <row r="20" spans="1:9" x14ac:dyDescent="0.3">
      <c r="A20" s="1">
        <v>2008</v>
      </c>
      <c r="B20">
        <f>[1]ALL!$D20/[1]ALL!$C20*100</f>
        <v>96.362425856433845</v>
      </c>
      <c r="C20">
        <f>[2]ALL!$D20/[2]ALL!$C20*100</f>
        <v>95.265104808877936</v>
      </c>
      <c r="D20">
        <f>[3]ALL!$D20/[3]ALL!$C20*100</f>
        <v>95.77701025126072</v>
      </c>
    </row>
    <row r="21" spans="1:9" x14ac:dyDescent="0.3">
      <c r="A21" s="1">
        <v>2009</v>
      </c>
      <c r="B21">
        <f>[1]ALL!$D21/[1]ALL!$C21*100</f>
        <v>96.502798628888797</v>
      </c>
      <c r="C21">
        <f>[2]ALL!$D21/[2]ALL!$C21*100</f>
        <v>95.289079229122052</v>
      </c>
      <c r="D21">
        <f>[3]ALL!$D21/[3]ALL!$C21*100</f>
        <v>95.70900912054806</v>
      </c>
    </row>
    <row r="22" spans="1:9" x14ac:dyDescent="0.3">
      <c r="A22" s="1">
        <v>2010</v>
      </c>
      <c r="B22">
        <f>[1]ALL!$D22/[1]ALL!$C22*100</f>
        <v>96.669362326654081</v>
      </c>
      <c r="C22">
        <f>[2]ALL!$D22/[2]ALL!$C22*100</f>
        <v>95.340371314160905</v>
      </c>
      <c r="D22">
        <f>[3]ALL!$D22/[3]ALL!$C22*100</f>
        <v>95.555869473089416</v>
      </c>
    </row>
    <row r="23" spans="1:9" x14ac:dyDescent="0.3">
      <c r="A23" s="1">
        <v>2011</v>
      </c>
      <c r="B23">
        <f>[1]ALL!$D23/[1]ALL!$C23*100</f>
        <v>96.910195300965967</v>
      </c>
      <c r="C23">
        <f>[2]ALL!$D23/[2]ALL!$C23*100</f>
        <v>95.220805539137046</v>
      </c>
      <c r="D23">
        <f>[3]ALL!$D23/[3]ALL!$C23*100</f>
        <v>95.571802539838529</v>
      </c>
    </row>
    <row r="24" spans="1:9" x14ac:dyDescent="0.3">
      <c r="A24" s="1">
        <v>2012</v>
      </c>
      <c r="B24">
        <f>[1]ALL!$D24/[1]ALL!$C24*100</f>
        <v>97.206936553734494</v>
      </c>
      <c r="C24">
        <f>[2]ALL!$D24/[2]ALL!$C24*100</f>
        <v>95.85598992616336</v>
      </c>
      <c r="D24">
        <f>[3]ALL!$D24/[3]ALL!$C24*100</f>
        <v>95.548915242630812</v>
      </c>
    </row>
    <row r="25" spans="1:9" x14ac:dyDescent="0.3">
      <c r="A25" s="1">
        <v>2013</v>
      </c>
      <c r="B25">
        <f>[1]ALL!$D25/[1]ALL!$C25*100</f>
        <v>97.143275215830172</v>
      </c>
      <c r="C25">
        <f>[2]ALL!$D25/[2]ALL!$C25*100</f>
        <v>95.4229824709967</v>
      </c>
      <c r="D25">
        <f>[3]ALL!$D25/[3]ALL!$C25*100</f>
        <v>95.406294305186719</v>
      </c>
    </row>
    <row r="26" spans="1:9" x14ac:dyDescent="0.3">
      <c r="A26" s="1">
        <v>2014</v>
      </c>
      <c r="B26">
        <f>[1]ALL!$D26/[1]ALL!$C26*100</f>
        <v>97.17132483323482</v>
      </c>
      <c r="C26">
        <f>[2]ALL!$D26/[2]ALL!$C26*100</f>
        <v>95.601789102737868</v>
      </c>
      <c r="D26">
        <f>[3]ALL!$D26/[3]ALL!$C26*100</f>
        <v>95.378073833427749</v>
      </c>
    </row>
    <row r="27" spans="1:9" x14ac:dyDescent="0.3">
      <c r="A27" s="1">
        <v>2015</v>
      </c>
      <c r="B27">
        <f>[1]ALL!$D27/[1]ALL!$C27*100</f>
        <v>97.238250594470017</v>
      </c>
      <c r="C27">
        <f>[2]ALL!$D27/[2]ALL!$C27*100</f>
        <v>95.461841529257256</v>
      </c>
      <c r="D27">
        <f>[3]ALL!$D27/[3]ALL!$C27*100</f>
        <v>95.30263973635266</v>
      </c>
    </row>
    <row r="28" spans="1:9" x14ac:dyDescent="0.3">
      <c r="A28" s="1">
        <v>2016</v>
      </c>
      <c r="B28">
        <f>[1]ALL!$D28/[1]ALL!$C28*100</f>
        <v>97.40086830680174</v>
      </c>
      <c r="C28">
        <f>[2]ALL!$D28/[2]ALL!$C28*100</f>
        <v>95.482246285570383</v>
      </c>
      <c r="D28">
        <f>[3]ALL!$D28/[3]ALL!$C28*100</f>
        <v>95.145637328552908</v>
      </c>
    </row>
    <row r="29" spans="1:9" x14ac:dyDescent="0.3">
      <c r="A29" s="1">
        <v>2017</v>
      </c>
      <c r="B29">
        <f>[1]ALL!$D29/[1]ALL!$C29*100</f>
        <v>97.334070515264742</v>
      </c>
      <c r="C29">
        <f>[2]ALL!$D29/[2]ALL!$C29*100</f>
        <v>95.195937741472562</v>
      </c>
      <c r="D29">
        <f>[3]ALL!$D29/[3]ALL!$C29*100</f>
        <v>95.021716491834098</v>
      </c>
    </row>
    <row r="30" spans="1:9" ht="17.25" x14ac:dyDescent="0.3">
      <c r="A30" s="1">
        <v>2018</v>
      </c>
      <c r="B30">
        <f>[1]ALL!$D30/[1]ALL!$C30*100</f>
        <v>97.316737773703323</v>
      </c>
      <c r="C30">
        <f>[2]ALL!$D30/[2]ALL!$C30*100</f>
        <v>95.142738769309688</v>
      </c>
      <c r="D30">
        <f>[3]ALL!$D30/[3]ALL!$C30*100</f>
        <v>94.889567379902985</v>
      </c>
      <c r="G30" s="1" t="s">
        <v>8</v>
      </c>
      <c r="H30" s="1" t="s">
        <v>14</v>
      </c>
      <c r="I30" s="1" t="s">
        <v>13</v>
      </c>
    </row>
    <row r="31" spans="1:9" x14ac:dyDescent="0.3">
      <c r="A31" s="1">
        <v>2019</v>
      </c>
      <c r="B31">
        <f>[1]ALL!$D31/[1]ALL!$C31*100</f>
        <v>97.321514062681103</v>
      </c>
      <c r="C31">
        <f>[2]ALL!$D31/[2]ALL!$C31*100</f>
        <v>95.267127383879327</v>
      </c>
      <c r="D31">
        <f>[3]ALL!$D31/[3]ALL!$C31*100</f>
        <v>94.938625011780232</v>
      </c>
      <c r="G31" t="s">
        <v>17</v>
      </c>
      <c r="H31" s="1">
        <f>[1]ALL!$C$38</f>
        <v>3154830</v>
      </c>
      <c r="I31" s="1" t="str">
        <f>[1]ALL!$D$38 &amp; " (" &amp; [1]ALL!$D$40 &amp; "-" &amp; [1]ALL!$D$39 &amp; ")"</f>
        <v>3072571 (11-374533)</v>
      </c>
    </row>
    <row r="32" spans="1:9" x14ac:dyDescent="0.3">
      <c r="A32" s="1">
        <v>2020</v>
      </c>
      <c r="B32">
        <f>[1]ALL!$D32/[1]ALL!$C32*100</f>
        <v>97.308568262957039</v>
      </c>
      <c r="C32">
        <f>[2]ALL!$D32/[2]ALL!$C32*100</f>
        <v>95.485233658959757</v>
      </c>
      <c r="D32">
        <f>[3]ALL!$D32/[3]ALL!$C32*100</f>
        <v>94.951005162560747</v>
      </c>
      <c r="G32" t="s">
        <v>16</v>
      </c>
      <c r="H32" s="1">
        <f>[2]ALL!$C$38</f>
        <v>974002</v>
      </c>
      <c r="I32" s="1" t="str">
        <f>[2]ALL!$D$38 &amp; " (" &amp; [2]ALL!$D$40 &amp; "-" &amp; [2]ALL!$D$39 &amp; ")"</f>
        <v>930437 (86-117198)</v>
      </c>
    </row>
    <row r="33" spans="1:14" x14ac:dyDescent="0.3">
      <c r="A33" s="1">
        <v>2021</v>
      </c>
      <c r="B33">
        <f>[1]ALL!$D33/[1]ALL!$C33*100</f>
        <v>97.395825578382826</v>
      </c>
      <c r="C33">
        <f>[2]ALL!$D33/[2]ALL!$C33*100</f>
        <v>95.550531485404335</v>
      </c>
      <c r="D33">
        <f>[3]ALL!$D33/[3]ALL!$C33*100</f>
        <v>94.960684125306628</v>
      </c>
      <c r="G33" t="s">
        <v>15</v>
      </c>
      <c r="H33" s="1">
        <f>[3]ALL!$C$38</f>
        <v>3500485</v>
      </c>
      <c r="I33" s="1" t="str">
        <f>[3]ALL!$D$38 &amp; " (" &amp; [3]ALL!$D$40 &amp; "-" &amp; [3]ALL!$D$39 &amp; ")"</f>
        <v>3343414 (20465-195883)</v>
      </c>
      <c r="L33" s="1"/>
      <c r="M33" s="1"/>
      <c r="N33" s="1"/>
    </row>
    <row r="34" spans="1:14" x14ac:dyDescent="0.3">
      <c r="A34" s="1">
        <v>2022</v>
      </c>
      <c r="B34">
        <f>[1]ALL!$D34/[1]ALL!$C34*100</f>
        <v>97.512288850471762</v>
      </c>
      <c r="C34">
        <f>[2]ALL!$D34/[2]ALL!$C34*100</f>
        <v>95.589122881425055</v>
      </c>
      <c r="D34">
        <f>[3]ALL!$D34/[3]ALL!$C34*100</f>
        <v>95.012991494630867</v>
      </c>
      <c r="L34" s="1"/>
      <c r="M34" s="1"/>
      <c r="N34" s="1"/>
    </row>
    <row r="35" spans="1:14" x14ac:dyDescent="0.3">
      <c r="A35" s="1">
        <v>2023</v>
      </c>
      <c r="B35">
        <f>[1]ALL!$D35/[1]ALL!$C35*100</f>
        <v>97.522783785600126</v>
      </c>
      <c r="C35">
        <f>[2]ALL!$D35/[2]ALL!$C35*100</f>
        <v>95.518033623864923</v>
      </c>
      <c r="D35">
        <f>[3]ALL!$D35/[3]ALL!$C35*100</f>
        <v>95.064198485689147</v>
      </c>
      <c r="L35" s="1"/>
      <c r="M35" s="1"/>
      <c r="N35" s="1"/>
    </row>
    <row r="36" spans="1:14" x14ac:dyDescent="0.3">
      <c r="A36" s="1">
        <v>2024</v>
      </c>
      <c r="B36">
        <f>[1]ALL!$D36/[1]ALL!$C36*100</f>
        <v>97.635522483890938</v>
      </c>
      <c r="C36">
        <f>[2]ALL!$D36/[2]ALL!$C36*100</f>
        <v>95.602450410426385</v>
      </c>
      <c r="D36">
        <f>[3]ALL!$D36/[3]ALL!$C36*100</f>
        <v>95.20526004310976</v>
      </c>
      <c r="L36" s="1"/>
      <c r="M36" s="1"/>
      <c r="N36" s="1"/>
    </row>
    <row r="37" spans="1:14" x14ac:dyDescent="0.3">
      <c r="A37" s="1">
        <v>2025</v>
      </c>
      <c r="B37">
        <f>[1]ALL!$D37/[1]ALL!$C37*100</f>
        <v>97.722473335358117</v>
      </c>
      <c r="C37">
        <f>[2]ALL!$D37/[2]ALL!$C37*100</f>
        <v>95.978219526354764</v>
      </c>
      <c r="D37">
        <f>[3]ALL!$D37/[3]ALL!$C37*100</f>
        <v>95.485982413942665</v>
      </c>
      <c r="L37" s="1"/>
      <c r="M37" s="1"/>
      <c r="N37" s="1"/>
    </row>
    <row r="38" spans="1:14" x14ac:dyDescent="0.3">
      <c r="A38" s="1" t="s">
        <v>5</v>
      </c>
      <c r="L38" s="1"/>
      <c r="M38" s="1"/>
      <c r="N38" s="1"/>
    </row>
    <row r="39" spans="1:14" x14ac:dyDescent="0.3">
      <c r="A39" s="1" t="s">
        <v>6</v>
      </c>
      <c r="L39" s="1"/>
      <c r="M39" s="1"/>
      <c r="N39" s="1"/>
    </row>
    <row r="40" spans="1:14" x14ac:dyDescent="0.3">
      <c r="A40" s="1" t="s">
        <v>7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BFCB9-DC10-4843-8F70-977F4320C839}">
  <dimension ref="A1:AQ40"/>
  <sheetViews>
    <sheetView zoomScale="85" zoomScaleNormal="85" workbookViewId="0">
      <selection activeCell="I32" sqref="I32"/>
    </sheetView>
  </sheetViews>
  <sheetFormatPr defaultRowHeight="16.5" x14ac:dyDescent="0.3"/>
  <cols>
    <col min="1" max="1" width="9" style="1"/>
  </cols>
  <sheetData>
    <row r="1" spans="1:43" x14ac:dyDescent="0.3">
      <c r="A1" s="1" t="s">
        <v>4</v>
      </c>
      <c r="B1" t="s">
        <v>17</v>
      </c>
      <c r="C1" t="s">
        <v>16</v>
      </c>
      <c r="D1" t="s">
        <v>15</v>
      </c>
      <c r="F1" t="s">
        <v>3</v>
      </c>
      <c r="G1" t="str">
        <f t="shared" ref="G1:AQ4" si="0">G6</f>
        <v>Year</v>
      </c>
      <c r="H1">
        <f t="shared" si="0"/>
        <v>1990</v>
      </c>
      <c r="M1">
        <f t="shared" si="0"/>
        <v>1995</v>
      </c>
      <c r="R1">
        <f t="shared" si="0"/>
        <v>2000</v>
      </c>
      <c r="W1">
        <f t="shared" si="0"/>
        <v>2005</v>
      </c>
      <c r="AB1">
        <f t="shared" si="0"/>
        <v>2010</v>
      </c>
      <c r="AG1">
        <f t="shared" si="0"/>
        <v>2015</v>
      </c>
      <c r="AL1">
        <f t="shared" si="0"/>
        <v>2020</v>
      </c>
      <c r="AQ1">
        <f t="shared" si="0"/>
        <v>2025</v>
      </c>
    </row>
    <row r="2" spans="1:43" x14ac:dyDescent="0.3">
      <c r="A2" s="1">
        <v>1990</v>
      </c>
      <c r="B2">
        <f>[1]ALL!$E2/[1]ALL!$C2*100</f>
        <v>66.666666666666657</v>
      </c>
      <c r="C2">
        <f>[2]ALL!$E2/[2]ALL!$C2*100</f>
        <v>73.333333333333329</v>
      </c>
      <c r="D2">
        <f>[3]ALL!$E2/[3]ALL!$C2*100</f>
        <v>70.927114261086103</v>
      </c>
      <c r="G2" t="str">
        <f t="shared" si="0"/>
        <v>PMC Full-texts</v>
      </c>
      <c r="H2">
        <f t="shared" si="0"/>
        <v>66.666666666666657</v>
      </c>
      <c r="I2">
        <f t="shared" si="0"/>
        <v>81.818181818181827</v>
      </c>
      <c r="J2">
        <f t="shared" si="0"/>
        <v>57.142857142857139</v>
      </c>
      <c r="K2">
        <f t="shared" si="0"/>
        <v>81.25</v>
      </c>
      <c r="L2">
        <f t="shared" si="0"/>
        <v>58.82352941176471</v>
      </c>
      <c r="M2">
        <f t="shared" si="0"/>
        <v>56.25</v>
      </c>
      <c r="N2">
        <f t="shared" si="0"/>
        <v>67.441860465116278</v>
      </c>
      <c r="O2">
        <f t="shared" si="0"/>
        <v>66.780821917808225</v>
      </c>
      <c r="P2">
        <f t="shared" si="0"/>
        <v>67.688022284122567</v>
      </c>
      <c r="Q2">
        <f t="shared" si="0"/>
        <v>64.691358024691354</v>
      </c>
      <c r="R2">
        <f t="shared" si="0"/>
        <v>62.546125461254611</v>
      </c>
      <c r="S2">
        <f t="shared" si="0"/>
        <v>67.280163599182004</v>
      </c>
      <c r="T2">
        <f t="shared" si="0"/>
        <v>69.179734620024121</v>
      </c>
      <c r="U2">
        <f t="shared" si="0"/>
        <v>71.149674620390456</v>
      </c>
      <c r="V2">
        <f t="shared" si="0"/>
        <v>71.724540414356568</v>
      </c>
      <c r="W2">
        <f t="shared" si="0"/>
        <v>70.857988165680467</v>
      </c>
      <c r="X2">
        <f t="shared" si="0"/>
        <v>71.779393606804774</v>
      </c>
      <c r="Y2">
        <f t="shared" si="0"/>
        <v>72.139810865937321</v>
      </c>
      <c r="Z2">
        <f t="shared" si="0"/>
        <v>72.799903159423792</v>
      </c>
      <c r="AA2">
        <f t="shared" si="0"/>
        <v>72.794723825226711</v>
      </c>
      <c r="AB2">
        <f t="shared" si="0"/>
        <v>71.917213286608558</v>
      </c>
      <c r="AC2">
        <f t="shared" si="0"/>
        <v>71.289070738600415</v>
      </c>
      <c r="AD2">
        <f t="shared" si="0"/>
        <v>70.671346559980961</v>
      </c>
      <c r="AE2">
        <f t="shared" si="0"/>
        <v>70.40622221221706</v>
      </c>
      <c r="AF2">
        <f t="shared" si="0"/>
        <v>69.760852636813127</v>
      </c>
      <c r="AG2">
        <f t="shared" si="0"/>
        <v>69.900745826536493</v>
      </c>
      <c r="AH2">
        <f t="shared" si="0"/>
        <v>69.68451519536903</v>
      </c>
      <c r="AI2">
        <f t="shared" si="0"/>
        <v>69.072040468746039</v>
      </c>
      <c r="AJ2">
        <f t="shared" si="0"/>
        <v>68.990280079451821</v>
      </c>
      <c r="AK2">
        <f t="shared" si="0"/>
        <v>68.496167472144251</v>
      </c>
      <c r="AL2">
        <f t="shared" si="0"/>
        <v>68.86772128523944</v>
      </c>
      <c r="AM2">
        <f t="shared" si="0"/>
        <v>69.907119267912819</v>
      </c>
      <c r="AN2">
        <f t="shared" si="0"/>
        <v>69.670492178875676</v>
      </c>
      <c r="AO2">
        <f t="shared" si="0"/>
        <v>69.966310093238931</v>
      </c>
      <c r="AP2">
        <f t="shared" si="0"/>
        <v>69.98612671696209</v>
      </c>
      <c r="AQ2">
        <f t="shared" si="0"/>
        <v>71.682418308827465</v>
      </c>
    </row>
    <row r="3" spans="1:43" x14ac:dyDescent="0.3">
      <c r="A3" s="1">
        <v>1991</v>
      </c>
      <c r="B3">
        <f>[1]ALL!$E3/[1]ALL!$C3*100</f>
        <v>81.818181818181827</v>
      </c>
      <c r="C3">
        <f>[2]ALL!$E3/[2]ALL!$C3*100</f>
        <v>74.82014388489209</v>
      </c>
      <c r="D3">
        <f>[3]ALL!$E3/[3]ALL!$C3*100</f>
        <v>70.731385899406988</v>
      </c>
      <c r="G3" t="str">
        <f t="shared" si="0"/>
        <v>PMC Abstracts</v>
      </c>
      <c r="H3">
        <f t="shared" si="0"/>
        <v>73.333333333333329</v>
      </c>
      <c r="I3">
        <f t="shared" si="0"/>
        <v>74.82014388489209</v>
      </c>
      <c r="J3">
        <f t="shared" si="0"/>
        <v>72.027972027972027</v>
      </c>
      <c r="K3">
        <f t="shared" si="0"/>
        <v>68.686868686868678</v>
      </c>
      <c r="L3">
        <f t="shared" si="0"/>
        <v>68.695652173913047</v>
      </c>
      <c r="M3">
        <f t="shared" si="0"/>
        <v>69.196428571428569</v>
      </c>
      <c r="N3">
        <f t="shared" si="0"/>
        <v>69.003690036900366</v>
      </c>
      <c r="O3">
        <f t="shared" si="0"/>
        <v>67.123287671232873</v>
      </c>
      <c r="P3">
        <f t="shared" si="0"/>
        <v>70.731707317073173</v>
      </c>
      <c r="Q3">
        <f t="shared" si="0"/>
        <v>74.72527472527473</v>
      </c>
      <c r="R3">
        <f t="shared" si="0"/>
        <v>65.819209039548028</v>
      </c>
      <c r="S3">
        <f t="shared" si="0"/>
        <v>69.933184855233861</v>
      </c>
      <c r="T3">
        <f t="shared" si="0"/>
        <v>69.330855018587357</v>
      </c>
      <c r="U3">
        <f t="shared" si="0"/>
        <v>68.325791855203619</v>
      </c>
      <c r="V3">
        <f t="shared" si="0"/>
        <v>69.230769230769226</v>
      </c>
      <c r="W3">
        <f t="shared" si="0"/>
        <v>68.850072780203789</v>
      </c>
      <c r="X3">
        <f t="shared" si="0"/>
        <v>68.604651162790702</v>
      </c>
      <c r="Y3">
        <f t="shared" si="0"/>
        <v>66.629381058911264</v>
      </c>
      <c r="Z3">
        <f t="shared" si="0"/>
        <v>67.891491985203459</v>
      </c>
      <c r="AA3">
        <f t="shared" si="0"/>
        <v>67.862241256245539</v>
      </c>
      <c r="AB3">
        <f t="shared" si="0"/>
        <v>67.249120252396551</v>
      </c>
      <c r="AC3">
        <f t="shared" si="0"/>
        <v>67.347800388415095</v>
      </c>
      <c r="AD3">
        <f t="shared" si="0"/>
        <v>65.91494476561158</v>
      </c>
      <c r="AE3">
        <f t="shared" si="0"/>
        <v>66.504361080531794</v>
      </c>
      <c r="AF3">
        <f t="shared" si="0"/>
        <v>65.847790729194898</v>
      </c>
      <c r="AG3">
        <f t="shared" si="0"/>
        <v>66.227929373996787</v>
      </c>
      <c r="AH3">
        <f t="shared" si="0"/>
        <v>66.957945101989424</v>
      </c>
      <c r="AI3">
        <f t="shared" si="0"/>
        <v>67.248040622585265</v>
      </c>
      <c r="AJ3">
        <f t="shared" si="0"/>
        <v>66.648253003728769</v>
      </c>
      <c r="AK3">
        <f t="shared" si="0"/>
        <v>67.080869160741571</v>
      </c>
      <c r="AL3">
        <f t="shared" si="0"/>
        <v>67.674977055281062</v>
      </c>
      <c r="AM3">
        <f t="shared" si="0"/>
        <v>68.070978712085946</v>
      </c>
      <c r="AN3">
        <f t="shared" si="0"/>
        <v>66.99753682527772</v>
      </c>
      <c r="AO3">
        <f t="shared" si="0"/>
        <v>67.457423142846721</v>
      </c>
      <c r="AP3">
        <f t="shared" si="0"/>
        <v>67.312531454453946</v>
      </c>
      <c r="AQ3">
        <f t="shared" si="0"/>
        <v>68.415310391768259</v>
      </c>
    </row>
    <row r="4" spans="1:43" x14ac:dyDescent="0.3">
      <c r="A4" s="1">
        <v>1992</v>
      </c>
      <c r="B4">
        <f>[1]ALL!$E4/[1]ALL!$C4*100</f>
        <v>57.142857142857139</v>
      </c>
      <c r="C4">
        <f>[2]ALL!$E4/[2]ALL!$C4*100</f>
        <v>72.027972027972027</v>
      </c>
      <c r="D4">
        <f>[3]ALL!$E4/[3]ALL!$C4*100</f>
        <v>70.946403666068932</v>
      </c>
      <c r="G4" t="str">
        <f t="shared" si="0"/>
        <v>PubMed Abstracts</v>
      </c>
      <c r="H4">
        <f t="shared" si="0"/>
        <v>70.927114261086103</v>
      </c>
      <c r="I4">
        <f t="shared" si="0"/>
        <v>70.731385899406988</v>
      </c>
      <c r="J4">
        <f t="shared" si="0"/>
        <v>70.946403666068932</v>
      </c>
      <c r="K4">
        <f t="shared" si="0"/>
        <v>69.699306090979178</v>
      </c>
      <c r="L4">
        <f t="shared" si="0"/>
        <v>69.763039583544611</v>
      </c>
      <c r="M4">
        <f t="shared" si="0"/>
        <v>69.28656287125618</v>
      </c>
      <c r="N4">
        <f t="shared" si="0"/>
        <v>69.462872439478588</v>
      </c>
      <c r="O4">
        <f t="shared" si="0"/>
        <v>68.867769949205311</v>
      </c>
      <c r="P4">
        <f t="shared" si="0"/>
        <v>68.628264647145784</v>
      </c>
      <c r="Q4">
        <f t="shared" si="0"/>
        <v>68.742830644570816</v>
      </c>
      <c r="R4">
        <f t="shared" si="0"/>
        <v>68.458310869412344</v>
      </c>
      <c r="S4">
        <f t="shared" si="0"/>
        <v>68.726347383531248</v>
      </c>
      <c r="T4">
        <f t="shared" si="0"/>
        <v>68.468085106382986</v>
      </c>
      <c r="U4">
        <f t="shared" si="0"/>
        <v>68.055782238906119</v>
      </c>
      <c r="V4">
        <f t="shared" si="0"/>
        <v>67.854391687017525</v>
      </c>
      <c r="W4">
        <f t="shared" si="0"/>
        <v>67.800905492753202</v>
      </c>
      <c r="X4">
        <f t="shared" si="0"/>
        <v>67.829594880487775</v>
      </c>
      <c r="Y4">
        <f t="shared" si="0"/>
        <v>67.995878166263267</v>
      </c>
      <c r="Z4">
        <f t="shared" si="0"/>
        <v>67.948534036613211</v>
      </c>
      <c r="AA4">
        <f t="shared" si="0"/>
        <v>67.566340638025665</v>
      </c>
      <c r="AB4">
        <f t="shared" si="0"/>
        <v>67.401233695908076</v>
      </c>
      <c r="AC4">
        <f t="shared" si="0"/>
        <v>67.708130363693357</v>
      </c>
      <c r="AD4">
        <f t="shared" si="0"/>
        <v>67.721853892364678</v>
      </c>
      <c r="AE4">
        <f t="shared" si="0"/>
        <v>67.999510618851247</v>
      </c>
      <c r="AF4">
        <f t="shared" si="0"/>
        <v>68.335164722663961</v>
      </c>
      <c r="AG4">
        <f t="shared" si="0"/>
        <v>68.235063790909393</v>
      </c>
      <c r="AH4">
        <f t="shared" si="0"/>
        <v>68.640739761537816</v>
      </c>
      <c r="AI4">
        <f t="shared" si="0"/>
        <v>68.296461862792412</v>
      </c>
      <c r="AJ4">
        <f t="shared" si="0"/>
        <v>68.283554526875633</v>
      </c>
      <c r="AK4">
        <f t="shared" si="0"/>
        <v>68.3100084817642</v>
      </c>
      <c r="AL4">
        <f t="shared" si="0"/>
        <v>68.515151673013506</v>
      </c>
      <c r="AM4">
        <f t="shared" si="0"/>
        <v>68.901191595807603</v>
      </c>
      <c r="AN4">
        <f t="shared" si="0"/>
        <v>68.360128291009488</v>
      </c>
      <c r="AO4">
        <f t="shared" si="0"/>
        <v>68.596824542820485</v>
      </c>
      <c r="AP4">
        <f t="shared" si="0"/>
        <v>68.198674130339171</v>
      </c>
      <c r="AQ4">
        <f t="shared" si="0"/>
        <v>68.651867039943212</v>
      </c>
    </row>
    <row r="5" spans="1:43" x14ac:dyDescent="0.3">
      <c r="A5" s="1">
        <v>1993</v>
      </c>
      <c r="B5">
        <f>[1]ALL!$E5/[1]ALL!$C5*100</f>
        <v>81.25</v>
      </c>
      <c r="C5">
        <f>[2]ALL!$E5/[2]ALL!$C5*100</f>
        <v>68.686868686868678</v>
      </c>
      <c r="D5">
        <f>[3]ALL!$E5/[3]ALL!$C5*100</f>
        <v>69.699306090979178</v>
      </c>
    </row>
    <row r="6" spans="1:43" x14ac:dyDescent="0.3">
      <c r="A6" s="1">
        <v>1994</v>
      </c>
      <c r="B6">
        <f>[1]ALL!$E6/[1]ALL!$C6*100</f>
        <v>58.82352941176471</v>
      </c>
      <c r="C6">
        <f>[2]ALL!$E6/[2]ALL!$C6*100</f>
        <v>68.695652173913047</v>
      </c>
      <c r="D6">
        <f>[3]ALL!$E6/[3]ALL!$C6*100</f>
        <v>69.763039583544611</v>
      </c>
      <c r="G6" t="str" cm="1">
        <f t="array" ref="G6:AQ9">TRANSPOSE(A1:D37)</f>
        <v>Year</v>
      </c>
      <c r="H6">
        <v>1990</v>
      </c>
      <c r="I6">
        <v>1991</v>
      </c>
      <c r="J6">
        <v>1992</v>
      </c>
      <c r="K6">
        <v>1993</v>
      </c>
      <c r="L6">
        <v>1994</v>
      </c>
      <c r="M6">
        <v>1995</v>
      </c>
      <c r="N6">
        <v>1996</v>
      </c>
      <c r="O6">
        <v>1997</v>
      </c>
      <c r="P6">
        <v>1998</v>
      </c>
      <c r="Q6">
        <v>1999</v>
      </c>
      <c r="R6">
        <v>2000</v>
      </c>
      <c r="S6">
        <v>2001</v>
      </c>
      <c r="T6">
        <v>2002</v>
      </c>
      <c r="U6">
        <v>2003</v>
      </c>
      <c r="V6">
        <v>2004</v>
      </c>
      <c r="W6">
        <v>2005</v>
      </c>
      <c r="X6">
        <v>2006</v>
      </c>
      <c r="Y6">
        <v>2007</v>
      </c>
      <c r="Z6">
        <v>2008</v>
      </c>
      <c r="AA6">
        <v>2009</v>
      </c>
      <c r="AB6">
        <v>2010</v>
      </c>
      <c r="AC6">
        <v>2011</v>
      </c>
      <c r="AD6">
        <v>2012</v>
      </c>
      <c r="AE6">
        <v>2013</v>
      </c>
      <c r="AF6">
        <v>2014</v>
      </c>
      <c r="AG6">
        <v>2015</v>
      </c>
      <c r="AH6">
        <v>2016</v>
      </c>
      <c r="AI6">
        <v>2017</v>
      </c>
      <c r="AJ6">
        <v>2018</v>
      </c>
      <c r="AK6">
        <v>2019</v>
      </c>
      <c r="AL6">
        <v>2020</v>
      </c>
      <c r="AM6">
        <v>2021</v>
      </c>
      <c r="AN6">
        <v>2022</v>
      </c>
      <c r="AO6">
        <v>2023</v>
      </c>
      <c r="AP6">
        <v>2024</v>
      </c>
      <c r="AQ6">
        <v>2025</v>
      </c>
    </row>
    <row r="7" spans="1:43" x14ac:dyDescent="0.3">
      <c r="A7" s="1">
        <v>1995</v>
      </c>
      <c r="B7">
        <f>[1]ALL!$E7/[1]ALL!$C7*100</f>
        <v>56.25</v>
      </c>
      <c r="C7">
        <f>[2]ALL!$E7/[2]ALL!$C7*100</f>
        <v>69.196428571428569</v>
      </c>
      <c r="D7">
        <f>[3]ALL!$E7/[3]ALL!$C7*100</f>
        <v>69.28656287125618</v>
      </c>
      <c r="G7" t="str">
        <v>PMC Full-texts</v>
      </c>
      <c r="H7">
        <v>66.666666666666657</v>
      </c>
      <c r="I7">
        <v>81.818181818181827</v>
      </c>
      <c r="J7">
        <v>57.142857142857139</v>
      </c>
      <c r="K7">
        <v>81.25</v>
      </c>
      <c r="L7">
        <v>58.82352941176471</v>
      </c>
      <c r="M7">
        <v>56.25</v>
      </c>
      <c r="N7">
        <v>67.441860465116278</v>
      </c>
      <c r="O7">
        <v>66.780821917808225</v>
      </c>
      <c r="P7">
        <v>67.688022284122567</v>
      </c>
      <c r="Q7">
        <v>64.691358024691354</v>
      </c>
      <c r="R7">
        <v>62.546125461254611</v>
      </c>
      <c r="S7">
        <v>67.280163599182004</v>
      </c>
      <c r="T7">
        <v>69.179734620024121</v>
      </c>
      <c r="U7">
        <v>71.149674620390456</v>
      </c>
      <c r="V7">
        <v>71.724540414356568</v>
      </c>
      <c r="W7">
        <v>70.857988165680467</v>
      </c>
      <c r="X7">
        <v>71.779393606804774</v>
      </c>
      <c r="Y7">
        <v>72.139810865937321</v>
      </c>
      <c r="Z7">
        <v>72.799903159423792</v>
      </c>
      <c r="AA7">
        <v>72.794723825226711</v>
      </c>
      <c r="AB7">
        <v>71.917213286608558</v>
      </c>
      <c r="AC7">
        <v>71.289070738600415</v>
      </c>
      <c r="AD7">
        <v>70.671346559980961</v>
      </c>
      <c r="AE7">
        <v>70.40622221221706</v>
      </c>
      <c r="AF7">
        <v>69.760852636813127</v>
      </c>
      <c r="AG7">
        <v>69.900745826536493</v>
      </c>
      <c r="AH7">
        <v>69.68451519536903</v>
      </c>
      <c r="AI7">
        <v>69.072040468746039</v>
      </c>
      <c r="AJ7">
        <v>68.990280079451821</v>
      </c>
      <c r="AK7">
        <v>68.496167472144251</v>
      </c>
      <c r="AL7">
        <v>68.86772128523944</v>
      </c>
      <c r="AM7">
        <v>69.907119267912819</v>
      </c>
      <c r="AN7">
        <v>69.670492178875676</v>
      </c>
      <c r="AO7">
        <v>69.966310093238931</v>
      </c>
      <c r="AP7">
        <v>69.98612671696209</v>
      </c>
      <c r="AQ7">
        <v>71.682418308827465</v>
      </c>
    </row>
    <row r="8" spans="1:43" x14ac:dyDescent="0.3">
      <c r="A8" s="1">
        <v>1996</v>
      </c>
      <c r="B8">
        <f>[1]ALL!$E8/[1]ALL!$C8*100</f>
        <v>67.441860465116278</v>
      </c>
      <c r="C8">
        <f>[2]ALL!$E8/[2]ALL!$C8*100</f>
        <v>69.003690036900366</v>
      </c>
      <c r="D8">
        <f>[3]ALL!$E8/[3]ALL!$C8*100</f>
        <v>69.462872439478588</v>
      </c>
      <c r="G8" t="str">
        <v>PMC Abstracts</v>
      </c>
      <c r="H8">
        <v>73.333333333333329</v>
      </c>
      <c r="I8">
        <v>74.82014388489209</v>
      </c>
      <c r="J8">
        <v>72.027972027972027</v>
      </c>
      <c r="K8">
        <v>68.686868686868678</v>
      </c>
      <c r="L8">
        <v>68.695652173913047</v>
      </c>
      <c r="M8">
        <v>69.196428571428569</v>
      </c>
      <c r="N8">
        <v>69.003690036900366</v>
      </c>
      <c r="O8">
        <v>67.123287671232873</v>
      </c>
      <c r="P8">
        <v>70.731707317073173</v>
      </c>
      <c r="Q8">
        <v>74.72527472527473</v>
      </c>
      <c r="R8">
        <v>65.819209039548028</v>
      </c>
      <c r="S8">
        <v>69.933184855233861</v>
      </c>
      <c r="T8">
        <v>69.330855018587357</v>
      </c>
      <c r="U8">
        <v>68.325791855203619</v>
      </c>
      <c r="V8">
        <v>69.230769230769226</v>
      </c>
      <c r="W8">
        <v>68.850072780203789</v>
      </c>
      <c r="X8">
        <v>68.604651162790702</v>
      </c>
      <c r="Y8">
        <v>66.629381058911264</v>
      </c>
      <c r="Z8">
        <v>67.891491985203459</v>
      </c>
      <c r="AA8">
        <v>67.862241256245539</v>
      </c>
      <c r="AB8">
        <v>67.249120252396551</v>
      </c>
      <c r="AC8">
        <v>67.347800388415095</v>
      </c>
      <c r="AD8">
        <v>65.91494476561158</v>
      </c>
      <c r="AE8">
        <v>66.504361080531794</v>
      </c>
      <c r="AF8">
        <v>65.847790729194898</v>
      </c>
      <c r="AG8">
        <v>66.227929373996787</v>
      </c>
      <c r="AH8">
        <v>66.957945101989424</v>
      </c>
      <c r="AI8">
        <v>67.248040622585265</v>
      </c>
      <c r="AJ8">
        <v>66.648253003728769</v>
      </c>
      <c r="AK8">
        <v>67.080869160741571</v>
      </c>
      <c r="AL8">
        <v>67.674977055281062</v>
      </c>
      <c r="AM8">
        <v>68.070978712085946</v>
      </c>
      <c r="AN8">
        <v>66.99753682527772</v>
      </c>
      <c r="AO8">
        <v>67.457423142846721</v>
      </c>
      <c r="AP8">
        <v>67.312531454453946</v>
      </c>
      <c r="AQ8">
        <v>68.415310391768259</v>
      </c>
    </row>
    <row r="9" spans="1:43" x14ac:dyDescent="0.3">
      <c r="A9" s="1">
        <v>1997</v>
      </c>
      <c r="B9">
        <f>[1]ALL!$E9/[1]ALL!$C9*100</f>
        <v>66.780821917808225</v>
      </c>
      <c r="C9">
        <f>[2]ALL!$E9/[2]ALL!$C9*100</f>
        <v>67.123287671232873</v>
      </c>
      <c r="D9">
        <f>[3]ALL!$E9/[3]ALL!$C9*100</f>
        <v>68.867769949205311</v>
      </c>
      <c r="G9" t="str">
        <v>PubMed Abstracts</v>
      </c>
      <c r="H9">
        <v>70.927114261086103</v>
      </c>
      <c r="I9">
        <v>70.731385899406988</v>
      </c>
      <c r="J9">
        <v>70.946403666068932</v>
      </c>
      <c r="K9">
        <v>69.699306090979178</v>
      </c>
      <c r="L9">
        <v>69.763039583544611</v>
      </c>
      <c r="M9">
        <v>69.28656287125618</v>
      </c>
      <c r="N9">
        <v>69.462872439478588</v>
      </c>
      <c r="O9">
        <v>68.867769949205311</v>
      </c>
      <c r="P9">
        <v>68.628264647145784</v>
      </c>
      <c r="Q9">
        <v>68.742830644570816</v>
      </c>
      <c r="R9">
        <v>68.458310869412344</v>
      </c>
      <c r="S9">
        <v>68.726347383531248</v>
      </c>
      <c r="T9">
        <v>68.468085106382986</v>
      </c>
      <c r="U9">
        <v>68.055782238906119</v>
      </c>
      <c r="V9">
        <v>67.854391687017525</v>
      </c>
      <c r="W9">
        <v>67.800905492753202</v>
      </c>
      <c r="X9">
        <v>67.829594880487775</v>
      </c>
      <c r="Y9">
        <v>67.995878166263267</v>
      </c>
      <c r="Z9">
        <v>67.948534036613211</v>
      </c>
      <c r="AA9">
        <v>67.566340638025665</v>
      </c>
      <c r="AB9">
        <v>67.401233695908076</v>
      </c>
      <c r="AC9">
        <v>67.708130363693357</v>
      </c>
      <c r="AD9">
        <v>67.721853892364678</v>
      </c>
      <c r="AE9">
        <v>67.999510618851247</v>
      </c>
      <c r="AF9">
        <v>68.335164722663961</v>
      </c>
      <c r="AG9">
        <v>68.235063790909393</v>
      </c>
      <c r="AH9">
        <v>68.640739761537816</v>
      </c>
      <c r="AI9">
        <v>68.296461862792412</v>
      </c>
      <c r="AJ9">
        <v>68.283554526875633</v>
      </c>
      <c r="AK9">
        <v>68.3100084817642</v>
      </c>
      <c r="AL9">
        <v>68.515151673013506</v>
      </c>
      <c r="AM9">
        <v>68.901191595807603</v>
      </c>
      <c r="AN9">
        <v>68.360128291009488</v>
      </c>
      <c r="AO9">
        <v>68.596824542820485</v>
      </c>
      <c r="AP9">
        <v>68.198674130339171</v>
      </c>
      <c r="AQ9">
        <v>68.651867039943212</v>
      </c>
    </row>
    <row r="10" spans="1:43" x14ac:dyDescent="0.3">
      <c r="A10" s="1">
        <v>1998</v>
      </c>
      <c r="B10">
        <f>[1]ALL!$E10/[1]ALL!$C10*100</f>
        <v>67.688022284122567</v>
      </c>
      <c r="C10">
        <f>[2]ALL!$E10/[2]ALL!$C10*100</f>
        <v>70.731707317073173</v>
      </c>
      <c r="D10">
        <f>[3]ALL!$E10/[3]ALL!$C10*100</f>
        <v>68.628264647145784</v>
      </c>
    </row>
    <row r="11" spans="1:43" x14ac:dyDescent="0.3">
      <c r="A11" s="1">
        <v>1999</v>
      </c>
      <c r="B11">
        <f>[1]ALL!$E11/[1]ALL!$C11*100</f>
        <v>64.691358024691354</v>
      </c>
      <c r="C11">
        <f>[2]ALL!$E11/[2]ALL!$C11*100</f>
        <v>74.72527472527473</v>
      </c>
      <c r="D11">
        <f>[3]ALL!$E11/[3]ALL!$C11*100</f>
        <v>68.742830644570816</v>
      </c>
    </row>
    <row r="12" spans="1:43" x14ac:dyDescent="0.3">
      <c r="A12" s="1">
        <v>2000</v>
      </c>
      <c r="B12">
        <f>[1]ALL!$E12/[1]ALL!$C12*100</f>
        <v>62.546125461254611</v>
      </c>
      <c r="C12">
        <f>[2]ALL!$E12/[2]ALL!$C12*100</f>
        <v>65.819209039548028</v>
      </c>
      <c r="D12">
        <f>[3]ALL!$E12/[3]ALL!$C12*100</f>
        <v>68.458310869412344</v>
      </c>
    </row>
    <row r="13" spans="1:43" x14ac:dyDescent="0.3">
      <c r="A13" s="1">
        <v>2001</v>
      </c>
      <c r="B13">
        <f>[1]ALL!$E13/[1]ALL!$C13*100</f>
        <v>67.280163599182004</v>
      </c>
      <c r="C13">
        <f>[2]ALL!$E13/[2]ALL!$C13*100</f>
        <v>69.933184855233861</v>
      </c>
      <c r="D13">
        <f>[3]ALL!$E13/[3]ALL!$C13*100</f>
        <v>68.726347383531248</v>
      </c>
    </row>
    <row r="14" spans="1:43" x14ac:dyDescent="0.3">
      <c r="A14" s="1">
        <v>2002</v>
      </c>
      <c r="B14">
        <f>[1]ALL!$E14/[1]ALL!$C14*100</f>
        <v>69.179734620024121</v>
      </c>
      <c r="C14">
        <f>[2]ALL!$E14/[2]ALL!$C14*100</f>
        <v>69.330855018587357</v>
      </c>
      <c r="D14">
        <f>[3]ALL!$E14/[3]ALL!$C14*100</f>
        <v>68.468085106382986</v>
      </c>
    </row>
    <row r="15" spans="1:43" x14ac:dyDescent="0.3">
      <c r="A15" s="1">
        <v>2003</v>
      </c>
      <c r="B15">
        <f>[1]ALL!$E15/[1]ALL!$C15*100</f>
        <v>71.149674620390456</v>
      </c>
      <c r="C15">
        <f>[2]ALL!$E15/[2]ALL!$C15*100</f>
        <v>68.325791855203619</v>
      </c>
      <c r="D15">
        <f>[3]ALL!$E15/[3]ALL!$C15*100</f>
        <v>68.055782238906119</v>
      </c>
    </row>
    <row r="16" spans="1:43" x14ac:dyDescent="0.3">
      <c r="A16" s="1">
        <v>2004</v>
      </c>
      <c r="B16">
        <f>[1]ALL!$E16/[1]ALL!$C16*100</f>
        <v>71.724540414356568</v>
      </c>
      <c r="C16">
        <f>[2]ALL!$E16/[2]ALL!$C16*100</f>
        <v>69.230769230769226</v>
      </c>
      <c r="D16">
        <f>[3]ALL!$E16/[3]ALL!$C16*100</f>
        <v>67.854391687017525</v>
      </c>
    </row>
    <row r="17" spans="1:9" x14ac:dyDescent="0.3">
      <c r="A17" s="1">
        <v>2005</v>
      </c>
      <c r="B17">
        <f>[1]ALL!$E17/[1]ALL!$C17*100</f>
        <v>70.857988165680467</v>
      </c>
      <c r="C17">
        <f>[2]ALL!$E17/[2]ALL!$C17*100</f>
        <v>68.850072780203789</v>
      </c>
      <c r="D17">
        <f>[3]ALL!$E17/[3]ALL!$C17*100</f>
        <v>67.800905492753202</v>
      </c>
    </row>
    <row r="18" spans="1:9" x14ac:dyDescent="0.3">
      <c r="A18" s="1">
        <v>2006</v>
      </c>
      <c r="B18">
        <f>[1]ALL!$E18/[1]ALL!$C18*100</f>
        <v>71.779393606804774</v>
      </c>
      <c r="C18">
        <f>[2]ALL!$E18/[2]ALL!$C18*100</f>
        <v>68.604651162790702</v>
      </c>
      <c r="D18">
        <f>[3]ALL!$E18/[3]ALL!$C18*100</f>
        <v>67.829594880487775</v>
      </c>
    </row>
    <row r="19" spans="1:9" x14ac:dyDescent="0.3">
      <c r="A19" s="1">
        <v>2007</v>
      </c>
      <c r="B19">
        <f>[1]ALL!$E19/[1]ALL!$C19*100</f>
        <v>72.139810865937321</v>
      </c>
      <c r="C19">
        <f>[2]ALL!$E19/[2]ALL!$C19*100</f>
        <v>66.629381058911264</v>
      </c>
      <c r="D19">
        <f>[3]ALL!$E19/[3]ALL!$C19*100</f>
        <v>67.995878166263267</v>
      </c>
    </row>
    <row r="20" spans="1:9" x14ac:dyDescent="0.3">
      <c r="A20" s="1">
        <v>2008</v>
      </c>
      <c r="B20">
        <f>[1]ALL!$E20/[1]ALL!$C20*100</f>
        <v>72.799903159423792</v>
      </c>
      <c r="C20">
        <f>[2]ALL!$E20/[2]ALL!$C20*100</f>
        <v>67.891491985203459</v>
      </c>
      <c r="D20">
        <f>[3]ALL!$E20/[3]ALL!$C20*100</f>
        <v>67.948534036613211</v>
      </c>
    </row>
    <row r="21" spans="1:9" x14ac:dyDescent="0.3">
      <c r="A21" s="1">
        <v>2009</v>
      </c>
      <c r="B21">
        <f>[1]ALL!$E21/[1]ALL!$C21*100</f>
        <v>72.794723825226711</v>
      </c>
      <c r="C21">
        <f>[2]ALL!$E21/[2]ALL!$C21*100</f>
        <v>67.862241256245539</v>
      </c>
      <c r="D21">
        <f>[3]ALL!$E21/[3]ALL!$C21*100</f>
        <v>67.566340638025665</v>
      </c>
    </row>
    <row r="22" spans="1:9" x14ac:dyDescent="0.3">
      <c r="A22" s="1">
        <v>2010</v>
      </c>
      <c r="B22">
        <f>[1]ALL!$E22/[1]ALL!$C22*100</f>
        <v>71.917213286608558</v>
      </c>
      <c r="C22">
        <f>[2]ALL!$E22/[2]ALL!$C22*100</f>
        <v>67.249120252396551</v>
      </c>
      <c r="D22">
        <f>[3]ALL!$E22/[3]ALL!$C22*100</f>
        <v>67.401233695908076</v>
      </c>
    </row>
    <row r="23" spans="1:9" x14ac:dyDescent="0.3">
      <c r="A23" s="1">
        <v>2011</v>
      </c>
      <c r="B23">
        <f>[1]ALL!$E23/[1]ALL!$C23*100</f>
        <v>71.289070738600415</v>
      </c>
      <c r="C23">
        <f>[2]ALL!$E23/[2]ALL!$C23*100</f>
        <v>67.347800388415095</v>
      </c>
      <c r="D23">
        <f>[3]ALL!$E23/[3]ALL!$C23*100</f>
        <v>67.708130363693357</v>
      </c>
    </row>
    <row r="24" spans="1:9" x14ac:dyDescent="0.3">
      <c r="A24" s="1">
        <v>2012</v>
      </c>
      <c r="B24">
        <f>[1]ALL!$E24/[1]ALL!$C24*100</f>
        <v>70.671346559980961</v>
      </c>
      <c r="C24">
        <f>[2]ALL!$E24/[2]ALL!$C24*100</f>
        <v>65.91494476561158</v>
      </c>
      <c r="D24">
        <f>[3]ALL!$E24/[3]ALL!$C24*100</f>
        <v>67.721853892364678</v>
      </c>
    </row>
    <row r="25" spans="1:9" x14ac:dyDescent="0.3">
      <c r="A25" s="1">
        <v>2013</v>
      </c>
      <c r="B25">
        <f>[1]ALL!$E25/[1]ALL!$C25*100</f>
        <v>70.40622221221706</v>
      </c>
      <c r="C25">
        <f>[2]ALL!$E25/[2]ALL!$C25*100</f>
        <v>66.504361080531794</v>
      </c>
      <c r="D25">
        <f>[3]ALL!$E25/[3]ALL!$C25*100</f>
        <v>67.999510618851247</v>
      </c>
    </row>
    <row r="26" spans="1:9" x14ac:dyDescent="0.3">
      <c r="A26" s="1">
        <v>2014</v>
      </c>
      <c r="B26">
        <f>[1]ALL!$E26/[1]ALL!$C26*100</f>
        <v>69.760852636813127</v>
      </c>
      <c r="C26">
        <f>[2]ALL!$E26/[2]ALL!$C26*100</f>
        <v>65.847790729194898</v>
      </c>
      <c r="D26">
        <f>[3]ALL!$E26/[3]ALL!$C26*100</f>
        <v>68.335164722663961</v>
      </c>
    </row>
    <row r="27" spans="1:9" x14ac:dyDescent="0.3">
      <c r="A27" s="1">
        <v>2015</v>
      </c>
      <c r="B27">
        <f>[1]ALL!$E27/[1]ALL!$C27*100</f>
        <v>69.900745826536493</v>
      </c>
      <c r="C27">
        <f>[2]ALL!$E27/[2]ALL!$C27*100</f>
        <v>66.227929373996787</v>
      </c>
      <c r="D27">
        <f>[3]ALL!$E27/[3]ALL!$C27*100</f>
        <v>68.235063790909393</v>
      </c>
    </row>
    <row r="28" spans="1:9" x14ac:dyDescent="0.3">
      <c r="A28" s="1">
        <v>2016</v>
      </c>
      <c r="B28">
        <f>[1]ALL!$E28/[1]ALL!$C28*100</f>
        <v>69.68451519536903</v>
      </c>
      <c r="C28">
        <f>[2]ALL!$E28/[2]ALL!$C28*100</f>
        <v>66.957945101989424</v>
      </c>
      <c r="D28">
        <f>[3]ALL!$E28/[3]ALL!$C28*100</f>
        <v>68.640739761537816</v>
      </c>
    </row>
    <row r="29" spans="1:9" x14ac:dyDescent="0.3">
      <c r="A29" s="1">
        <v>2017</v>
      </c>
      <c r="B29">
        <f>[1]ALL!$E29/[1]ALL!$C29*100</f>
        <v>69.072040468746039</v>
      </c>
      <c r="C29">
        <f>[2]ALL!$E29/[2]ALL!$C29*100</f>
        <v>67.248040622585265</v>
      </c>
      <c r="D29">
        <f>[3]ALL!$E29/[3]ALL!$C29*100</f>
        <v>68.296461862792412</v>
      </c>
    </row>
    <row r="30" spans="1:9" ht="17.25" x14ac:dyDescent="0.3">
      <c r="A30" s="1">
        <v>2018</v>
      </c>
      <c r="B30">
        <f>[1]ALL!$E30/[1]ALL!$C30*100</f>
        <v>68.990280079451821</v>
      </c>
      <c r="C30">
        <f>[2]ALL!$E30/[2]ALL!$C30*100</f>
        <v>66.648253003728769</v>
      </c>
      <c r="D30">
        <f>[3]ALL!$E30/[3]ALL!$C30*100</f>
        <v>68.283554526875633</v>
      </c>
      <c r="G30" s="1" t="s">
        <v>8</v>
      </c>
      <c r="H30" s="1" t="s">
        <v>10</v>
      </c>
      <c r="I30" s="1" t="s">
        <v>9</v>
      </c>
    </row>
    <row r="31" spans="1:9" x14ac:dyDescent="0.3">
      <c r="A31" s="1">
        <v>2019</v>
      </c>
      <c r="B31">
        <f>[1]ALL!$E31/[1]ALL!$C31*100</f>
        <v>68.496167472144251</v>
      </c>
      <c r="C31">
        <f>[2]ALL!$E31/[2]ALL!$C31*100</f>
        <v>67.080869160741571</v>
      </c>
      <c r="D31">
        <f>[3]ALL!$E31/[3]ALL!$C31*100</f>
        <v>68.3100084817642</v>
      </c>
      <c r="G31" t="s">
        <v>0</v>
      </c>
      <c r="H31" s="1"/>
      <c r="I31" s="1"/>
    </row>
    <row r="32" spans="1:9" x14ac:dyDescent="0.3">
      <c r="A32" s="1">
        <v>2020</v>
      </c>
      <c r="B32">
        <f>[1]ALL!$E32/[1]ALL!$C32*100</f>
        <v>68.86772128523944</v>
      </c>
      <c r="C32">
        <f>[2]ALL!$E32/[2]ALL!$C32*100</f>
        <v>67.674977055281062</v>
      </c>
      <c r="D32">
        <f>[3]ALL!$E32/[3]ALL!$C32*100</f>
        <v>68.515151673013506</v>
      </c>
      <c r="G32" t="s">
        <v>16</v>
      </c>
      <c r="H32" s="1"/>
      <c r="I32" s="1"/>
    </row>
    <row r="33" spans="1:14" x14ac:dyDescent="0.3">
      <c r="A33" s="1">
        <v>2021</v>
      </c>
      <c r="B33">
        <f>[1]ALL!$E33/[1]ALL!$C33*100</f>
        <v>69.907119267912819</v>
      </c>
      <c r="C33">
        <f>[2]ALL!$E33/[2]ALL!$C33*100</f>
        <v>68.070978712085946</v>
      </c>
      <c r="D33">
        <f>[3]ALL!$E33/[3]ALL!$C33*100</f>
        <v>68.901191595807603</v>
      </c>
      <c r="G33" t="s">
        <v>2</v>
      </c>
      <c r="H33" s="1"/>
      <c r="I33" s="1"/>
      <c r="L33" s="1"/>
      <c r="M33" s="1"/>
      <c r="N33" s="1"/>
    </row>
    <row r="34" spans="1:14" x14ac:dyDescent="0.3">
      <c r="A34" s="1">
        <v>2022</v>
      </c>
      <c r="B34">
        <f>[1]ALL!$E34/[1]ALL!$C34*100</f>
        <v>69.670492178875676</v>
      </c>
      <c r="C34">
        <f>[2]ALL!$E34/[2]ALL!$C34*100</f>
        <v>66.99753682527772</v>
      </c>
      <c r="D34">
        <f>[3]ALL!$E34/[3]ALL!$C34*100</f>
        <v>68.360128291009488</v>
      </c>
      <c r="L34" s="1"/>
      <c r="M34" s="1"/>
      <c r="N34" s="1"/>
    </row>
    <row r="35" spans="1:14" x14ac:dyDescent="0.3">
      <c r="A35" s="1">
        <v>2023</v>
      </c>
      <c r="B35">
        <f>[1]ALL!$E35/[1]ALL!$C35*100</f>
        <v>69.966310093238931</v>
      </c>
      <c r="C35">
        <f>[2]ALL!$E35/[2]ALL!$C35*100</f>
        <v>67.457423142846721</v>
      </c>
      <c r="D35">
        <f>[3]ALL!$E35/[3]ALL!$C35*100</f>
        <v>68.596824542820485</v>
      </c>
      <c r="L35" s="1"/>
      <c r="M35" s="1"/>
      <c r="N35" s="1"/>
    </row>
    <row r="36" spans="1:14" x14ac:dyDescent="0.3">
      <c r="A36" s="1">
        <v>2024</v>
      </c>
      <c r="B36">
        <f>[1]ALL!$E36/[1]ALL!$C36*100</f>
        <v>69.98612671696209</v>
      </c>
      <c r="C36">
        <f>[2]ALL!$E36/[2]ALL!$C36*100</f>
        <v>67.312531454453946</v>
      </c>
      <c r="D36">
        <f>[3]ALL!$E36/[3]ALL!$C36*100</f>
        <v>68.198674130339171</v>
      </c>
      <c r="L36" s="1"/>
      <c r="M36" s="1"/>
      <c r="N36" s="1"/>
    </row>
    <row r="37" spans="1:14" x14ac:dyDescent="0.3">
      <c r="A37" s="1">
        <v>2025</v>
      </c>
      <c r="B37">
        <f>[1]ALL!$E37/[1]ALL!$C37*100</f>
        <v>71.682418308827465</v>
      </c>
      <c r="C37">
        <f>[2]ALL!$E37/[2]ALL!$C37*100</f>
        <v>68.415310391768259</v>
      </c>
      <c r="D37">
        <f>[3]ALL!$E37/[3]ALL!$C37*100</f>
        <v>68.651867039943212</v>
      </c>
      <c r="L37" s="1"/>
      <c r="M37" s="1"/>
      <c r="N37" s="1"/>
    </row>
    <row r="38" spans="1:14" x14ac:dyDescent="0.3">
      <c r="A38" s="1" t="s">
        <v>5</v>
      </c>
      <c r="L38" s="1"/>
      <c r="M38" s="1"/>
      <c r="N38" s="1"/>
    </row>
    <row r="39" spans="1:14" x14ac:dyDescent="0.3">
      <c r="A39" s="1" t="s">
        <v>6</v>
      </c>
      <c r="L39" s="1"/>
      <c r="M39" s="1"/>
      <c r="N39" s="1"/>
    </row>
    <row r="40" spans="1:14" x14ac:dyDescent="0.3">
      <c r="A40" s="1" t="s">
        <v>7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21002-E3E7-4549-8683-9AFC7ABE64CD}">
  <dimension ref="A1:AQ40"/>
  <sheetViews>
    <sheetView tabSelected="1" zoomScale="87" zoomScaleNormal="85" workbookViewId="0">
      <selection activeCell="Q31" sqref="Q31"/>
    </sheetView>
  </sheetViews>
  <sheetFormatPr defaultRowHeight="16.5" x14ac:dyDescent="0.3"/>
  <cols>
    <col min="1" max="1" width="9" style="1"/>
  </cols>
  <sheetData>
    <row r="1" spans="1:43" x14ac:dyDescent="0.3">
      <c r="A1" s="1" t="s">
        <v>4</v>
      </c>
      <c r="B1" t="s">
        <v>17</v>
      </c>
      <c r="C1" t="s">
        <v>16</v>
      </c>
      <c r="D1" t="s">
        <v>15</v>
      </c>
      <c r="F1" t="s">
        <v>3</v>
      </c>
      <c r="G1" t="str">
        <f t="shared" ref="G1:AQ4" si="0">G6</f>
        <v>Year</v>
      </c>
      <c r="H1">
        <f t="shared" si="0"/>
        <v>1990</v>
      </c>
      <c r="M1">
        <f t="shared" si="0"/>
        <v>1995</v>
      </c>
      <c r="R1">
        <f t="shared" si="0"/>
        <v>2000</v>
      </c>
      <c r="W1">
        <f t="shared" si="0"/>
        <v>2005</v>
      </c>
      <c r="AB1">
        <f t="shared" si="0"/>
        <v>2010</v>
      </c>
      <c r="AG1">
        <f t="shared" si="0"/>
        <v>2015</v>
      </c>
      <c r="AL1">
        <f t="shared" si="0"/>
        <v>2020</v>
      </c>
      <c r="AQ1">
        <f t="shared" si="0"/>
        <v>2025</v>
      </c>
    </row>
    <row r="2" spans="1:43" x14ac:dyDescent="0.3">
      <c r="A2" s="1">
        <v>1990</v>
      </c>
      <c r="B2">
        <f>[1]ALL!$F2/[1]ALL!$C2*100</f>
        <v>33.333333333333329</v>
      </c>
      <c r="C2">
        <f>[2]ALL!$F2/[2]ALL!$C2*100</f>
        <v>60</v>
      </c>
      <c r="D2">
        <f>[3]ALL!$F2/[3]ALL!$C2*100</f>
        <v>46.394023560961593</v>
      </c>
      <c r="G2" t="str">
        <f t="shared" si="0"/>
        <v>PMC Full-texts</v>
      </c>
      <c r="H2">
        <f t="shared" si="0"/>
        <v>33.333333333333329</v>
      </c>
      <c r="I2">
        <f t="shared" si="0"/>
        <v>72.727272727272734</v>
      </c>
      <c r="J2">
        <f t="shared" si="0"/>
        <v>42.857142857142854</v>
      </c>
      <c r="K2">
        <f t="shared" si="0"/>
        <v>56.25</v>
      </c>
      <c r="L2">
        <f t="shared" si="0"/>
        <v>44.117647058823529</v>
      </c>
      <c r="M2">
        <f t="shared" si="0"/>
        <v>37.5</v>
      </c>
      <c r="N2">
        <f t="shared" si="0"/>
        <v>41.860465116279073</v>
      </c>
      <c r="O2">
        <f t="shared" si="0"/>
        <v>45.547945205479451</v>
      </c>
      <c r="P2">
        <f t="shared" si="0"/>
        <v>47.632311977715879</v>
      </c>
      <c r="Q2">
        <f t="shared" si="0"/>
        <v>48.395061728395063</v>
      </c>
      <c r="R2">
        <f t="shared" si="0"/>
        <v>45.20295202952029</v>
      </c>
      <c r="S2">
        <f t="shared" si="0"/>
        <v>52.556237218813905</v>
      </c>
      <c r="T2">
        <f t="shared" si="0"/>
        <v>53.799758745476481</v>
      </c>
      <c r="U2">
        <f t="shared" si="0"/>
        <v>57.613882863340557</v>
      </c>
      <c r="V2">
        <f t="shared" si="0"/>
        <v>59.206302888824048</v>
      </c>
      <c r="W2">
        <f t="shared" si="0"/>
        <v>57.100591715976336</v>
      </c>
      <c r="X2">
        <f t="shared" si="0"/>
        <v>58.471669639182331</v>
      </c>
      <c r="Y2">
        <f t="shared" si="0"/>
        <v>59.299091414796955</v>
      </c>
      <c r="Z2">
        <f t="shared" si="0"/>
        <v>59.532744219828103</v>
      </c>
      <c r="AA2">
        <f t="shared" si="0"/>
        <v>59.760489434633577</v>
      </c>
      <c r="AB2">
        <f t="shared" si="0"/>
        <v>59.06790067990535</v>
      </c>
      <c r="AC2">
        <f t="shared" si="0"/>
        <v>58.402581516007935</v>
      </c>
      <c r="AD2">
        <f t="shared" si="0"/>
        <v>57.37678098694191</v>
      </c>
      <c r="AE2">
        <f t="shared" si="0"/>
        <v>57.423770021273477</v>
      </c>
      <c r="AF2">
        <f t="shared" si="0"/>
        <v>56.965671235704164</v>
      </c>
      <c r="AG2">
        <f t="shared" si="0"/>
        <v>57.369399199798735</v>
      </c>
      <c r="AH2">
        <f t="shared" si="0"/>
        <v>57.636758321273518</v>
      </c>
      <c r="AI2">
        <f t="shared" si="0"/>
        <v>57.103002109865528</v>
      </c>
      <c r="AJ2">
        <f t="shared" si="0"/>
        <v>57.36692406238614</v>
      </c>
      <c r="AK2">
        <f t="shared" si="0"/>
        <v>57.269204215024715</v>
      </c>
      <c r="AL2">
        <f t="shared" si="0"/>
        <v>58.13469469407854</v>
      </c>
      <c r="AM2">
        <f t="shared" si="0"/>
        <v>59.535387886494327</v>
      </c>
      <c r="AN2">
        <f t="shared" si="0"/>
        <v>59.376497052758751</v>
      </c>
      <c r="AO2">
        <f t="shared" si="0"/>
        <v>60.165264625013513</v>
      </c>
      <c r="AP2">
        <f t="shared" si="0"/>
        <v>60.40668210690454</v>
      </c>
      <c r="AQ2">
        <f t="shared" si="0"/>
        <v>62.48083897593483</v>
      </c>
    </row>
    <row r="3" spans="1:43" x14ac:dyDescent="0.3">
      <c r="A3" s="1">
        <v>1991</v>
      </c>
      <c r="B3">
        <f>[1]ALL!$F3/[1]ALL!$C3*100</f>
        <v>72.727272727272734</v>
      </c>
      <c r="C3">
        <f>[2]ALL!$F3/[2]ALL!$C3*100</f>
        <v>56.115107913669057</v>
      </c>
      <c r="D3">
        <f>[3]ALL!$F3/[3]ALL!$C3*100</f>
        <v>46.167362178783222</v>
      </c>
      <c r="G3" t="str">
        <f t="shared" si="0"/>
        <v>PMC Abstracts</v>
      </c>
      <c r="H3">
        <f t="shared" si="0"/>
        <v>60</v>
      </c>
      <c r="I3">
        <f t="shared" si="0"/>
        <v>56.115107913669057</v>
      </c>
      <c r="J3">
        <f t="shared" si="0"/>
        <v>51.748251748251747</v>
      </c>
      <c r="K3">
        <f t="shared" si="0"/>
        <v>50</v>
      </c>
      <c r="L3">
        <f t="shared" si="0"/>
        <v>51.304347826086961</v>
      </c>
      <c r="M3">
        <f t="shared" si="0"/>
        <v>47.321428571428569</v>
      </c>
      <c r="N3">
        <f t="shared" si="0"/>
        <v>49.446494464944649</v>
      </c>
      <c r="O3">
        <f t="shared" si="0"/>
        <v>49.315068493150683</v>
      </c>
      <c r="P3">
        <f t="shared" si="0"/>
        <v>56.40243902439024</v>
      </c>
      <c r="Q3">
        <f t="shared" si="0"/>
        <v>56.043956043956044</v>
      </c>
      <c r="R3">
        <f t="shared" si="0"/>
        <v>49.435028248587571</v>
      </c>
      <c r="S3">
        <f t="shared" si="0"/>
        <v>48.775055679287306</v>
      </c>
      <c r="T3">
        <f t="shared" si="0"/>
        <v>53.159851301115246</v>
      </c>
      <c r="U3">
        <f t="shared" si="0"/>
        <v>52.639517345399703</v>
      </c>
      <c r="V3">
        <f t="shared" si="0"/>
        <v>54.273504273504273</v>
      </c>
      <c r="W3">
        <f t="shared" si="0"/>
        <v>53.129548762736533</v>
      </c>
      <c r="X3">
        <f t="shared" si="0"/>
        <v>55.005055611729013</v>
      </c>
      <c r="Y3">
        <f t="shared" si="0"/>
        <v>52.386278896346006</v>
      </c>
      <c r="Z3">
        <f t="shared" si="0"/>
        <v>52.872996300863129</v>
      </c>
      <c r="AA3">
        <f t="shared" si="0"/>
        <v>53.658101356174157</v>
      </c>
      <c r="AB3">
        <f t="shared" si="0"/>
        <v>53.161024147554912</v>
      </c>
      <c r="AC3">
        <f t="shared" si="0"/>
        <v>53.542176813307442</v>
      </c>
      <c r="AD3">
        <f t="shared" si="0"/>
        <v>51.571175090149389</v>
      </c>
      <c r="AE3">
        <f t="shared" si="0"/>
        <v>52.32873232280464</v>
      </c>
      <c r="AF3">
        <f t="shared" si="0"/>
        <v>52.52100840336135</v>
      </c>
      <c r="AG3">
        <f t="shared" si="0"/>
        <v>52.981176127243543</v>
      </c>
      <c r="AH3">
        <f t="shared" si="0"/>
        <v>54.054394359103497</v>
      </c>
      <c r="AI3">
        <f t="shared" si="0"/>
        <v>54.003753173639481</v>
      </c>
      <c r="AJ3">
        <f t="shared" si="0"/>
        <v>53.637027245644845</v>
      </c>
      <c r="AK3">
        <f t="shared" si="0"/>
        <v>54.325868828493583</v>
      </c>
      <c r="AL3">
        <f t="shared" si="0"/>
        <v>55.122644237418115</v>
      </c>
      <c r="AM3">
        <f t="shared" si="0"/>
        <v>56.118969136799315</v>
      </c>
      <c r="AN3">
        <f t="shared" si="0"/>
        <v>55.070714320669452</v>
      </c>
      <c r="AO3">
        <f t="shared" si="0"/>
        <v>55.824915210969692</v>
      </c>
      <c r="AP3">
        <f t="shared" si="0"/>
        <v>55.947277996633296</v>
      </c>
      <c r="AQ3">
        <f t="shared" si="0"/>
        <v>57.01058995455729</v>
      </c>
    </row>
    <row r="4" spans="1:43" x14ac:dyDescent="0.3">
      <c r="A4" s="1">
        <v>1992</v>
      </c>
      <c r="B4">
        <f>[1]ALL!$F4/[1]ALL!$C4*100</f>
        <v>42.857142857142854</v>
      </c>
      <c r="C4">
        <f>[2]ALL!$F4/[2]ALL!$C4*100</f>
        <v>51.748251748251747</v>
      </c>
      <c r="D4">
        <f>[3]ALL!$F4/[3]ALL!$C4*100</f>
        <v>46.933652121936639</v>
      </c>
      <c r="G4" t="str">
        <f t="shared" si="0"/>
        <v>PubMed Abstracts</v>
      </c>
      <c r="H4">
        <f t="shared" si="0"/>
        <v>46.394023560961593</v>
      </c>
      <c r="I4">
        <f t="shared" si="0"/>
        <v>46.167362178783222</v>
      </c>
      <c r="J4">
        <f t="shared" si="0"/>
        <v>46.933652121936639</v>
      </c>
      <c r="K4">
        <f t="shared" si="0"/>
        <v>47.512574806329624</v>
      </c>
      <c r="L4">
        <f t="shared" si="0"/>
        <v>47.922793496264745</v>
      </c>
      <c r="M4">
        <f t="shared" si="0"/>
        <v>47.93347089351591</v>
      </c>
      <c r="N4">
        <f t="shared" si="0"/>
        <v>48.670274674115454</v>
      </c>
      <c r="O4">
        <f t="shared" si="0"/>
        <v>49.371893604238352</v>
      </c>
      <c r="P4">
        <f t="shared" si="0"/>
        <v>49.173950255465932</v>
      </c>
      <c r="Q4">
        <f t="shared" si="0"/>
        <v>49.842579259512362</v>
      </c>
      <c r="R4">
        <f t="shared" si="0"/>
        <v>49.973043294812591</v>
      </c>
      <c r="S4">
        <f t="shared" si="0"/>
        <v>50.065248597155168</v>
      </c>
      <c r="T4">
        <f t="shared" si="0"/>
        <v>50.004052684903741</v>
      </c>
      <c r="U4">
        <f t="shared" si="0"/>
        <v>49.823186986562213</v>
      </c>
      <c r="V4">
        <f t="shared" si="0"/>
        <v>50.084408240866694</v>
      </c>
      <c r="W4">
        <f t="shared" si="0"/>
        <v>50.220678265326455</v>
      </c>
      <c r="X4">
        <f t="shared" si="0"/>
        <v>50.426407011734412</v>
      </c>
      <c r="Y4">
        <f t="shared" si="0"/>
        <v>51.107143713005343</v>
      </c>
      <c r="Z4">
        <f t="shared" si="0"/>
        <v>51.117266036215966</v>
      </c>
      <c r="AA4">
        <f t="shared" si="0"/>
        <v>51.164830176220541</v>
      </c>
      <c r="AB4">
        <f t="shared" si="0"/>
        <v>51.484672976409094</v>
      </c>
      <c r="AC4">
        <f t="shared" si="0"/>
        <v>52.171739848694074</v>
      </c>
      <c r="AD4">
        <f t="shared" si="0"/>
        <v>52.376505742833132</v>
      </c>
      <c r="AE4">
        <f t="shared" si="0"/>
        <v>53.055393627969572</v>
      </c>
      <c r="AF4">
        <f t="shared" si="0"/>
        <v>53.631269664685121</v>
      </c>
      <c r="AG4">
        <f t="shared" si="0"/>
        <v>53.941984533559562</v>
      </c>
      <c r="AH4">
        <f t="shared" si="0"/>
        <v>54.46197695338445</v>
      </c>
      <c r="AI4">
        <f t="shared" si="0"/>
        <v>54.463310558532932</v>
      </c>
      <c r="AJ4">
        <f t="shared" si="0"/>
        <v>54.504715238962895</v>
      </c>
      <c r="AK4">
        <f t="shared" si="0"/>
        <v>54.887616624257852</v>
      </c>
      <c r="AL4">
        <f t="shared" si="0"/>
        <v>55.410790845961898</v>
      </c>
      <c r="AM4">
        <f t="shared" si="0"/>
        <v>56.179524719068439</v>
      </c>
      <c r="AN4">
        <f t="shared" si="0"/>
        <v>55.893875728234178</v>
      </c>
      <c r="AO4">
        <f t="shared" si="0"/>
        <v>56.476172862338949</v>
      </c>
      <c r="AP4">
        <f t="shared" si="0"/>
        <v>56.338058757417976</v>
      </c>
      <c r="AQ4">
        <f t="shared" si="0"/>
        <v>56.975671306336508</v>
      </c>
    </row>
    <row r="5" spans="1:43" x14ac:dyDescent="0.3">
      <c r="A5" s="1">
        <v>1993</v>
      </c>
      <c r="B5">
        <f>[1]ALL!$F5/[1]ALL!$C5*100</f>
        <v>56.25</v>
      </c>
      <c r="C5">
        <f>[2]ALL!$F5/[2]ALL!$C5*100</f>
        <v>50</v>
      </c>
      <c r="D5">
        <f>[3]ALL!$F5/[3]ALL!$C5*100</f>
        <v>47.512574806329624</v>
      </c>
    </row>
    <row r="6" spans="1:43" x14ac:dyDescent="0.3">
      <c r="A6" s="1">
        <v>1994</v>
      </c>
      <c r="B6">
        <f>[1]ALL!$F6/[1]ALL!$C6*100</f>
        <v>44.117647058823529</v>
      </c>
      <c r="C6">
        <f>[2]ALL!$F6/[2]ALL!$C6*100</f>
        <v>51.304347826086961</v>
      </c>
      <c r="D6">
        <f>[3]ALL!$F6/[3]ALL!$C6*100</f>
        <v>47.922793496264745</v>
      </c>
      <c r="G6" t="str" cm="1">
        <f t="array" ref="G6:AQ9">TRANSPOSE(A1:D37)</f>
        <v>Year</v>
      </c>
      <c r="H6">
        <v>1990</v>
      </c>
      <c r="I6">
        <v>1991</v>
      </c>
      <c r="J6">
        <v>1992</v>
      </c>
      <c r="K6">
        <v>1993</v>
      </c>
      <c r="L6">
        <v>1994</v>
      </c>
      <c r="M6">
        <v>1995</v>
      </c>
      <c r="N6">
        <v>1996</v>
      </c>
      <c r="O6">
        <v>1997</v>
      </c>
      <c r="P6">
        <v>1998</v>
      </c>
      <c r="Q6">
        <v>1999</v>
      </c>
      <c r="R6">
        <v>2000</v>
      </c>
      <c r="S6">
        <v>2001</v>
      </c>
      <c r="T6">
        <v>2002</v>
      </c>
      <c r="U6">
        <v>2003</v>
      </c>
      <c r="V6">
        <v>2004</v>
      </c>
      <c r="W6">
        <v>2005</v>
      </c>
      <c r="X6">
        <v>2006</v>
      </c>
      <c r="Y6">
        <v>2007</v>
      </c>
      <c r="Z6">
        <v>2008</v>
      </c>
      <c r="AA6">
        <v>2009</v>
      </c>
      <c r="AB6">
        <v>2010</v>
      </c>
      <c r="AC6">
        <v>2011</v>
      </c>
      <c r="AD6">
        <v>2012</v>
      </c>
      <c r="AE6">
        <v>2013</v>
      </c>
      <c r="AF6">
        <v>2014</v>
      </c>
      <c r="AG6">
        <v>2015</v>
      </c>
      <c r="AH6">
        <v>2016</v>
      </c>
      <c r="AI6">
        <v>2017</v>
      </c>
      <c r="AJ6">
        <v>2018</v>
      </c>
      <c r="AK6">
        <v>2019</v>
      </c>
      <c r="AL6">
        <v>2020</v>
      </c>
      <c r="AM6">
        <v>2021</v>
      </c>
      <c r="AN6">
        <v>2022</v>
      </c>
      <c r="AO6">
        <v>2023</v>
      </c>
      <c r="AP6">
        <v>2024</v>
      </c>
      <c r="AQ6">
        <v>2025</v>
      </c>
    </row>
    <row r="7" spans="1:43" x14ac:dyDescent="0.3">
      <c r="A7" s="1">
        <v>1995</v>
      </c>
      <c r="B7">
        <f>[1]ALL!$F7/[1]ALL!$C7*100</f>
        <v>37.5</v>
      </c>
      <c r="C7">
        <f>[2]ALL!$F7/[2]ALL!$C7*100</f>
        <v>47.321428571428569</v>
      </c>
      <c r="D7">
        <f>[3]ALL!$F7/[3]ALL!$C7*100</f>
        <v>47.93347089351591</v>
      </c>
      <c r="G7" t="str">
        <v>PMC Full-texts</v>
      </c>
      <c r="H7">
        <v>33.333333333333329</v>
      </c>
      <c r="I7">
        <v>72.727272727272734</v>
      </c>
      <c r="J7">
        <v>42.857142857142854</v>
      </c>
      <c r="K7">
        <v>56.25</v>
      </c>
      <c r="L7">
        <v>44.117647058823529</v>
      </c>
      <c r="M7">
        <v>37.5</v>
      </c>
      <c r="N7">
        <v>41.860465116279073</v>
      </c>
      <c r="O7">
        <v>45.547945205479451</v>
      </c>
      <c r="P7">
        <v>47.632311977715879</v>
      </c>
      <c r="Q7">
        <v>48.395061728395063</v>
      </c>
      <c r="R7">
        <v>45.20295202952029</v>
      </c>
      <c r="S7">
        <v>52.556237218813905</v>
      </c>
      <c r="T7">
        <v>53.799758745476481</v>
      </c>
      <c r="U7">
        <v>57.613882863340557</v>
      </c>
      <c r="V7">
        <v>59.206302888824048</v>
      </c>
      <c r="W7">
        <v>57.100591715976336</v>
      </c>
      <c r="X7">
        <v>58.471669639182331</v>
      </c>
      <c r="Y7">
        <v>59.299091414796955</v>
      </c>
      <c r="Z7">
        <v>59.532744219828103</v>
      </c>
      <c r="AA7">
        <v>59.760489434633577</v>
      </c>
      <c r="AB7">
        <v>59.06790067990535</v>
      </c>
      <c r="AC7">
        <v>58.402581516007935</v>
      </c>
      <c r="AD7">
        <v>57.37678098694191</v>
      </c>
      <c r="AE7">
        <v>57.423770021273477</v>
      </c>
      <c r="AF7">
        <v>56.965671235704164</v>
      </c>
      <c r="AG7">
        <v>57.369399199798735</v>
      </c>
      <c r="AH7">
        <v>57.636758321273518</v>
      </c>
      <c r="AI7">
        <v>57.103002109865528</v>
      </c>
      <c r="AJ7">
        <v>57.36692406238614</v>
      </c>
      <c r="AK7">
        <v>57.269204215024715</v>
      </c>
      <c r="AL7">
        <v>58.13469469407854</v>
      </c>
      <c r="AM7">
        <v>59.535387886494327</v>
      </c>
      <c r="AN7">
        <v>59.376497052758751</v>
      </c>
      <c r="AO7">
        <v>60.165264625013513</v>
      </c>
      <c r="AP7">
        <v>60.40668210690454</v>
      </c>
      <c r="AQ7">
        <v>62.48083897593483</v>
      </c>
    </row>
    <row r="8" spans="1:43" x14ac:dyDescent="0.3">
      <c r="A8" s="1">
        <v>1996</v>
      </c>
      <c r="B8">
        <f>[1]ALL!$F8/[1]ALL!$C8*100</f>
        <v>41.860465116279073</v>
      </c>
      <c r="C8">
        <f>[2]ALL!$F8/[2]ALL!$C8*100</f>
        <v>49.446494464944649</v>
      </c>
      <c r="D8">
        <f>[3]ALL!$F8/[3]ALL!$C8*100</f>
        <v>48.670274674115454</v>
      </c>
      <c r="G8" t="str">
        <v>PMC Abstracts</v>
      </c>
      <c r="H8">
        <v>60</v>
      </c>
      <c r="I8">
        <v>56.115107913669057</v>
      </c>
      <c r="J8">
        <v>51.748251748251747</v>
      </c>
      <c r="K8">
        <v>50</v>
      </c>
      <c r="L8">
        <v>51.304347826086961</v>
      </c>
      <c r="M8">
        <v>47.321428571428569</v>
      </c>
      <c r="N8">
        <v>49.446494464944649</v>
      </c>
      <c r="O8">
        <v>49.315068493150683</v>
      </c>
      <c r="P8">
        <v>56.40243902439024</v>
      </c>
      <c r="Q8">
        <v>56.043956043956044</v>
      </c>
      <c r="R8">
        <v>49.435028248587571</v>
      </c>
      <c r="S8">
        <v>48.775055679287306</v>
      </c>
      <c r="T8">
        <v>53.159851301115246</v>
      </c>
      <c r="U8">
        <v>52.639517345399703</v>
      </c>
      <c r="V8">
        <v>54.273504273504273</v>
      </c>
      <c r="W8">
        <v>53.129548762736533</v>
      </c>
      <c r="X8">
        <v>55.005055611729013</v>
      </c>
      <c r="Y8">
        <v>52.386278896346006</v>
      </c>
      <c r="Z8">
        <v>52.872996300863129</v>
      </c>
      <c r="AA8">
        <v>53.658101356174157</v>
      </c>
      <c r="AB8">
        <v>53.161024147554912</v>
      </c>
      <c r="AC8">
        <v>53.542176813307442</v>
      </c>
      <c r="AD8">
        <v>51.571175090149389</v>
      </c>
      <c r="AE8">
        <v>52.32873232280464</v>
      </c>
      <c r="AF8">
        <v>52.52100840336135</v>
      </c>
      <c r="AG8">
        <v>52.981176127243543</v>
      </c>
      <c r="AH8">
        <v>54.054394359103497</v>
      </c>
      <c r="AI8">
        <v>54.003753173639481</v>
      </c>
      <c r="AJ8">
        <v>53.637027245644845</v>
      </c>
      <c r="AK8">
        <v>54.325868828493583</v>
      </c>
      <c r="AL8">
        <v>55.122644237418115</v>
      </c>
      <c r="AM8">
        <v>56.118969136799315</v>
      </c>
      <c r="AN8">
        <v>55.070714320669452</v>
      </c>
      <c r="AO8">
        <v>55.824915210969692</v>
      </c>
      <c r="AP8">
        <v>55.947277996633296</v>
      </c>
      <c r="AQ8">
        <v>57.01058995455729</v>
      </c>
    </row>
    <row r="9" spans="1:43" x14ac:dyDescent="0.3">
      <c r="A9" s="1">
        <v>1997</v>
      </c>
      <c r="B9">
        <f>[1]ALL!$F9/[1]ALL!$C9*100</f>
        <v>45.547945205479451</v>
      </c>
      <c r="C9">
        <f>[2]ALL!$F9/[2]ALL!$C9*100</f>
        <v>49.315068493150683</v>
      </c>
      <c r="D9">
        <f>[3]ALL!$F9/[3]ALL!$C9*100</f>
        <v>49.371893604238352</v>
      </c>
      <c r="G9" t="str">
        <v>PubMed Abstracts</v>
      </c>
      <c r="H9">
        <v>46.394023560961593</v>
      </c>
      <c r="I9">
        <v>46.167362178783222</v>
      </c>
      <c r="J9">
        <v>46.933652121936639</v>
      </c>
      <c r="K9">
        <v>47.512574806329624</v>
      </c>
      <c r="L9">
        <v>47.922793496264745</v>
      </c>
      <c r="M9">
        <v>47.93347089351591</v>
      </c>
      <c r="N9">
        <v>48.670274674115454</v>
      </c>
      <c r="O9">
        <v>49.371893604238352</v>
      </c>
      <c r="P9">
        <v>49.173950255465932</v>
      </c>
      <c r="Q9">
        <v>49.842579259512362</v>
      </c>
      <c r="R9">
        <v>49.973043294812591</v>
      </c>
      <c r="S9">
        <v>50.065248597155168</v>
      </c>
      <c r="T9">
        <v>50.004052684903741</v>
      </c>
      <c r="U9">
        <v>49.823186986562213</v>
      </c>
      <c r="V9">
        <v>50.084408240866694</v>
      </c>
      <c r="W9">
        <v>50.220678265326455</v>
      </c>
      <c r="X9">
        <v>50.426407011734412</v>
      </c>
      <c r="Y9">
        <v>51.107143713005343</v>
      </c>
      <c r="Z9">
        <v>51.117266036215966</v>
      </c>
      <c r="AA9">
        <v>51.164830176220541</v>
      </c>
      <c r="AB9">
        <v>51.484672976409094</v>
      </c>
      <c r="AC9">
        <v>52.171739848694074</v>
      </c>
      <c r="AD9">
        <v>52.376505742833132</v>
      </c>
      <c r="AE9">
        <v>53.055393627969572</v>
      </c>
      <c r="AF9">
        <v>53.631269664685121</v>
      </c>
      <c r="AG9">
        <v>53.941984533559562</v>
      </c>
      <c r="AH9">
        <v>54.46197695338445</v>
      </c>
      <c r="AI9">
        <v>54.463310558532932</v>
      </c>
      <c r="AJ9">
        <v>54.504715238962895</v>
      </c>
      <c r="AK9">
        <v>54.887616624257852</v>
      </c>
      <c r="AL9">
        <v>55.410790845961898</v>
      </c>
      <c r="AM9">
        <v>56.179524719068439</v>
      </c>
      <c r="AN9">
        <v>55.893875728234178</v>
      </c>
      <c r="AO9">
        <v>56.476172862338949</v>
      </c>
      <c r="AP9">
        <v>56.338058757417976</v>
      </c>
      <c r="AQ9">
        <v>56.975671306336508</v>
      </c>
    </row>
    <row r="10" spans="1:43" x14ac:dyDescent="0.3">
      <c r="A10" s="1">
        <v>1998</v>
      </c>
      <c r="B10">
        <f>[1]ALL!$F10/[1]ALL!$C10*100</f>
        <v>47.632311977715879</v>
      </c>
      <c r="C10">
        <f>[2]ALL!$F10/[2]ALL!$C10*100</f>
        <v>56.40243902439024</v>
      </c>
      <c r="D10">
        <f>[3]ALL!$F10/[3]ALL!$C10*100</f>
        <v>49.173950255465932</v>
      </c>
    </row>
    <row r="11" spans="1:43" x14ac:dyDescent="0.3">
      <c r="A11" s="1">
        <v>1999</v>
      </c>
      <c r="B11">
        <f>[1]ALL!$F11/[1]ALL!$C11*100</f>
        <v>48.395061728395063</v>
      </c>
      <c r="C11">
        <f>[2]ALL!$F11/[2]ALL!$C11*100</f>
        <v>56.043956043956044</v>
      </c>
      <c r="D11">
        <f>[3]ALL!$F11/[3]ALL!$C11*100</f>
        <v>49.842579259512362</v>
      </c>
    </row>
    <row r="12" spans="1:43" x14ac:dyDescent="0.3">
      <c r="A12" s="1">
        <v>2000</v>
      </c>
      <c r="B12">
        <f>[1]ALL!$F12/[1]ALL!$C12*100</f>
        <v>45.20295202952029</v>
      </c>
      <c r="C12">
        <f>[2]ALL!$F12/[2]ALL!$C12*100</f>
        <v>49.435028248587571</v>
      </c>
      <c r="D12">
        <f>[3]ALL!$F12/[3]ALL!$C12*100</f>
        <v>49.973043294812591</v>
      </c>
    </row>
    <row r="13" spans="1:43" x14ac:dyDescent="0.3">
      <c r="A13" s="1">
        <v>2001</v>
      </c>
      <c r="B13">
        <f>[1]ALL!$F13/[1]ALL!$C13*100</f>
        <v>52.556237218813905</v>
      </c>
      <c r="C13">
        <f>[2]ALL!$F13/[2]ALL!$C13*100</f>
        <v>48.775055679287306</v>
      </c>
      <c r="D13">
        <f>[3]ALL!$F13/[3]ALL!$C13*100</f>
        <v>50.065248597155168</v>
      </c>
    </row>
    <row r="14" spans="1:43" x14ac:dyDescent="0.3">
      <c r="A14" s="1">
        <v>2002</v>
      </c>
      <c r="B14">
        <f>[1]ALL!$F14/[1]ALL!$C14*100</f>
        <v>53.799758745476481</v>
      </c>
      <c r="C14">
        <f>[2]ALL!$F14/[2]ALL!$C14*100</f>
        <v>53.159851301115246</v>
      </c>
      <c r="D14">
        <f>[3]ALL!$F14/[3]ALL!$C14*100</f>
        <v>50.004052684903741</v>
      </c>
    </row>
    <row r="15" spans="1:43" x14ac:dyDescent="0.3">
      <c r="A15" s="1">
        <v>2003</v>
      </c>
      <c r="B15">
        <f>[1]ALL!$F15/[1]ALL!$C15*100</f>
        <v>57.613882863340557</v>
      </c>
      <c r="C15">
        <f>[2]ALL!$F15/[2]ALL!$C15*100</f>
        <v>52.639517345399703</v>
      </c>
      <c r="D15">
        <f>[3]ALL!$F15/[3]ALL!$C15*100</f>
        <v>49.823186986562213</v>
      </c>
    </row>
    <row r="16" spans="1:43" x14ac:dyDescent="0.3">
      <c r="A16" s="1">
        <v>2004</v>
      </c>
      <c r="B16">
        <f>[1]ALL!$F16/[1]ALL!$C16*100</f>
        <v>59.206302888824048</v>
      </c>
      <c r="C16">
        <f>[2]ALL!$F16/[2]ALL!$C16*100</f>
        <v>54.273504273504273</v>
      </c>
      <c r="D16">
        <f>[3]ALL!$F16/[3]ALL!$C16*100</f>
        <v>50.084408240866694</v>
      </c>
    </row>
    <row r="17" spans="1:9" x14ac:dyDescent="0.3">
      <c r="A17" s="1">
        <v>2005</v>
      </c>
      <c r="B17">
        <f>[1]ALL!$F17/[1]ALL!$C17*100</f>
        <v>57.100591715976336</v>
      </c>
      <c r="C17">
        <f>[2]ALL!$F17/[2]ALL!$C17*100</f>
        <v>53.129548762736533</v>
      </c>
      <c r="D17">
        <f>[3]ALL!$F17/[3]ALL!$C17*100</f>
        <v>50.220678265326455</v>
      </c>
    </row>
    <row r="18" spans="1:9" x14ac:dyDescent="0.3">
      <c r="A18" s="1">
        <v>2006</v>
      </c>
      <c r="B18">
        <f>[1]ALL!$F18/[1]ALL!$C18*100</f>
        <v>58.471669639182331</v>
      </c>
      <c r="C18">
        <f>[2]ALL!$F18/[2]ALL!$C18*100</f>
        <v>55.005055611729013</v>
      </c>
      <c r="D18">
        <f>[3]ALL!$F18/[3]ALL!$C18*100</f>
        <v>50.426407011734412</v>
      </c>
    </row>
    <row r="19" spans="1:9" x14ac:dyDescent="0.3">
      <c r="A19" s="1">
        <v>2007</v>
      </c>
      <c r="B19">
        <f>[1]ALL!$F19/[1]ALL!$C19*100</f>
        <v>59.299091414796955</v>
      </c>
      <c r="C19">
        <f>[2]ALL!$F19/[2]ALL!$C19*100</f>
        <v>52.386278896346006</v>
      </c>
      <c r="D19">
        <f>[3]ALL!$F19/[3]ALL!$C19*100</f>
        <v>51.107143713005343</v>
      </c>
    </row>
    <row r="20" spans="1:9" x14ac:dyDescent="0.3">
      <c r="A20" s="1">
        <v>2008</v>
      </c>
      <c r="B20">
        <f>[1]ALL!$F20/[1]ALL!$C20*100</f>
        <v>59.532744219828103</v>
      </c>
      <c r="C20">
        <f>[2]ALL!$F20/[2]ALL!$C20*100</f>
        <v>52.872996300863129</v>
      </c>
      <c r="D20">
        <f>[3]ALL!$F20/[3]ALL!$C20*100</f>
        <v>51.117266036215966</v>
      </c>
    </row>
    <row r="21" spans="1:9" x14ac:dyDescent="0.3">
      <c r="A21" s="1">
        <v>2009</v>
      </c>
      <c r="B21">
        <f>[1]ALL!$F21/[1]ALL!$C21*100</f>
        <v>59.760489434633577</v>
      </c>
      <c r="C21">
        <f>[2]ALL!$F21/[2]ALL!$C21*100</f>
        <v>53.658101356174157</v>
      </c>
      <c r="D21">
        <f>[3]ALL!$F21/[3]ALL!$C21*100</f>
        <v>51.164830176220541</v>
      </c>
    </row>
    <row r="22" spans="1:9" x14ac:dyDescent="0.3">
      <c r="A22" s="1">
        <v>2010</v>
      </c>
      <c r="B22">
        <f>[1]ALL!$F22/[1]ALL!$C22*100</f>
        <v>59.06790067990535</v>
      </c>
      <c r="C22">
        <f>[2]ALL!$F22/[2]ALL!$C22*100</f>
        <v>53.161024147554912</v>
      </c>
      <c r="D22">
        <f>[3]ALL!$F22/[3]ALL!$C22*100</f>
        <v>51.484672976409094</v>
      </c>
    </row>
    <row r="23" spans="1:9" x14ac:dyDescent="0.3">
      <c r="A23" s="1">
        <v>2011</v>
      </c>
      <c r="B23">
        <f>[1]ALL!$F23/[1]ALL!$C23*100</f>
        <v>58.402581516007935</v>
      </c>
      <c r="C23">
        <f>[2]ALL!$F23/[2]ALL!$C23*100</f>
        <v>53.542176813307442</v>
      </c>
      <c r="D23">
        <f>[3]ALL!$F23/[3]ALL!$C23*100</f>
        <v>52.171739848694074</v>
      </c>
    </row>
    <row r="24" spans="1:9" x14ac:dyDescent="0.3">
      <c r="A24" s="1">
        <v>2012</v>
      </c>
      <c r="B24">
        <f>[1]ALL!$F24/[1]ALL!$C24*100</f>
        <v>57.37678098694191</v>
      </c>
      <c r="C24">
        <f>[2]ALL!$F24/[2]ALL!$C24*100</f>
        <v>51.571175090149389</v>
      </c>
      <c r="D24">
        <f>[3]ALL!$F24/[3]ALL!$C24*100</f>
        <v>52.376505742833132</v>
      </c>
    </row>
    <row r="25" spans="1:9" x14ac:dyDescent="0.3">
      <c r="A25" s="1">
        <v>2013</v>
      </c>
      <c r="B25">
        <f>[1]ALL!$F25/[1]ALL!$C25*100</f>
        <v>57.423770021273477</v>
      </c>
      <c r="C25">
        <f>[2]ALL!$F25/[2]ALL!$C25*100</f>
        <v>52.32873232280464</v>
      </c>
      <c r="D25">
        <f>[3]ALL!$F25/[3]ALL!$C25*100</f>
        <v>53.055393627969572</v>
      </c>
    </row>
    <row r="26" spans="1:9" x14ac:dyDescent="0.3">
      <c r="A26" s="1">
        <v>2014</v>
      </c>
      <c r="B26">
        <f>[1]ALL!$F26/[1]ALL!$C26*100</f>
        <v>56.965671235704164</v>
      </c>
      <c r="C26">
        <f>[2]ALL!$F26/[2]ALL!$C26*100</f>
        <v>52.52100840336135</v>
      </c>
      <c r="D26">
        <f>[3]ALL!$F26/[3]ALL!$C26*100</f>
        <v>53.631269664685121</v>
      </c>
    </row>
    <row r="27" spans="1:9" x14ac:dyDescent="0.3">
      <c r="A27" s="1">
        <v>2015</v>
      </c>
      <c r="B27">
        <f>[1]ALL!$F27/[1]ALL!$C27*100</f>
        <v>57.369399199798735</v>
      </c>
      <c r="C27">
        <f>[2]ALL!$F27/[2]ALL!$C27*100</f>
        <v>52.981176127243543</v>
      </c>
      <c r="D27">
        <f>[3]ALL!$F27/[3]ALL!$C27*100</f>
        <v>53.941984533559562</v>
      </c>
    </row>
    <row r="28" spans="1:9" x14ac:dyDescent="0.3">
      <c r="A28" s="1">
        <v>2016</v>
      </c>
      <c r="B28">
        <f>[1]ALL!$F28/[1]ALL!$C28*100</f>
        <v>57.636758321273518</v>
      </c>
      <c r="C28">
        <f>[2]ALL!$F28/[2]ALL!$C28*100</f>
        <v>54.054394359103497</v>
      </c>
      <c r="D28">
        <f>[3]ALL!$F28/[3]ALL!$C28*100</f>
        <v>54.46197695338445</v>
      </c>
    </row>
    <row r="29" spans="1:9" x14ac:dyDescent="0.3">
      <c r="A29" s="1">
        <v>2017</v>
      </c>
      <c r="B29">
        <f>[1]ALL!$F29/[1]ALL!$C29*100</f>
        <v>57.103002109865528</v>
      </c>
      <c r="C29">
        <f>[2]ALL!$F29/[2]ALL!$C29*100</f>
        <v>54.003753173639481</v>
      </c>
      <c r="D29">
        <f>[3]ALL!$F29/[3]ALL!$C29*100</f>
        <v>54.463310558532932</v>
      </c>
    </row>
    <row r="30" spans="1:9" ht="17.25" x14ac:dyDescent="0.3">
      <c r="A30" s="1">
        <v>2018</v>
      </c>
      <c r="B30">
        <f>[1]ALL!$F30/[1]ALL!$C30*100</f>
        <v>57.36692406238614</v>
      </c>
      <c r="C30">
        <f>[2]ALL!$F30/[2]ALL!$C30*100</f>
        <v>53.637027245644845</v>
      </c>
      <c r="D30">
        <f>[3]ALL!$F30/[3]ALL!$C30*100</f>
        <v>54.504715238962895</v>
      </c>
      <c r="G30" s="1" t="s">
        <v>8</v>
      </c>
      <c r="H30" s="1" t="s">
        <v>11</v>
      </c>
      <c r="I30" s="1" t="s">
        <v>9</v>
      </c>
    </row>
    <row r="31" spans="1:9" x14ac:dyDescent="0.3">
      <c r="A31" s="1">
        <v>2019</v>
      </c>
      <c r="B31">
        <f>[1]ALL!$F31/[1]ALL!$C31*100</f>
        <v>57.269204215024715</v>
      </c>
      <c r="C31">
        <f>[2]ALL!$F31/[2]ALL!$C31*100</f>
        <v>54.325868828493583</v>
      </c>
      <c r="D31">
        <f>[3]ALL!$F31/[3]ALL!$C31*100</f>
        <v>54.887616624257852</v>
      </c>
      <c r="G31" t="s">
        <v>17</v>
      </c>
      <c r="H31" s="1">
        <f>[1]ALL!$C$38</f>
        <v>3154830</v>
      </c>
      <c r="I31" s="1" t="str">
        <f>[1]ALL!$F$38 &amp; " (" &amp; [1]ALL!$F$40 &amp; "-" &amp; [1]ALL!$F$39 &amp; ")"</f>
        <v>1862728 (4-228058)</v>
      </c>
    </row>
    <row r="32" spans="1:9" x14ac:dyDescent="0.3">
      <c r="A32" s="1">
        <v>2020</v>
      </c>
      <c r="B32">
        <f>[1]ALL!$F32/[1]ALL!$C32*100</f>
        <v>58.13469469407854</v>
      </c>
      <c r="C32">
        <f>[2]ALL!$F32/[2]ALL!$C32*100</f>
        <v>55.122644237418115</v>
      </c>
      <c r="D32">
        <f>[3]ALL!$F32/[3]ALL!$C32*100</f>
        <v>55.410790845961898</v>
      </c>
      <c r="G32" t="s">
        <v>16</v>
      </c>
      <c r="H32" s="1">
        <f>[2]ALL!$C$38</f>
        <v>974002</v>
      </c>
      <c r="I32" s="1" t="str">
        <f>[2]ALL!$F$38 &amp; " (" &amp; [2]ALL!$F$40 &amp; "-" &amp; [2]ALL!$F$39 &amp; ")"</f>
        <v>535773 (54-67520)</v>
      </c>
    </row>
    <row r="33" spans="1:14" x14ac:dyDescent="0.3">
      <c r="A33" s="1">
        <v>2021</v>
      </c>
      <c r="B33">
        <f>[1]ALL!$F33/[1]ALL!$C33*100</f>
        <v>59.535387886494327</v>
      </c>
      <c r="C33">
        <f>[2]ALL!$F33/[2]ALL!$C33*100</f>
        <v>56.118969136799315</v>
      </c>
      <c r="D33">
        <f>[3]ALL!$F33/[3]ALL!$C33*100</f>
        <v>56.179524719068439</v>
      </c>
      <c r="G33" t="s">
        <v>15</v>
      </c>
      <c r="H33" s="1">
        <f>[3]ALL!$C$38</f>
        <v>3500485</v>
      </c>
      <c r="I33" s="1" t="str">
        <f>[3]ALL!$F$38 &amp; " (" &amp; [3]ALL!$F$40 &amp; "-" &amp; [3]ALL!$F$39 &amp; ")"</f>
        <v>1867531 (9688-115886)</v>
      </c>
      <c r="L33" s="1"/>
      <c r="M33" s="1"/>
      <c r="N33" s="1"/>
    </row>
    <row r="34" spans="1:14" x14ac:dyDescent="0.3">
      <c r="A34" s="1">
        <v>2022</v>
      </c>
      <c r="B34">
        <f>[1]ALL!$F34/[1]ALL!$C34*100</f>
        <v>59.376497052758751</v>
      </c>
      <c r="C34">
        <f>[2]ALL!$F34/[2]ALL!$C34*100</f>
        <v>55.070714320669452</v>
      </c>
      <c r="D34">
        <f>[3]ALL!$F34/[3]ALL!$C34*100</f>
        <v>55.893875728234178</v>
      </c>
      <c r="L34" s="1"/>
      <c r="M34" s="1"/>
      <c r="N34" s="1"/>
    </row>
    <row r="35" spans="1:14" x14ac:dyDescent="0.3">
      <c r="A35" s="1">
        <v>2023</v>
      </c>
      <c r="B35">
        <f>[1]ALL!$F35/[1]ALL!$C35*100</f>
        <v>60.165264625013513</v>
      </c>
      <c r="C35">
        <f>[2]ALL!$F35/[2]ALL!$C35*100</f>
        <v>55.824915210969692</v>
      </c>
      <c r="D35">
        <f>[3]ALL!$F35/[3]ALL!$C35*100</f>
        <v>56.476172862338949</v>
      </c>
      <c r="L35" s="1"/>
      <c r="M35" s="1"/>
      <c r="N35" s="1"/>
    </row>
    <row r="36" spans="1:14" x14ac:dyDescent="0.3">
      <c r="A36" s="1">
        <v>2024</v>
      </c>
      <c r="B36">
        <f>[1]ALL!$F36/[1]ALL!$C36*100</f>
        <v>60.40668210690454</v>
      </c>
      <c r="C36">
        <f>[2]ALL!$F36/[2]ALL!$C36*100</f>
        <v>55.947277996633296</v>
      </c>
      <c r="D36">
        <f>[3]ALL!$F36/[3]ALL!$C36*100</f>
        <v>56.338058757417976</v>
      </c>
      <c r="L36" s="1"/>
      <c r="M36" s="1"/>
      <c r="N36" s="1"/>
    </row>
    <row r="37" spans="1:14" x14ac:dyDescent="0.3">
      <c r="A37" s="1">
        <v>2025</v>
      </c>
      <c r="B37">
        <f>[1]ALL!$F37/[1]ALL!$C37*100</f>
        <v>62.48083897593483</v>
      </c>
      <c r="C37">
        <f>[2]ALL!$F37/[2]ALL!$C37*100</f>
        <v>57.01058995455729</v>
      </c>
      <c r="D37">
        <f>[3]ALL!$F37/[3]ALL!$C37*100</f>
        <v>56.975671306336508</v>
      </c>
      <c r="L37" s="1"/>
      <c r="M37" s="1"/>
      <c r="N37" s="1"/>
    </row>
    <row r="38" spans="1:14" x14ac:dyDescent="0.3">
      <c r="A38" s="1" t="s">
        <v>5</v>
      </c>
      <c r="L38" s="1"/>
      <c r="M38" s="1"/>
      <c r="N38" s="1"/>
    </row>
    <row r="39" spans="1:14" x14ac:dyDescent="0.3">
      <c r="A39" s="1" t="s">
        <v>6</v>
      </c>
      <c r="L39" s="1"/>
      <c r="M39" s="1"/>
      <c r="N39" s="1"/>
    </row>
    <row r="40" spans="1:14" x14ac:dyDescent="0.3">
      <c r="A40" s="1" t="s">
        <v>7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355E7-2773-488F-8E52-B9A506C7DEC5}">
  <dimension ref="A1:AQ40"/>
  <sheetViews>
    <sheetView topLeftCell="G1" zoomScale="87" zoomScaleNormal="85" workbookViewId="0">
      <selection activeCell="X26" activeCellId="1" sqref="X24 X26"/>
    </sheetView>
  </sheetViews>
  <sheetFormatPr defaultRowHeight="16.5" x14ac:dyDescent="0.3"/>
  <cols>
    <col min="1" max="1" width="9" style="1"/>
  </cols>
  <sheetData>
    <row r="1" spans="1:43" x14ac:dyDescent="0.3">
      <c r="A1" s="1" t="s">
        <v>4</v>
      </c>
      <c r="B1" t="s">
        <v>17</v>
      </c>
      <c r="C1" t="s">
        <v>16</v>
      </c>
      <c r="D1" t="s">
        <v>15</v>
      </c>
      <c r="F1" t="s">
        <v>3</v>
      </c>
      <c r="G1" t="str">
        <f t="shared" ref="G1:AQ4" si="0">G6</f>
        <v>Year</v>
      </c>
      <c r="H1">
        <f t="shared" si="0"/>
        <v>1990</v>
      </c>
      <c r="M1">
        <f t="shared" si="0"/>
        <v>1995</v>
      </c>
      <c r="R1">
        <f t="shared" si="0"/>
        <v>2000</v>
      </c>
      <c r="W1">
        <f t="shared" si="0"/>
        <v>2005</v>
      </c>
      <c r="AB1">
        <f t="shared" si="0"/>
        <v>2010</v>
      </c>
      <c r="AG1">
        <f t="shared" si="0"/>
        <v>2015</v>
      </c>
      <c r="AL1">
        <f t="shared" si="0"/>
        <v>2020</v>
      </c>
      <c r="AQ1">
        <f t="shared" si="0"/>
        <v>2025</v>
      </c>
    </row>
    <row r="2" spans="1:43" x14ac:dyDescent="0.3">
      <c r="A2" s="1">
        <v>1990</v>
      </c>
      <c r="B2">
        <f>[1]ALL!$F2/[1]ALL!$C2*100</f>
        <v>33.333333333333329</v>
      </c>
      <c r="C2">
        <f>[2]ALL!$F2/[2]ALL!$C2*100</f>
        <v>60</v>
      </c>
      <c r="D2">
        <f>[3]ALL!$F2/[3]ALL!$C2*100</f>
        <v>46.394023560961593</v>
      </c>
      <c r="G2" t="str">
        <f t="shared" si="0"/>
        <v>PMC Full-texts</v>
      </c>
      <c r="H2">
        <f t="shared" si="0"/>
        <v>33.333333333333329</v>
      </c>
      <c r="I2">
        <f t="shared" si="0"/>
        <v>72.727272727272734</v>
      </c>
      <c r="J2">
        <f t="shared" si="0"/>
        <v>42.857142857142854</v>
      </c>
      <c r="K2">
        <f t="shared" si="0"/>
        <v>56.25</v>
      </c>
      <c r="L2">
        <f t="shared" si="0"/>
        <v>44.117647058823529</v>
      </c>
      <c r="M2">
        <f t="shared" si="0"/>
        <v>37.5</v>
      </c>
      <c r="N2">
        <f t="shared" si="0"/>
        <v>41.860465116279073</v>
      </c>
      <c r="O2">
        <f t="shared" si="0"/>
        <v>45.547945205479451</v>
      </c>
      <c r="P2">
        <f t="shared" si="0"/>
        <v>47.632311977715879</v>
      </c>
      <c r="Q2">
        <f t="shared" si="0"/>
        <v>48.395061728395063</v>
      </c>
      <c r="R2">
        <f t="shared" si="0"/>
        <v>45.20295202952029</v>
      </c>
      <c r="S2">
        <f t="shared" si="0"/>
        <v>52.556237218813905</v>
      </c>
      <c r="T2">
        <f t="shared" si="0"/>
        <v>53.799758745476481</v>
      </c>
      <c r="U2">
        <f t="shared" si="0"/>
        <v>57.613882863340557</v>
      </c>
      <c r="V2">
        <f t="shared" si="0"/>
        <v>59.206302888824048</v>
      </c>
      <c r="W2">
        <f t="shared" si="0"/>
        <v>57.100591715976336</v>
      </c>
      <c r="X2">
        <f t="shared" si="0"/>
        <v>58.471669639182331</v>
      </c>
      <c r="Y2">
        <f t="shared" si="0"/>
        <v>59.299091414796955</v>
      </c>
      <c r="Z2">
        <f t="shared" si="0"/>
        <v>59.532744219828103</v>
      </c>
      <c r="AA2">
        <f t="shared" si="0"/>
        <v>59.760489434633577</v>
      </c>
      <c r="AB2">
        <f t="shared" si="0"/>
        <v>59.06790067990535</v>
      </c>
      <c r="AC2">
        <f t="shared" si="0"/>
        <v>58.402581516007935</v>
      </c>
      <c r="AD2">
        <f t="shared" si="0"/>
        <v>57.37678098694191</v>
      </c>
      <c r="AE2">
        <f t="shared" si="0"/>
        <v>57.423770021273477</v>
      </c>
      <c r="AF2">
        <f t="shared" si="0"/>
        <v>56.965671235704164</v>
      </c>
      <c r="AG2">
        <f t="shared" si="0"/>
        <v>57.369399199798735</v>
      </c>
      <c r="AH2">
        <f t="shared" si="0"/>
        <v>57.636758321273518</v>
      </c>
      <c r="AI2">
        <f t="shared" si="0"/>
        <v>57.103002109865528</v>
      </c>
      <c r="AJ2">
        <f t="shared" si="0"/>
        <v>57.36692406238614</v>
      </c>
      <c r="AK2">
        <f t="shared" si="0"/>
        <v>57.269204215024715</v>
      </c>
      <c r="AL2">
        <f t="shared" si="0"/>
        <v>58.13469469407854</v>
      </c>
      <c r="AM2">
        <f t="shared" si="0"/>
        <v>59.535387886494327</v>
      </c>
      <c r="AN2">
        <f t="shared" si="0"/>
        <v>59.376497052758751</v>
      </c>
      <c r="AO2">
        <f t="shared" si="0"/>
        <v>60.165264625013513</v>
      </c>
      <c r="AP2">
        <f t="shared" si="0"/>
        <v>60.40668210690454</v>
      </c>
      <c r="AQ2">
        <f t="shared" si="0"/>
        <v>62.48083897593483</v>
      </c>
    </row>
    <row r="3" spans="1:43" x14ac:dyDescent="0.3">
      <c r="A3" s="1">
        <v>1991</v>
      </c>
      <c r="B3">
        <f>[1]ALL!$F3/[1]ALL!$C3*100</f>
        <v>72.727272727272734</v>
      </c>
      <c r="C3">
        <f>[2]ALL!$F3/[2]ALL!$C3*100</f>
        <v>56.115107913669057</v>
      </c>
      <c r="D3">
        <f>[3]ALL!$F3/[3]ALL!$C3*100</f>
        <v>46.167362178783222</v>
      </c>
      <c r="G3" t="str">
        <f t="shared" si="0"/>
        <v>PMC Abstracts</v>
      </c>
      <c r="H3">
        <f t="shared" si="0"/>
        <v>60</v>
      </c>
      <c r="I3">
        <f t="shared" si="0"/>
        <v>56.115107913669057</v>
      </c>
      <c r="J3">
        <f t="shared" si="0"/>
        <v>51.748251748251747</v>
      </c>
      <c r="K3">
        <f t="shared" si="0"/>
        <v>50</v>
      </c>
      <c r="L3">
        <f t="shared" si="0"/>
        <v>51.304347826086961</v>
      </c>
      <c r="M3">
        <f t="shared" si="0"/>
        <v>47.321428571428569</v>
      </c>
      <c r="N3">
        <f t="shared" si="0"/>
        <v>49.446494464944649</v>
      </c>
      <c r="O3">
        <f t="shared" si="0"/>
        <v>49.315068493150683</v>
      </c>
      <c r="P3">
        <f t="shared" si="0"/>
        <v>56.40243902439024</v>
      </c>
      <c r="Q3">
        <f t="shared" si="0"/>
        <v>56.043956043956044</v>
      </c>
      <c r="R3">
        <f t="shared" si="0"/>
        <v>49.435028248587571</v>
      </c>
      <c r="S3">
        <f t="shared" si="0"/>
        <v>48.775055679287306</v>
      </c>
      <c r="T3">
        <f t="shared" si="0"/>
        <v>53.159851301115246</v>
      </c>
      <c r="U3">
        <f t="shared" si="0"/>
        <v>52.639517345399703</v>
      </c>
      <c r="V3">
        <f t="shared" si="0"/>
        <v>54.273504273504273</v>
      </c>
      <c r="W3">
        <f t="shared" si="0"/>
        <v>53.129548762736533</v>
      </c>
      <c r="X3">
        <f t="shared" si="0"/>
        <v>55.005055611729013</v>
      </c>
      <c r="Y3">
        <f t="shared" si="0"/>
        <v>52.386278896346006</v>
      </c>
      <c r="Z3">
        <f t="shared" si="0"/>
        <v>52.872996300863129</v>
      </c>
      <c r="AA3">
        <f t="shared" si="0"/>
        <v>53.658101356174157</v>
      </c>
      <c r="AB3">
        <f t="shared" si="0"/>
        <v>53.161024147554912</v>
      </c>
      <c r="AC3">
        <f t="shared" si="0"/>
        <v>53.542176813307442</v>
      </c>
      <c r="AD3">
        <f t="shared" si="0"/>
        <v>51.571175090149389</v>
      </c>
      <c r="AE3">
        <f t="shared" si="0"/>
        <v>52.32873232280464</v>
      </c>
      <c r="AF3">
        <f t="shared" si="0"/>
        <v>52.52100840336135</v>
      </c>
      <c r="AG3">
        <f t="shared" si="0"/>
        <v>52.981176127243543</v>
      </c>
      <c r="AH3">
        <f t="shared" si="0"/>
        <v>54.054394359103497</v>
      </c>
      <c r="AI3">
        <f t="shared" si="0"/>
        <v>54.003753173639481</v>
      </c>
      <c r="AJ3">
        <f t="shared" si="0"/>
        <v>53.637027245644845</v>
      </c>
      <c r="AK3">
        <f t="shared" si="0"/>
        <v>54.325868828493583</v>
      </c>
      <c r="AL3">
        <f t="shared" si="0"/>
        <v>55.122644237418115</v>
      </c>
      <c r="AM3">
        <f t="shared" si="0"/>
        <v>56.118969136799315</v>
      </c>
      <c r="AN3">
        <f t="shared" si="0"/>
        <v>55.070714320669452</v>
      </c>
      <c r="AO3">
        <f t="shared" si="0"/>
        <v>55.824915210969692</v>
      </c>
      <c r="AP3">
        <f t="shared" si="0"/>
        <v>55.947277996633296</v>
      </c>
      <c r="AQ3">
        <f t="shared" si="0"/>
        <v>57.01058995455729</v>
      </c>
    </row>
    <row r="4" spans="1:43" x14ac:dyDescent="0.3">
      <c r="A4" s="1">
        <v>1992</v>
      </c>
      <c r="B4">
        <f>[1]ALL!$F4/[1]ALL!$C4*100</f>
        <v>42.857142857142854</v>
      </c>
      <c r="C4">
        <f>[2]ALL!$F4/[2]ALL!$C4*100</f>
        <v>51.748251748251747</v>
      </c>
      <c r="D4">
        <f>[3]ALL!$F4/[3]ALL!$C4*100</f>
        <v>46.933652121936639</v>
      </c>
      <c r="G4" t="str">
        <f t="shared" si="0"/>
        <v>PubMed Abstracts</v>
      </c>
      <c r="H4">
        <f t="shared" si="0"/>
        <v>46.394023560961593</v>
      </c>
      <c r="I4">
        <f t="shared" si="0"/>
        <v>46.167362178783222</v>
      </c>
      <c r="J4">
        <f t="shared" si="0"/>
        <v>46.933652121936639</v>
      </c>
      <c r="K4">
        <f t="shared" si="0"/>
        <v>47.512574806329624</v>
      </c>
      <c r="L4">
        <f t="shared" si="0"/>
        <v>47.922793496264745</v>
      </c>
      <c r="M4">
        <f t="shared" si="0"/>
        <v>47.93347089351591</v>
      </c>
      <c r="N4">
        <f t="shared" si="0"/>
        <v>48.670274674115454</v>
      </c>
      <c r="O4">
        <f t="shared" si="0"/>
        <v>49.371893604238352</v>
      </c>
      <c r="P4">
        <f t="shared" si="0"/>
        <v>49.173950255465932</v>
      </c>
      <c r="Q4">
        <f t="shared" si="0"/>
        <v>49.842579259512362</v>
      </c>
      <c r="R4">
        <f t="shared" si="0"/>
        <v>49.973043294812591</v>
      </c>
      <c r="S4">
        <f t="shared" si="0"/>
        <v>50.065248597155168</v>
      </c>
      <c r="T4">
        <f t="shared" si="0"/>
        <v>50.004052684903741</v>
      </c>
      <c r="U4">
        <f t="shared" si="0"/>
        <v>49.823186986562213</v>
      </c>
      <c r="V4">
        <f t="shared" si="0"/>
        <v>50.084408240866694</v>
      </c>
      <c r="W4">
        <f t="shared" si="0"/>
        <v>50.220678265326455</v>
      </c>
      <c r="X4">
        <f t="shared" si="0"/>
        <v>50.426407011734412</v>
      </c>
      <c r="Y4">
        <f t="shared" si="0"/>
        <v>51.107143713005343</v>
      </c>
      <c r="Z4">
        <f t="shared" si="0"/>
        <v>51.117266036215966</v>
      </c>
      <c r="AA4">
        <f t="shared" si="0"/>
        <v>51.164830176220541</v>
      </c>
      <c r="AB4">
        <f t="shared" si="0"/>
        <v>51.484672976409094</v>
      </c>
      <c r="AC4">
        <f t="shared" si="0"/>
        <v>52.171739848694074</v>
      </c>
      <c r="AD4">
        <f t="shared" si="0"/>
        <v>52.376505742833132</v>
      </c>
      <c r="AE4">
        <f t="shared" si="0"/>
        <v>53.055393627969572</v>
      </c>
      <c r="AF4">
        <f t="shared" si="0"/>
        <v>53.631269664685121</v>
      </c>
      <c r="AG4">
        <f t="shared" si="0"/>
        <v>53.941984533559562</v>
      </c>
      <c r="AH4">
        <f t="shared" si="0"/>
        <v>54.46197695338445</v>
      </c>
      <c r="AI4">
        <f t="shared" si="0"/>
        <v>54.463310558532932</v>
      </c>
      <c r="AJ4">
        <f t="shared" si="0"/>
        <v>54.504715238962895</v>
      </c>
      <c r="AK4">
        <f t="shared" si="0"/>
        <v>54.887616624257852</v>
      </c>
      <c r="AL4">
        <f t="shared" si="0"/>
        <v>55.410790845961898</v>
      </c>
      <c r="AM4">
        <f t="shared" si="0"/>
        <v>56.179524719068439</v>
      </c>
      <c r="AN4">
        <f t="shared" si="0"/>
        <v>55.893875728234178</v>
      </c>
      <c r="AO4">
        <f t="shared" si="0"/>
        <v>56.476172862338949</v>
      </c>
      <c r="AP4">
        <f t="shared" si="0"/>
        <v>56.338058757417976</v>
      </c>
      <c r="AQ4">
        <f t="shared" si="0"/>
        <v>56.975671306336508</v>
      </c>
    </row>
    <row r="5" spans="1:43" x14ac:dyDescent="0.3">
      <c r="A5" s="1">
        <v>1993</v>
      </c>
      <c r="B5">
        <f>[1]ALL!$F5/[1]ALL!$C5*100</f>
        <v>56.25</v>
      </c>
      <c r="C5">
        <f>[2]ALL!$F5/[2]ALL!$C5*100</f>
        <v>50</v>
      </c>
      <c r="D5">
        <f>[3]ALL!$F5/[3]ALL!$C5*100</f>
        <v>47.512574806329624</v>
      </c>
    </row>
    <row r="6" spans="1:43" x14ac:dyDescent="0.3">
      <c r="A6" s="1">
        <v>1994</v>
      </c>
      <c r="B6">
        <f>[1]ALL!$F6/[1]ALL!$C6*100</f>
        <v>44.117647058823529</v>
      </c>
      <c r="C6">
        <f>[2]ALL!$F6/[2]ALL!$C6*100</f>
        <v>51.304347826086961</v>
      </c>
      <c r="D6">
        <f>[3]ALL!$F6/[3]ALL!$C6*100</f>
        <v>47.922793496264745</v>
      </c>
      <c r="G6" t="str" cm="1">
        <f t="array" ref="G6:AQ9">TRANSPOSE(A1:D37)</f>
        <v>Year</v>
      </c>
      <c r="H6">
        <v>1990</v>
      </c>
      <c r="I6">
        <v>1991</v>
      </c>
      <c r="J6">
        <v>1992</v>
      </c>
      <c r="K6">
        <v>1993</v>
      </c>
      <c r="L6">
        <v>1994</v>
      </c>
      <c r="M6">
        <v>1995</v>
      </c>
      <c r="N6">
        <v>1996</v>
      </c>
      <c r="O6">
        <v>1997</v>
      </c>
      <c r="P6">
        <v>1998</v>
      </c>
      <c r="Q6">
        <v>1999</v>
      </c>
      <c r="R6">
        <v>2000</v>
      </c>
      <c r="S6">
        <v>2001</v>
      </c>
      <c r="T6">
        <v>2002</v>
      </c>
      <c r="U6">
        <v>2003</v>
      </c>
      <c r="V6">
        <v>2004</v>
      </c>
      <c r="W6">
        <v>2005</v>
      </c>
      <c r="X6">
        <v>2006</v>
      </c>
      <c r="Y6">
        <v>2007</v>
      </c>
      <c r="Z6">
        <v>2008</v>
      </c>
      <c r="AA6">
        <v>2009</v>
      </c>
      <c r="AB6">
        <v>2010</v>
      </c>
      <c r="AC6">
        <v>2011</v>
      </c>
      <c r="AD6">
        <v>2012</v>
      </c>
      <c r="AE6">
        <v>2013</v>
      </c>
      <c r="AF6">
        <v>2014</v>
      </c>
      <c r="AG6">
        <v>2015</v>
      </c>
      <c r="AH6">
        <v>2016</v>
      </c>
      <c r="AI6">
        <v>2017</v>
      </c>
      <c r="AJ6">
        <v>2018</v>
      </c>
      <c r="AK6">
        <v>2019</v>
      </c>
      <c r="AL6">
        <v>2020</v>
      </c>
      <c r="AM6">
        <v>2021</v>
      </c>
      <c r="AN6">
        <v>2022</v>
      </c>
      <c r="AO6">
        <v>2023</v>
      </c>
      <c r="AP6">
        <v>2024</v>
      </c>
      <c r="AQ6">
        <v>2025</v>
      </c>
    </row>
    <row r="7" spans="1:43" x14ac:dyDescent="0.3">
      <c r="A7" s="1">
        <v>1995</v>
      </c>
      <c r="B7">
        <f>[1]ALL!$F7/[1]ALL!$C7*100</f>
        <v>37.5</v>
      </c>
      <c r="C7">
        <f>[2]ALL!$F7/[2]ALL!$C7*100</f>
        <v>47.321428571428569</v>
      </c>
      <c r="D7">
        <f>[3]ALL!$F7/[3]ALL!$C7*100</f>
        <v>47.93347089351591</v>
      </c>
      <c r="G7" t="str">
        <v>PMC Full-texts</v>
      </c>
      <c r="H7">
        <v>33.333333333333329</v>
      </c>
      <c r="I7">
        <v>72.727272727272734</v>
      </c>
      <c r="J7">
        <v>42.857142857142854</v>
      </c>
      <c r="K7">
        <v>56.25</v>
      </c>
      <c r="L7">
        <v>44.117647058823529</v>
      </c>
      <c r="M7">
        <v>37.5</v>
      </c>
      <c r="N7">
        <v>41.860465116279073</v>
      </c>
      <c r="O7">
        <v>45.547945205479451</v>
      </c>
      <c r="P7">
        <v>47.632311977715879</v>
      </c>
      <c r="Q7">
        <v>48.395061728395063</v>
      </c>
      <c r="R7">
        <v>45.20295202952029</v>
      </c>
      <c r="S7">
        <v>52.556237218813905</v>
      </c>
      <c r="T7">
        <v>53.799758745476481</v>
      </c>
      <c r="U7">
        <v>57.613882863340557</v>
      </c>
      <c r="V7">
        <v>59.206302888824048</v>
      </c>
      <c r="W7">
        <v>57.100591715976336</v>
      </c>
      <c r="X7">
        <v>58.471669639182331</v>
      </c>
      <c r="Y7">
        <v>59.299091414796955</v>
      </c>
      <c r="Z7">
        <v>59.532744219828103</v>
      </c>
      <c r="AA7">
        <v>59.760489434633577</v>
      </c>
      <c r="AB7">
        <v>59.06790067990535</v>
      </c>
      <c r="AC7">
        <v>58.402581516007935</v>
      </c>
      <c r="AD7">
        <v>57.37678098694191</v>
      </c>
      <c r="AE7">
        <v>57.423770021273477</v>
      </c>
      <c r="AF7">
        <v>56.965671235704164</v>
      </c>
      <c r="AG7">
        <v>57.369399199798735</v>
      </c>
      <c r="AH7">
        <v>57.636758321273518</v>
      </c>
      <c r="AI7">
        <v>57.103002109865528</v>
      </c>
      <c r="AJ7">
        <v>57.36692406238614</v>
      </c>
      <c r="AK7">
        <v>57.269204215024715</v>
      </c>
      <c r="AL7">
        <v>58.13469469407854</v>
      </c>
      <c r="AM7">
        <v>59.535387886494327</v>
      </c>
      <c r="AN7">
        <v>59.376497052758751</v>
      </c>
      <c r="AO7">
        <v>60.165264625013513</v>
      </c>
      <c r="AP7">
        <v>60.40668210690454</v>
      </c>
      <c r="AQ7">
        <v>62.48083897593483</v>
      </c>
    </row>
    <row r="8" spans="1:43" x14ac:dyDescent="0.3">
      <c r="A8" s="1">
        <v>1996</v>
      </c>
      <c r="B8">
        <f>[1]ALL!$F8/[1]ALL!$C8*100</f>
        <v>41.860465116279073</v>
      </c>
      <c r="C8">
        <f>[2]ALL!$F8/[2]ALL!$C8*100</f>
        <v>49.446494464944649</v>
      </c>
      <c r="D8">
        <f>[3]ALL!$F8/[3]ALL!$C8*100</f>
        <v>48.670274674115454</v>
      </c>
      <c r="G8" t="str">
        <v>PMC Abstracts</v>
      </c>
      <c r="H8">
        <v>60</v>
      </c>
      <c r="I8">
        <v>56.115107913669057</v>
      </c>
      <c r="J8">
        <v>51.748251748251747</v>
      </c>
      <c r="K8">
        <v>50</v>
      </c>
      <c r="L8">
        <v>51.304347826086961</v>
      </c>
      <c r="M8">
        <v>47.321428571428569</v>
      </c>
      <c r="N8">
        <v>49.446494464944649</v>
      </c>
      <c r="O8">
        <v>49.315068493150683</v>
      </c>
      <c r="P8">
        <v>56.40243902439024</v>
      </c>
      <c r="Q8">
        <v>56.043956043956044</v>
      </c>
      <c r="R8">
        <v>49.435028248587571</v>
      </c>
      <c r="S8">
        <v>48.775055679287306</v>
      </c>
      <c r="T8">
        <v>53.159851301115246</v>
      </c>
      <c r="U8">
        <v>52.639517345399703</v>
      </c>
      <c r="V8">
        <v>54.273504273504273</v>
      </c>
      <c r="W8">
        <v>53.129548762736533</v>
      </c>
      <c r="X8">
        <v>55.005055611729013</v>
      </c>
      <c r="Y8">
        <v>52.386278896346006</v>
      </c>
      <c r="Z8">
        <v>52.872996300863129</v>
      </c>
      <c r="AA8">
        <v>53.658101356174157</v>
      </c>
      <c r="AB8">
        <v>53.161024147554912</v>
      </c>
      <c r="AC8">
        <v>53.542176813307442</v>
      </c>
      <c r="AD8">
        <v>51.571175090149389</v>
      </c>
      <c r="AE8">
        <v>52.32873232280464</v>
      </c>
      <c r="AF8">
        <v>52.52100840336135</v>
      </c>
      <c r="AG8">
        <v>52.981176127243543</v>
      </c>
      <c r="AH8">
        <v>54.054394359103497</v>
      </c>
      <c r="AI8">
        <v>54.003753173639481</v>
      </c>
      <c r="AJ8">
        <v>53.637027245644845</v>
      </c>
      <c r="AK8">
        <v>54.325868828493583</v>
      </c>
      <c r="AL8">
        <v>55.122644237418115</v>
      </c>
      <c r="AM8">
        <v>56.118969136799315</v>
      </c>
      <c r="AN8">
        <v>55.070714320669452</v>
      </c>
      <c r="AO8">
        <v>55.824915210969692</v>
      </c>
      <c r="AP8">
        <v>55.947277996633296</v>
      </c>
      <c r="AQ8">
        <v>57.01058995455729</v>
      </c>
    </row>
    <row r="9" spans="1:43" x14ac:dyDescent="0.3">
      <c r="A9" s="1">
        <v>1997</v>
      </c>
      <c r="B9">
        <f>[1]ALL!$F9/[1]ALL!$C9*100</f>
        <v>45.547945205479451</v>
      </c>
      <c r="C9">
        <f>[2]ALL!$F9/[2]ALL!$C9*100</f>
        <v>49.315068493150683</v>
      </c>
      <c r="D9">
        <f>[3]ALL!$F9/[3]ALL!$C9*100</f>
        <v>49.371893604238352</v>
      </c>
      <c r="G9" t="str">
        <v>PubMed Abstracts</v>
      </c>
      <c r="H9">
        <v>46.394023560961593</v>
      </c>
      <c r="I9">
        <v>46.167362178783222</v>
      </c>
      <c r="J9">
        <v>46.933652121936639</v>
      </c>
      <c r="K9">
        <v>47.512574806329624</v>
      </c>
      <c r="L9">
        <v>47.922793496264745</v>
      </c>
      <c r="M9">
        <v>47.93347089351591</v>
      </c>
      <c r="N9">
        <v>48.670274674115454</v>
      </c>
      <c r="O9">
        <v>49.371893604238352</v>
      </c>
      <c r="P9">
        <v>49.173950255465932</v>
      </c>
      <c r="Q9">
        <v>49.842579259512362</v>
      </c>
      <c r="R9">
        <v>49.973043294812591</v>
      </c>
      <c r="S9">
        <v>50.065248597155168</v>
      </c>
      <c r="T9">
        <v>50.004052684903741</v>
      </c>
      <c r="U9">
        <v>49.823186986562213</v>
      </c>
      <c r="V9">
        <v>50.084408240866694</v>
      </c>
      <c r="W9">
        <v>50.220678265326455</v>
      </c>
      <c r="X9">
        <v>50.426407011734412</v>
      </c>
      <c r="Y9">
        <v>51.107143713005343</v>
      </c>
      <c r="Z9">
        <v>51.117266036215966</v>
      </c>
      <c r="AA9">
        <v>51.164830176220541</v>
      </c>
      <c r="AB9">
        <v>51.484672976409094</v>
      </c>
      <c r="AC9">
        <v>52.171739848694074</v>
      </c>
      <c r="AD9">
        <v>52.376505742833132</v>
      </c>
      <c r="AE9">
        <v>53.055393627969572</v>
      </c>
      <c r="AF9">
        <v>53.631269664685121</v>
      </c>
      <c r="AG9">
        <v>53.941984533559562</v>
      </c>
      <c r="AH9">
        <v>54.46197695338445</v>
      </c>
      <c r="AI9">
        <v>54.463310558532932</v>
      </c>
      <c r="AJ9">
        <v>54.504715238962895</v>
      </c>
      <c r="AK9">
        <v>54.887616624257852</v>
      </c>
      <c r="AL9">
        <v>55.410790845961898</v>
      </c>
      <c r="AM9">
        <v>56.179524719068439</v>
      </c>
      <c r="AN9">
        <v>55.893875728234178</v>
      </c>
      <c r="AO9">
        <v>56.476172862338949</v>
      </c>
      <c r="AP9">
        <v>56.338058757417976</v>
      </c>
      <c r="AQ9">
        <v>56.975671306336508</v>
      </c>
    </row>
    <row r="10" spans="1:43" x14ac:dyDescent="0.3">
      <c r="A10" s="1">
        <v>1998</v>
      </c>
      <c r="B10">
        <f>[1]ALL!$F10/[1]ALL!$C10*100</f>
        <v>47.632311977715879</v>
      </c>
      <c r="C10">
        <f>[2]ALL!$F10/[2]ALL!$C10*100</f>
        <v>56.40243902439024</v>
      </c>
      <c r="D10">
        <f>[3]ALL!$F10/[3]ALL!$C10*100</f>
        <v>49.173950255465932</v>
      </c>
    </row>
    <row r="11" spans="1:43" x14ac:dyDescent="0.3">
      <c r="A11" s="1">
        <v>1999</v>
      </c>
      <c r="B11">
        <f>[1]ALL!$F11/[1]ALL!$C11*100</f>
        <v>48.395061728395063</v>
      </c>
      <c r="C11">
        <f>[2]ALL!$F11/[2]ALL!$C11*100</f>
        <v>56.043956043956044</v>
      </c>
      <c r="D11">
        <f>[3]ALL!$F11/[3]ALL!$C11*100</f>
        <v>49.842579259512362</v>
      </c>
    </row>
    <row r="12" spans="1:43" x14ac:dyDescent="0.3">
      <c r="A12" s="1">
        <v>2000</v>
      </c>
      <c r="B12">
        <f>[1]ALL!$F12/[1]ALL!$C12*100</f>
        <v>45.20295202952029</v>
      </c>
      <c r="C12">
        <f>[2]ALL!$F12/[2]ALL!$C12*100</f>
        <v>49.435028248587571</v>
      </c>
      <c r="D12">
        <f>[3]ALL!$F12/[3]ALL!$C12*100</f>
        <v>49.973043294812591</v>
      </c>
    </row>
    <row r="13" spans="1:43" x14ac:dyDescent="0.3">
      <c r="A13" s="1">
        <v>2001</v>
      </c>
      <c r="B13">
        <f>[1]ALL!$F13/[1]ALL!$C13*100</f>
        <v>52.556237218813905</v>
      </c>
      <c r="C13">
        <f>[2]ALL!$F13/[2]ALL!$C13*100</f>
        <v>48.775055679287306</v>
      </c>
      <c r="D13">
        <f>[3]ALL!$F13/[3]ALL!$C13*100</f>
        <v>50.065248597155168</v>
      </c>
    </row>
    <row r="14" spans="1:43" x14ac:dyDescent="0.3">
      <c r="A14" s="1">
        <v>2002</v>
      </c>
      <c r="B14">
        <f>[1]ALL!$F14/[1]ALL!$C14*100</f>
        <v>53.799758745476481</v>
      </c>
      <c r="C14">
        <f>[2]ALL!$F14/[2]ALL!$C14*100</f>
        <v>53.159851301115246</v>
      </c>
      <c r="D14">
        <f>[3]ALL!$F14/[3]ALL!$C14*100</f>
        <v>50.004052684903741</v>
      </c>
    </row>
    <row r="15" spans="1:43" x14ac:dyDescent="0.3">
      <c r="A15" s="1">
        <v>2003</v>
      </c>
      <c r="B15">
        <f>[1]ALL!$F15/[1]ALL!$C15*100</f>
        <v>57.613882863340557</v>
      </c>
      <c r="C15">
        <f>[2]ALL!$F15/[2]ALL!$C15*100</f>
        <v>52.639517345399703</v>
      </c>
      <c r="D15">
        <f>[3]ALL!$F15/[3]ALL!$C15*100</f>
        <v>49.823186986562213</v>
      </c>
    </row>
    <row r="16" spans="1:43" x14ac:dyDescent="0.3">
      <c r="A16" s="1">
        <v>2004</v>
      </c>
      <c r="B16">
        <f>[1]ALL!$F16/[1]ALL!$C16*100</f>
        <v>59.206302888824048</v>
      </c>
      <c r="C16">
        <f>[2]ALL!$F16/[2]ALL!$C16*100</f>
        <v>54.273504273504273</v>
      </c>
      <c r="D16">
        <f>[3]ALL!$F16/[3]ALL!$C16*100</f>
        <v>50.084408240866694</v>
      </c>
    </row>
    <row r="17" spans="1:9" x14ac:dyDescent="0.3">
      <c r="A17" s="1">
        <v>2005</v>
      </c>
      <c r="B17">
        <f>[1]ALL!$F17/[1]ALL!$C17*100</f>
        <v>57.100591715976336</v>
      </c>
      <c r="C17">
        <f>[2]ALL!$F17/[2]ALL!$C17*100</f>
        <v>53.129548762736533</v>
      </c>
      <c r="D17">
        <f>[3]ALL!$F17/[3]ALL!$C17*100</f>
        <v>50.220678265326455</v>
      </c>
    </row>
    <row r="18" spans="1:9" x14ac:dyDescent="0.3">
      <c r="A18" s="1">
        <v>2006</v>
      </c>
      <c r="B18">
        <f>[1]ALL!$F18/[1]ALL!$C18*100</f>
        <v>58.471669639182331</v>
      </c>
      <c r="C18">
        <f>[2]ALL!$F18/[2]ALL!$C18*100</f>
        <v>55.005055611729013</v>
      </c>
      <c r="D18">
        <f>[3]ALL!$F18/[3]ALL!$C18*100</f>
        <v>50.426407011734412</v>
      </c>
    </row>
    <row r="19" spans="1:9" x14ac:dyDescent="0.3">
      <c r="A19" s="1">
        <v>2007</v>
      </c>
      <c r="B19">
        <f>[1]ALL!$F19/[1]ALL!$C19*100</f>
        <v>59.299091414796955</v>
      </c>
      <c r="C19">
        <f>[2]ALL!$F19/[2]ALL!$C19*100</f>
        <v>52.386278896346006</v>
      </c>
      <c r="D19">
        <f>[3]ALL!$F19/[3]ALL!$C19*100</f>
        <v>51.107143713005343</v>
      </c>
    </row>
    <row r="20" spans="1:9" x14ac:dyDescent="0.3">
      <c r="A20" s="1">
        <v>2008</v>
      </c>
      <c r="B20">
        <f>[1]ALL!$F20/[1]ALL!$C20*100</f>
        <v>59.532744219828103</v>
      </c>
      <c r="C20">
        <f>[2]ALL!$F20/[2]ALL!$C20*100</f>
        <v>52.872996300863129</v>
      </c>
      <c r="D20">
        <f>[3]ALL!$F20/[3]ALL!$C20*100</f>
        <v>51.117266036215966</v>
      </c>
    </row>
    <row r="21" spans="1:9" x14ac:dyDescent="0.3">
      <c r="A21" s="1">
        <v>2009</v>
      </c>
      <c r="B21">
        <f>[1]ALL!$F21/[1]ALL!$C21*100</f>
        <v>59.760489434633577</v>
      </c>
      <c r="C21">
        <f>[2]ALL!$F21/[2]ALL!$C21*100</f>
        <v>53.658101356174157</v>
      </c>
      <c r="D21">
        <f>[3]ALL!$F21/[3]ALL!$C21*100</f>
        <v>51.164830176220541</v>
      </c>
    </row>
    <row r="22" spans="1:9" x14ac:dyDescent="0.3">
      <c r="A22" s="1">
        <v>2010</v>
      </c>
      <c r="B22">
        <f>[1]ALL!$F22/[1]ALL!$C22*100</f>
        <v>59.06790067990535</v>
      </c>
      <c r="C22">
        <f>[2]ALL!$F22/[2]ALL!$C22*100</f>
        <v>53.161024147554912</v>
      </c>
      <c r="D22">
        <f>[3]ALL!$F22/[3]ALL!$C22*100</f>
        <v>51.484672976409094</v>
      </c>
    </row>
    <row r="23" spans="1:9" x14ac:dyDescent="0.3">
      <c r="A23" s="1">
        <v>2011</v>
      </c>
      <c r="B23">
        <f>[1]ALL!$F23/[1]ALL!$C23*100</f>
        <v>58.402581516007935</v>
      </c>
      <c r="C23">
        <f>[2]ALL!$F23/[2]ALL!$C23*100</f>
        <v>53.542176813307442</v>
      </c>
      <c r="D23">
        <f>[3]ALL!$F23/[3]ALL!$C23*100</f>
        <v>52.171739848694074</v>
      </c>
    </row>
    <row r="24" spans="1:9" x14ac:dyDescent="0.3">
      <c r="A24" s="1">
        <v>2012</v>
      </c>
      <c r="B24">
        <f>[1]ALL!$F24/[1]ALL!$C24*100</f>
        <v>57.37678098694191</v>
      </c>
      <c r="C24">
        <f>[2]ALL!$F24/[2]ALL!$C24*100</f>
        <v>51.571175090149389</v>
      </c>
      <c r="D24">
        <f>[3]ALL!$F24/[3]ALL!$C24*100</f>
        <v>52.376505742833132</v>
      </c>
    </row>
    <row r="25" spans="1:9" x14ac:dyDescent="0.3">
      <c r="A25" s="1">
        <v>2013</v>
      </c>
      <c r="B25">
        <f>[1]ALL!$F25/[1]ALL!$C25*100</f>
        <v>57.423770021273477</v>
      </c>
      <c r="C25">
        <f>[2]ALL!$F25/[2]ALL!$C25*100</f>
        <v>52.32873232280464</v>
      </c>
      <c r="D25">
        <f>[3]ALL!$F25/[3]ALL!$C25*100</f>
        <v>53.055393627969572</v>
      </c>
    </row>
    <row r="26" spans="1:9" x14ac:dyDescent="0.3">
      <c r="A26" s="1">
        <v>2014</v>
      </c>
      <c r="B26">
        <f>[1]ALL!$F26/[1]ALL!$C26*100</f>
        <v>56.965671235704164</v>
      </c>
      <c r="C26">
        <f>[2]ALL!$F26/[2]ALL!$C26*100</f>
        <v>52.52100840336135</v>
      </c>
      <c r="D26">
        <f>[3]ALL!$F26/[3]ALL!$C26*100</f>
        <v>53.631269664685121</v>
      </c>
    </row>
    <row r="27" spans="1:9" x14ac:dyDescent="0.3">
      <c r="A27" s="1">
        <v>2015</v>
      </c>
      <c r="B27">
        <f>[1]ALL!$F27/[1]ALL!$C27*100</f>
        <v>57.369399199798735</v>
      </c>
      <c r="C27">
        <f>[2]ALL!$F27/[2]ALL!$C27*100</f>
        <v>52.981176127243543</v>
      </c>
      <c r="D27">
        <f>[3]ALL!$F27/[3]ALL!$C27*100</f>
        <v>53.941984533559562</v>
      </c>
    </row>
    <row r="28" spans="1:9" x14ac:dyDescent="0.3">
      <c r="A28" s="1">
        <v>2016</v>
      </c>
      <c r="B28">
        <f>[1]ALL!$F28/[1]ALL!$C28*100</f>
        <v>57.636758321273518</v>
      </c>
      <c r="C28">
        <f>[2]ALL!$F28/[2]ALL!$C28*100</f>
        <v>54.054394359103497</v>
      </c>
      <c r="D28">
        <f>[3]ALL!$F28/[3]ALL!$C28*100</f>
        <v>54.46197695338445</v>
      </c>
    </row>
    <row r="29" spans="1:9" x14ac:dyDescent="0.3">
      <c r="A29" s="1">
        <v>2017</v>
      </c>
      <c r="B29">
        <f>[1]ALL!$F29/[1]ALL!$C29*100</f>
        <v>57.103002109865528</v>
      </c>
      <c r="C29">
        <f>[2]ALL!$F29/[2]ALL!$C29*100</f>
        <v>54.003753173639481</v>
      </c>
      <c r="D29">
        <f>[3]ALL!$F29/[3]ALL!$C29*100</f>
        <v>54.463310558532932</v>
      </c>
    </row>
    <row r="30" spans="1:9" ht="17.25" x14ac:dyDescent="0.3">
      <c r="A30" s="1">
        <v>2018</v>
      </c>
      <c r="B30">
        <f>[1]ALL!$F30/[1]ALL!$C30*100</f>
        <v>57.36692406238614</v>
      </c>
      <c r="C30">
        <f>[2]ALL!$F30/[2]ALL!$C30*100</f>
        <v>53.637027245644845</v>
      </c>
      <c r="D30">
        <f>[3]ALL!$F30/[3]ALL!$C30*100</f>
        <v>54.504715238962895</v>
      </c>
      <c r="G30" s="1" t="s">
        <v>8</v>
      </c>
      <c r="H30" s="1" t="s">
        <v>11</v>
      </c>
      <c r="I30" s="1" t="s">
        <v>9</v>
      </c>
    </row>
    <row r="31" spans="1:9" x14ac:dyDescent="0.3">
      <c r="A31" s="1">
        <v>2019</v>
      </c>
      <c r="B31">
        <f>[1]ALL!$F31/[1]ALL!$C31*100</f>
        <v>57.269204215024715</v>
      </c>
      <c r="C31">
        <f>[2]ALL!$F31/[2]ALL!$C31*100</f>
        <v>54.325868828493583</v>
      </c>
      <c r="D31">
        <f>[3]ALL!$F31/[3]ALL!$C31*100</f>
        <v>54.887616624257852</v>
      </c>
      <c r="G31" t="s">
        <v>0</v>
      </c>
      <c r="H31" s="1"/>
      <c r="I31" s="1"/>
    </row>
    <row r="32" spans="1:9" x14ac:dyDescent="0.3">
      <c r="A32" s="1">
        <v>2020</v>
      </c>
      <c r="B32">
        <f>[1]ALL!$F32/[1]ALL!$C32*100</f>
        <v>58.13469469407854</v>
      </c>
      <c r="C32">
        <f>[2]ALL!$F32/[2]ALL!$C32*100</f>
        <v>55.122644237418115</v>
      </c>
      <c r="D32">
        <f>[3]ALL!$F32/[3]ALL!$C32*100</f>
        <v>55.410790845961898</v>
      </c>
      <c r="G32" t="s">
        <v>1</v>
      </c>
      <c r="H32" s="1"/>
      <c r="I32" s="1"/>
    </row>
    <row r="33" spans="1:14" x14ac:dyDescent="0.3">
      <c r="A33" s="1">
        <v>2021</v>
      </c>
      <c r="B33">
        <f>[1]ALL!$F33/[1]ALL!$C33*100</f>
        <v>59.535387886494327</v>
      </c>
      <c r="C33">
        <f>[2]ALL!$F33/[2]ALL!$C33*100</f>
        <v>56.118969136799315</v>
      </c>
      <c r="D33">
        <f>[3]ALL!$F33/[3]ALL!$C33*100</f>
        <v>56.179524719068439</v>
      </c>
      <c r="G33" t="s">
        <v>2</v>
      </c>
      <c r="H33" s="1"/>
      <c r="I33" s="1"/>
      <c r="L33" s="1"/>
      <c r="M33" s="1"/>
      <c r="N33" s="1"/>
    </row>
    <row r="34" spans="1:14" x14ac:dyDescent="0.3">
      <c r="A34" s="1">
        <v>2022</v>
      </c>
      <c r="B34">
        <f>[1]ALL!$F34/[1]ALL!$C34*100</f>
        <v>59.376497052758751</v>
      </c>
      <c r="C34">
        <f>[2]ALL!$F34/[2]ALL!$C34*100</f>
        <v>55.070714320669452</v>
      </c>
      <c r="D34">
        <f>[3]ALL!$F34/[3]ALL!$C34*100</f>
        <v>55.893875728234178</v>
      </c>
      <c r="L34" s="1"/>
      <c r="M34" s="1"/>
      <c r="N34" s="1"/>
    </row>
    <row r="35" spans="1:14" x14ac:dyDescent="0.3">
      <c r="A35" s="1">
        <v>2023</v>
      </c>
      <c r="B35">
        <f>[1]ALL!$F35/[1]ALL!$C35*100</f>
        <v>60.165264625013513</v>
      </c>
      <c r="C35">
        <f>[2]ALL!$F35/[2]ALL!$C35*100</f>
        <v>55.824915210969692</v>
      </c>
      <c r="D35">
        <f>[3]ALL!$F35/[3]ALL!$C35*100</f>
        <v>56.476172862338949</v>
      </c>
      <c r="L35" s="1"/>
      <c r="M35" s="1"/>
      <c r="N35" s="1"/>
    </row>
    <row r="36" spans="1:14" x14ac:dyDescent="0.3">
      <c r="A36" s="1">
        <v>2024</v>
      </c>
      <c r="B36">
        <f>[1]ALL!$F36/[1]ALL!$C36*100</f>
        <v>60.40668210690454</v>
      </c>
      <c r="C36">
        <f>[2]ALL!$F36/[2]ALL!$C36*100</f>
        <v>55.947277996633296</v>
      </c>
      <c r="D36">
        <f>[3]ALL!$F36/[3]ALL!$C36*100</f>
        <v>56.338058757417976</v>
      </c>
      <c r="L36" s="1"/>
      <c r="M36" s="1"/>
      <c r="N36" s="1"/>
    </row>
    <row r="37" spans="1:14" x14ac:dyDescent="0.3">
      <c r="A37" s="1">
        <v>2025</v>
      </c>
      <c r="B37">
        <f>[1]ALL!$F37/[1]ALL!$C37*100</f>
        <v>62.48083897593483</v>
      </c>
      <c r="C37">
        <f>[2]ALL!$F37/[2]ALL!$C37*100</f>
        <v>57.01058995455729</v>
      </c>
      <c r="D37">
        <f>[3]ALL!$F37/[3]ALL!$C37*100</f>
        <v>56.975671306336508</v>
      </c>
      <c r="L37" s="1"/>
      <c r="M37" s="1"/>
      <c r="N37" s="1"/>
    </row>
    <row r="38" spans="1:14" x14ac:dyDescent="0.3">
      <c r="A38" s="1" t="s">
        <v>5</v>
      </c>
      <c r="L38" s="1"/>
      <c r="M38" s="1"/>
      <c r="N38" s="1"/>
    </row>
    <row r="39" spans="1:14" x14ac:dyDescent="0.3">
      <c r="A39" s="1" t="s">
        <v>6</v>
      </c>
      <c r="L39" s="1"/>
      <c r="M39" s="1"/>
      <c r="N39" s="1"/>
    </row>
    <row r="40" spans="1:14" x14ac:dyDescent="0.3">
      <c r="A40" s="1" t="s">
        <v>7</v>
      </c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D6F6F-F440-49FE-A3D0-B7B47A97B13F}">
  <dimension ref="A1:AQ40"/>
  <sheetViews>
    <sheetView zoomScale="85" zoomScaleNormal="85" workbookViewId="0">
      <selection activeCell="G20" sqref="G20"/>
    </sheetView>
  </sheetViews>
  <sheetFormatPr defaultRowHeight="16.5" x14ac:dyDescent="0.3"/>
  <cols>
    <col min="1" max="1" width="9" style="1"/>
  </cols>
  <sheetData>
    <row r="1" spans="1:43" x14ac:dyDescent="0.3">
      <c r="A1" s="1" t="s">
        <v>4</v>
      </c>
      <c r="B1" t="s">
        <v>17</v>
      </c>
      <c r="C1" t="s">
        <v>16</v>
      </c>
      <c r="D1" t="s">
        <v>15</v>
      </c>
      <c r="F1" t="s">
        <v>3</v>
      </c>
      <c r="G1" t="str">
        <f t="shared" ref="G1:AQ4" si="0">G6</f>
        <v>Year</v>
      </c>
      <c r="H1">
        <f t="shared" si="0"/>
        <v>1990</v>
      </c>
      <c r="M1">
        <f t="shared" si="0"/>
        <v>1995</v>
      </c>
      <c r="R1">
        <f t="shared" si="0"/>
        <v>2000</v>
      </c>
      <c r="W1">
        <f t="shared" si="0"/>
        <v>2005</v>
      </c>
      <c r="AB1">
        <f t="shared" si="0"/>
        <v>2010</v>
      </c>
      <c r="AG1">
        <f t="shared" si="0"/>
        <v>2015</v>
      </c>
      <c r="AL1">
        <f t="shared" si="0"/>
        <v>2020</v>
      </c>
      <c r="AQ1">
        <f t="shared" si="0"/>
        <v>2025</v>
      </c>
    </row>
    <row r="2" spans="1:43" x14ac:dyDescent="0.3">
      <c r="A2" s="1">
        <v>1990</v>
      </c>
      <c r="B2">
        <f>[1]ALL!$G2/[1]ALL!$C2*100</f>
        <v>25</v>
      </c>
      <c r="C2">
        <f>[2]ALL!$G2/[2]ALL!$C2*100</f>
        <v>52.222222222222229</v>
      </c>
      <c r="D2">
        <f>[3]ALL!$G2/[3]ALL!$C2*100</f>
        <v>39.091083229575716</v>
      </c>
      <c r="G2" t="str">
        <f t="shared" si="0"/>
        <v>PMC Full-texts</v>
      </c>
      <c r="H2">
        <f t="shared" si="0"/>
        <v>25</v>
      </c>
      <c r="I2">
        <f t="shared" si="0"/>
        <v>63.636363636363633</v>
      </c>
      <c r="J2">
        <f t="shared" si="0"/>
        <v>28.571428571428569</v>
      </c>
      <c r="K2">
        <f t="shared" si="0"/>
        <v>50</v>
      </c>
      <c r="L2">
        <f t="shared" si="0"/>
        <v>38.235294117647058</v>
      </c>
      <c r="M2">
        <f t="shared" si="0"/>
        <v>34.375</v>
      </c>
      <c r="N2">
        <f t="shared" si="0"/>
        <v>37.209302325581397</v>
      </c>
      <c r="O2">
        <f t="shared" si="0"/>
        <v>35.61643835616438</v>
      </c>
      <c r="P2">
        <f t="shared" si="0"/>
        <v>38.718662952646241</v>
      </c>
      <c r="Q2">
        <f t="shared" si="0"/>
        <v>39.753086419753089</v>
      </c>
      <c r="R2">
        <f t="shared" si="0"/>
        <v>37.453874538745389</v>
      </c>
      <c r="S2">
        <f t="shared" si="0"/>
        <v>44.989775051124745</v>
      </c>
      <c r="T2">
        <f t="shared" si="0"/>
        <v>47.587454764776837</v>
      </c>
      <c r="U2">
        <f t="shared" si="0"/>
        <v>50.195227765726678</v>
      </c>
      <c r="V2">
        <f t="shared" si="0"/>
        <v>51.940472716661802</v>
      </c>
      <c r="W2">
        <f t="shared" si="0"/>
        <v>50.295857988165679</v>
      </c>
      <c r="X2">
        <f t="shared" si="0"/>
        <v>52.311702565509677</v>
      </c>
      <c r="Y2">
        <f t="shared" si="0"/>
        <v>52.735026886704986</v>
      </c>
      <c r="Z2">
        <f t="shared" si="0"/>
        <v>53.159423798571602</v>
      </c>
      <c r="AA2">
        <f t="shared" si="0"/>
        <v>53.239033279819502</v>
      </c>
      <c r="AB2">
        <f t="shared" si="0"/>
        <v>52.921795908587178</v>
      </c>
      <c r="AC2">
        <f t="shared" si="0"/>
        <v>52.128063441177709</v>
      </c>
      <c r="AD2">
        <f t="shared" si="0"/>
        <v>51.417353282370094</v>
      </c>
      <c r="AE2">
        <f t="shared" si="0"/>
        <v>51.686683250227929</v>
      </c>
      <c r="AF2">
        <f t="shared" si="0"/>
        <v>51.345848930920276</v>
      </c>
      <c r="AG2">
        <f t="shared" si="0"/>
        <v>51.655183048068885</v>
      </c>
      <c r="AH2">
        <f t="shared" si="0"/>
        <v>52.011577424023159</v>
      </c>
      <c r="AI2">
        <f t="shared" si="0"/>
        <v>51.732377538829155</v>
      </c>
      <c r="AJ2">
        <f t="shared" si="0"/>
        <v>52.120282547629962</v>
      </c>
      <c r="AK2">
        <f t="shared" si="0"/>
        <v>52.13396965222519</v>
      </c>
      <c r="AL2">
        <f t="shared" si="0"/>
        <v>53.001508063523332</v>
      </c>
      <c r="AM2">
        <f t="shared" si="0"/>
        <v>54.465511439606686</v>
      </c>
      <c r="AN2">
        <f t="shared" si="0"/>
        <v>54.516412905375859</v>
      </c>
      <c r="AO2">
        <f t="shared" si="0"/>
        <v>55.312807716245082</v>
      </c>
      <c r="AP2">
        <f t="shared" si="0"/>
        <v>55.590589098580566</v>
      </c>
      <c r="AQ2">
        <f t="shared" si="0"/>
        <v>57.868972540331939</v>
      </c>
    </row>
    <row r="3" spans="1:43" x14ac:dyDescent="0.3">
      <c r="A3" s="1">
        <v>1991</v>
      </c>
      <c r="B3">
        <f>[1]ALL!$G3/[1]ALL!$C3*100</f>
        <v>63.636363636363633</v>
      </c>
      <c r="C3">
        <f>[2]ALL!$G3/[2]ALL!$C3*100</f>
        <v>47.482014388489205</v>
      </c>
      <c r="D3">
        <f>[3]ALL!$G3/[3]ALL!$C3*100</f>
        <v>38.901822973863389</v>
      </c>
      <c r="G3" t="str">
        <f t="shared" si="0"/>
        <v>PMC Abstracts</v>
      </c>
      <c r="H3">
        <f t="shared" si="0"/>
        <v>52.222222222222229</v>
      </c>
      <c r="I3">
        <f t="shared" si="0"/>
        <v>47.482014388489205</v>
      </c>
      <c r="J3">
        <f t="shared" si="0"/>
        <v>35.664335664335667</v>
      </c>
      <c r="K3">
        <f t="shared" si="0"/>
        <v>35.858585858585855</v>
      </c>
      <c r="L3">
        <f t="shared" si="0"/>
        <v>39.565217391304344</v>
      </c>
      <c r="M3">
        <f t="shared" si="0"/>
        <v>35.267857142857146</v>
      </c>
      <c r="N3">
        <f t="shared" si="0"/>
        <v>39.852398523985237</v>
      </c>
      <c r="O3">
        <f t="shared" si="0"/>
        <v>39.38356164383562</v>
      </c>
      <c r="P3">
        <f t="shared" si="0"/>
        <v>45.121951219512198</v>
      </c>
      <c r="Q3">
        <f t="shared" si="0"/>
        <v>44.780219780219781</v>
      </c>
      <c r="R3">
        <f t="shared" si="0"/>
        <v>41.525423728813557</v>
      </c>
      <c r="S3">
        <f t="shared" si="0"/>
        <v>40.089086859688194</v>
      </c>
      <c r="T3">
        <f t="shared" si="0"/>
        <v>43.680297397769522</v>
      </c>
      <c r="U3">
        <f t="shared" si="0"/>
        <v>43.288084464555055</v>
      </c>
      <c r="V3">
        <f t="shared" si="0"/>
        <v>47.32905982905983</v>
      </c>
      <c r="W3">
        <f t="shared" si="0"/>
        <v>44.177583697234354</v>
      </c>
      <c r="X3">
        <f t="shared" si="0"/>
        <v>47.067745197168861</v>
      </c>
      <c r="Y3">
        <f t="shared" si="0"/>
        <v>44.29530201342282</v>
      </c>
      <c r="Z3">
        <f t="shared" si="0"/>
        <v>44.488286066584465</v>
      </c>
      <c r="AA3">
        <f t="shared" si="0"/>
        <v>44.914346895074949</v>
      </c>
      <c r="AB3">
        <f t="shared" si="0"/>
        <v>44.351413663390368</v>
      </c>
      <c r="AC3">
        <f t="shared" si="0"/>
        <v>44.549522924934557</v>
      </c>
      <c r="AD3">
        <f t="shared" si="0"/>
        <v>42.956900005723767</v>
      </c>
      <c r="AE3">
        <f t="shared" si="0"/>
        <v>44.118892370226099</v>
      </c>
      <c r="AF3">
        <f t="shared" si="0"/>
        <v>44.578476551911088</v>
      </c>
      <c r="AG3">
        <f t="shared" si="0"/>
        <v>44.882533197139942</v>
      </c>
      <c r="AH3">
        <f t="shared" si="0"/>
        <v>45.832284059430876</v>
      </c>
      <c r="AI3">
        <f t="shared" si="0"/>
        <v>45.667292195606578</v>
      </c>
      <c r="AJ3">
        <f t="shared" si="0"/>
        <v>45.49095428808176</v>
      </c>
      <c r="AK3">
        <f t="shared" si="0"/>
        <v>46.476510067114098</v>
      </c>
      <c r="AL3">
        <f t="shared" si="0"/>
        <v>47.161769697884061</v>
      </c>
      <c r="AM3">
        <f t="shared" si="0"/>
        <v>48.179460630183051</v>
      </c>
      <c r="AN3">
        <f t="shared" si="0"/>
        <v>47.411219679297915</v>
      </c>
      <c r="AO3">
        <f t="shared" si="0"/>
        <v>48.188432223478358</v>
      </c>
      <c r="AP3">
        <f t="shared" si="0"/>
        <v>48.306231886573073</v>
      </c>
      <c r="AQ3">
        <f t="shared" si="0"/>
        <v>49.524553079895099</v>
      </c>
    </row>
    <row r="4" spans="1:43" x14ac:dyDescent="0.3">
      <c r="A4" s="1">
        <v>1992</v>
      </c>
      <c r="B4">
        <f>[1]ALL!$G4/[1]ALL!$C4*100</f>
        <v>28.571428571428569</v>
      </c>
      <c r="C4">
        <f>[2]ALL!$G4/[2]ALL!$C4*100</f>
        <v>35.664335664335667</v>
      </c>
      <c r="D4">
        <f>[3]ALL!$G4/[3]ALL!$C4*100</f>
        <v>38.892209603506672</v>
      </c>
      <c r="G4" t="str">
        <f t="shared" si="0"/>
        <v>PubMed Abstracts</v>
      </c>
      <c r="H4">
        <f t="shared" si="0"/>
        <v>39.091083229575716</v>
      </c>
      <c r="I4">
        <f t="shared" si="0"/>
        <v>38.901822973863389</v>
      </c>
      <c r="J4">
        <f t="shared" si="0"/>
        <v>38.892209603506672</v>
      </c>
      <c r="K4">
        <f t="shared" si="0"/>
        <v>39.82450343283034</v>
      </c>
      <c r="L4">
        <f t="shared" si="0"/>
        <v>40.050028732718111</v>
      </c>
      <c r="M4">
        <f t="shared" si="0"/>
        <v>40.064403176389668</v>
      </c>
      <c r="N4">
        <f t="shared" si="0"/>
        <v>40.499883612662941</v>
      </c>
      <c r="O4">
        <f t="shared" si="0"/>
        <v>41.261128406794469</v>
      </c>
      <c r="P4">
        <f t="shared" si="0"/>
        <v>41.149467022849286</v>
      </c>
      <c r="Q4">
        <f t="shared" si="0"/>
        <v>41.700632123593586</v>
      </c>
      <c r="R4">
        <f t="shared" si="0"/>
        <v>41.625840931998781</v>
      </c>
      <c r="S4">
        <f t="shared" si="0"/>
        <v>41.763452085780159</v>
      </c>
      <c r="T4">
        <f t="shared" si="0"/>
        <v>41.839918946301921</v>
      </c>
      <c r="U4">
        <f t="shared" si="0"/>
        <v>41.686161434814935</v>
      </c>
      <c r="V4">
        <f t="shared" si="0"/>
        <v>41.954993198170882</v>
      </c>
      <c r="W4">
        <f t="shared" si="0"/>
        <v>42.079785870896096</v>
      </c>
      <c r="X4">
        <f t="shared" si="0"/>
        <v>42.159761369758606</v>
      </c>
      <c r="Y4">
        <f t="shared" si="0"/>
        <v>42.950945385702987</v>
      </c>
      <c r="Z4">
        <f t="shared" si="0"/>
        <v>42.877635920240998</v>
      </c>
      <c r="AA4">
        <f t="shared" si="0"/>
        <v>42.851099830795263</v>
      </c>
      <c r="AB4">
        <f t="shared" si="0"/>
        <v>43.274473795733861</v>
      </c>
      <c r="AC4">
        <f t="shared" si="0"/>
        <v>43.974449122747565</v>
      </c>
      <c r="AD4">
        <f t="shared" si="0"/>
        <v>44.271173779064341</v>
      </c>
      <c r="AE4">
        <f t="shared" si="0"/>
        <v>44.776216076170741</v>
      </c>
      <c r="AF4">
        <f t="shared" si="0"/>
        <v>45.410492837106453</v>
      </c>
      <c r="AG4">
        <f t="shared" si="0"/>
        <v>45.850491075798608</v>
      </c>
      <c r="AH4">
        <f t="shared" si="0"/>
        <v>46.257020705842905</v>
      </c>
      <c r="AI4">
        <f t="shared" si="0"/>
        <v>46.178659419369588</v>
      </c>
      <c r="AJ4">
        <f t="shared" si="0"/>
        <v>46.379853741412845</v>
      </c>
      <c r="AK4">
        <f t="shared" si="0"/>
        <v>46.941852794270098</v>
      </c>
      <c r="AL4">
        <f t="shared" si="0"/>
        <v>47.367406581613778</v>
      </c>
      <c r="AM4">
        <f t="shared" si="0"/>
        <v>48.171884544158857</v>
      </c>
      <c r="AN4">
        <f t="shared" si="0"/>
        <v>48.206564764630656</v>
      </c>
      <c r="AO4">
        <f t="shared" si="0"/>
        <v>48.615991615806671</v>
      </c>
      <c r="AP4">
        <f t="shared" si="0"/>
        <v>48.662999983711671</v>
      </c>
      <c r="AQ4">
        <f t="shared" si="0"/>
        <v>49.562714404006151</v>
      </c>
    </row>
    <row r="5" spans="1:43" x14ac:dyDescent="0.3">
      <c r="A5" s="1">
        <v>1993</v>
      </c>
      <c r="B5">
        <f>[1]ALL!$G5/[1]ALL!$C5*100</f>
        <v>50</v>
      </c>
      <c r="C5">
        <f>[2]ALL!$G5/[2]ALL!$C5*100</f>
        <v>35.858585858585855</v>
      </c>
      <c r="D5">
        <f>[3]ALL!$G5/[3]ALL!$C5*100</f>
        <v>39.82450343283034</v>
      </c>
    </row>
    <row r="6" spans="1:43" x14ac:dyDescent="0.3">
      <c r="A6" s="1">
        <v>1994</v>
      </c>
      <c r="B6">
        <f>[1]ALL!$G6/[1]ALL!$C6*100</f>
        <v>38.235294117647058</v>
      </c>
      <c r="C6">
        <f>[2]ALL!$G6/[2]ALL!$C6*100</f>
        <v>39.565217391304344</v>
      </c>
      <c r="D6">
        <f>[3]ALL!$G6/[3]ALL!$C6*100</f>
        <v>40.050028732718111</v>
      </c>
      <c r="G6" t="str" cm="1">
        <f t="array" ref="G6:AQ9">TRANSPOSE(A1:D37)</f>
        <v>Year</v>
      </c>
      <c r="H6">
        <v>1990</v>
      </c>
      <c r="I6">
        <v>1991</v>
      </c>
      <c r="J6">
        <v>1992</v>
      </c>
      <c r="K6">
        <v>1993</v>
      </c>
      <c r="L6">
        <v>1994</v>
      </c>
      <c r="M6">
        <v>1995</v>
      </c>
      <c r="N6">
        <v>1996</v>
      </c>
      <c r="O6">
        <v>1997</v>
      </c>
      <c r="P6">
        <v>1998</v>
      </c>
      <c r="Q6">
        <v>1999</v>
      </c>
      <c r="R6">
        <v>2000</v>
      </c>
      <c r="S6">
        <v>2001</v>
      </c>
      <c r="T6">
        <v>2002</v>
      </c>
      <c r="U6">
        <v>2003</v>
      </c>
      <c r="V6">
        <v>2004</v>
      </c>
      <c r="W6">
        <v>2005</v>
      </c>
      <c r="X6">
        <v>2006</v>
      </c>
      <c r="Y6">
        <v>2007</v>
      </c>
      <c r="Z6">
        <v>2008</v>
      </c>
      <c r="AA6">
        <v>2009</v>
      </c>
      <c r="AB6">
        <v>2010</v>
      </c>
      <c r="AC6">
        <v>2011</v>
      </c>
      <c r="AD6">
        <v>2012</v>
      </c>
      <c r="AE6">
        <v>2013</v>
      </c>
      <c r="AF6">
        <v>2014</v>
      </c>
      <c r="AG6">
        <v>2015</v>
      </c>
      <c r="AH6">
        <v>2016</v>
      </c>
      <c r="AI6">
        <v>2017</v>
      </c>
      <c r="AJ6">
        <v>2018</v>
      </c>
      <c r="AK6">
        <v>2019</v>
      </c>
      <c r="AL6">
        <v>2020</v>
      </c>
      <c r="AM6">
        <v>2021</v>
      </c>
      <c r="AN6">
        <v>2022</v>
      </c>
      <c r="AO6">
        <v>2023</v>
      </c>
      <c r="AP6">
        <v>2024</v>
      </c>
      <c r="AQ6">
        <v>2025</v>
      </c>
    </row>
    <row r="7" spans="1:43" x14ac:dyDescent="0.3">
      <c r="A7" s="1">
        <v>1995</v>
      </c>
      <c r="B7">
        <f>[1]ALL!$G7/[1]ALL!$C7*100</f>
        <v>34.375</v>
      </c>
      <c r="C7">
        <f>[2]ALL!$G7/[2]ALL!$C7*100</f>
        <v>35.267857142857146</v>
      </c>
      <c r="D7">
        <f>[3]ALL!$G7/[3]ALL!$C7*100</f>
        <v>40.064403176389668</v>
      </c>
      <c r="G7" t="str">
        <v>PMC Full-texts</v>
      </c>
      <c r="H7">
        <v>25</v>
      </c>
      <c r="I7">
        <v>63.636363636363633</v>
      </c>
      <c r="J7">
        <v>28.571428571428569</v>
      </c>
      <c r="K7">
        <v>50</v>
      </c>
      <c r="L7">
        <v>38.235294117647058</v>
      </c>
      <c r="M7">
        <v>34.375</v>
      </c>
      <c r="N7">
        <v>37.209302325581397</v>
      </c>
      <c r="O7">
        <v>35.61643835616438</v>
      </c>
      <c r="P7">
        <v>38.718662952646241</v>
      </c>
      <c r="Q7">
        <v>39.753086419753089</v>
      </c>
      <c r="R7">
        <v>37.453874538745389</v>
      </c>
      <c r="S7">
        <v>44.989775051124745</v>
      </c>
      <c r="T7">
        <v>47.587454764776837</v>
      </c>
      <c r="U7">
        <v>50.195227765726678</v>
      </c>
      <c r="V7">
        <v>51.940472716661802</v>
      </c>
      <c r="W7">
        <v>50.295857988165679</v>
      </c>
      <c r="X7">
        <v>52.311702565509677</v>
      </c>
      <c r="Y7">
        <v>52.735026886704986</v>
      </c>
      <c r="Z7">
        <v>53.159423798571602</v>
      </c>
      <c r="AA7">
        <v>53.239033279819502</v>
      </c>
      <c r="AB7">
        <v>52.921795908587178</v>
      </c>
      <c r="AC7">
        <v>52.128063441177709</v>
      </c>
      <c r="AD7">
        <v>51.417353282370094</v>
      </c>
      <c r="AE7">
        <v>51.686683250227929</v>
      </c>
      <c r="AF7">
        <v>51.345848930920276</v>
      </c>
      <c r="AG7">
        <v>51.655183048068885</v>
      </c>
      <c r="AH7">
        <v>52.011577424023159</v>
      </c>
      <c r="AI7">
        <v>51.732377538829155</v>
      </c>
      <c r="AJ7">
        <v>52.120282547629962</v>
      </c>
      <c r="AK7">
        <v>52.13396965222519</v>
      </c>
      <c r="AL7">
        <v>53.001508063523332</v>
      </c>
      <c r="AM7">
        <v>54.465511439606686</v>
      </c>
      <c r="AN7">
        <v>54.516412905375859</v>
      </c>
      <c r="AO7">
        <v>55.312807716245082</v>
      </c>
      <c r="AP7">
        <v>55.590589098580566</v>
      </c>
      <c r="AQ7">
        <v>57.868972540331939</v>
      </c>
    </row>
    <row r="8" spans="1:43" x14ac:dyDescent="0.3">
      <c r="A8" s="1">
        <v>1996</v>
      </c>
      <c r="B8">
        <f>[1]ALL!$G8/[1]ALL!$C8*100</f>
        <v>37.209302325581397</v>
      </c>
      <c r="C8">
        <f>[2]ALL!$G8/[2]ALL!$C8*100</f>
        <v>39.852398523985237</v>
      </c>
      <c r="D8">
        <f>[3]ALL!$G8/[3]ALL!$C8*100</f>
        <v>40.499883612662941</v>
      </c>
      <c r="G8" t="str">
        <v>PMC Abstracts</v>
      </c>
      <c r="H8">
        <v>52.222222222222229</v>
      </c>
      <c r="I8">
        <v>47.482014388489205</v>
      </c>
      <c r="J8">
        <v>35.664335664335667</v>
      </c>
      <c r="K8">
        <v>35.858585858585855</v>
      </c>
      <c r="L8">
        <v>39.565217391304344</v>
      </c>
      <c r="M8">
        <v>35.267857142857146</v>
      </c>
      <c r="N8">
        <v>39.852398523985237</v>
      </c>
      <c r="O8">
        <v>39.38356164383562</v>
      </c>
      <c r="P8">
        <v>45.121951219512198</v>
      </c>
      <c r="Q8">
        <v>44.780219780219781</v>
      </c>
      <c r="R8">
        <v>41.525423728813557</v>
      </c>
      <c r="S8">
        <v>40.089086859688194</v>
      </c>
      <c r="T8">
        <v>43.680297397769522</v>
      </c>
      <c r="U8">
        <v>43.288084464555055</v>
      </c>
      <c r="V8">
        <v>47.32905982905983</v>
      </c>
      <c r="W8">
        <v>44.177583697234354</v>
      </c>
      <c r="X8">
        <v>47.067745197168861</v>
      </c>
      <c r="Y8">
        <v>44.29530201342282</v>
      </c>
      <c r="Z8">
        <v>44.488286066584465</v>
      </c>
      <c r="AA8">
        <v>44.914346895074949</v>
      </c>
      <c r="AB8">
        <v>44.351413663390368</v>
      </c>
      <c r="AC8">
        <v>44.549522924934557</v>
      </c>
      <c r="AD8">
        <v>42.956900005723767</v>
      </c>
      <c r="AE8">
        <v>44.118892370226099</v>
      </c>
      <c r="AF8">
        <v>44.578476551911088</v>
      </c>
      <c r="AG8">
        <v>44.882533197139942</v>
      </c>
      <c r="AH8">
        <v>45.832284059430876</v>
      </c>
      <c r="AI8">
        <v>45.667292195606578</v>
      </c>
      <c r="AJ8">
        <v>45.49095428808176</v>
      </c>
      <c r="AK8">
        <v>46.476510067114098</v>
      </c>
      <c r="AL8">
        <v>47.161769697884061</v>
      </c>
      <c r="AM8">
        <v>48.179460630183051</v>
      </c>
      <c r="AN8">
        <v>47.411219679297915</v>
      </c>
      <c r="AO8">
        <v>48.188432223478358</v>
      </c>
      <c r="AP8">
        <v>48.306231886573073</v>
      </c>
      <c r="AQ8">
        <v>49.524553079895099</v>
      </c>
    </row>
    <row r="9" spans="1:43" x14ac:dyDescent="0.3">
      <c r="A9" s="1">
        <v>1997</v>
      </c>
      <c r="B9">
        <f>[1]ALL!$G9/[1]ALL!$C9*100</f>
        <v>35.61643835616438</v>
      </c>
      <c r="C9">
        <f>[2]ALL!$G9/[2]ALL!$C9*100</f>
        <v>39.38356164383562</v>
      </c>
      <c r="D9">
        <f>[3]ALL!$G9/[3]ALL!$C9*100</f>
        <v>41.261128406794469</v>
      </c>
      <c r="G9" t="str">
        <v>PubMed Abstracts</v>
      </c>
      <c r="H9">
        <v>39.091083229575716</v>
      </c>
      <c r="I9">
        <v>38.901822973863389</v>
      </c>
      <c r="J9">
        <v>38.892209603506672</v>
      </c>
      <c r="K9">
        <v>39.82450343283034</v>
      </c>
      <c r="L9">
        <v>40.050028732718111</v>
      </c>
      <c r="M9">
        <v>40.064403176389668</v>
      </c>
      <c r="N9">
        <v>40.499883612662941</v>
      </c>
      <c r="O9">
        <v>41.261128406794469</v>
      </c>
      <c r="P9">
        <v>41.149467022849286</v>
      </c>
      <c r="Q9">
        <v>41.700632123593586</v>
      </c>
      <c r="R9">
        <v>41.625840931998781</v>
      </c>
      <c r="S9">
        <v>41.763452085780159</v>
      </c>
      <c r="T9">
        <v>41.839918946301921</v>
      </c>
      <c r="U9">
        <v>41.686161434814935</v>
      </c>
      <c r="V9">
        <v>41.954993198170882</v>
      </c>
      <c r="W9">
        <v>42.079785870896096</v>
      </c>
      <c r="X9">
        <v>42.159761369758606</v>
      </c>
      <c r="Y9">
        <v>42.950945385702987</v>
      </c>
      <c r="Z9">
        <v>42.877635920240998</v>
      </c>
      <c r="AA9">
        <v>42.851099830795263</v>
      </c>
      <c r="AB9">
        <v>43.274473795733861</v>
      </c>
      <c r="AC9">
        <v>43.974449122747565</v>
      </c>
      <c r="AD9">
        <v>44.271173779064341</v>
      </c>
      <c r="AE9">
        <v>44.776216076170741</v>
      </c>
      <c r="AF9">
        <v>45.410492837106453</v>
      </c>
      <c r="AG9">
        <v>45.850491075798608</v>
      </c>
      <c r="AH9">
        <v>46.257020705842905</v>
      </c>
      <c r="AI9">
        <v>46.178659419369588</v>
      </c>
      <c r="AJ9">
        <v>46.379853741412845</v>
      </c>
      <c r="AK9">
        <v>46.941852794270098</v>
      </c>
      <c r="AL9">
        <v>47.367406581613778</v>
      </c>
      <c r="AM9">
        <v>48.171884544158857</v>
      </c>
      <c r="AN9">
        <v>48.206564764630656</v>
      </c>
      <c r="AO9">
        <v>48.615991615806671</v>
      </c>
      <c r="AP9">
        <v>48.662999983711671</v>
      </c>
      <c r="AQ9">
        <v>49.562714404006151</v>
      </c>
    </row>
    <row r="10" spans="1:43" x14ac:dyDescent="0.3">
      <c r="A10" s="1">
        <v>1998</v>
      </c>
      <c r="B10">
        <f>[1]ALL!$G10/[1]ALL!$C10*100</f>
        <v>38.718662952646241</v>
      </c>
      <c r="C10">
        <f>[2]ALL!$G10/[2]ALL!$C10*100</f>
        <v>45.121951219512198</v>
      </c>
      <c r="D10">
        <f>[3]ALL!$G10/[3]ALL!$C10*100</f>
        <v>41.149467022849286</v>
      </c>
    </row>
    <row r="11" spans="1:43" x14ac:dyDescent="0.3">
      <c r="A11" s="1">
        <v>1999</v>
      </c>
      <c r="B11">
        <f>[1]ALL!$G11/[1]ALL!$C11*100</f>
        <v>39.753086419753089</v>
      </c>
      <c r="C11">
        <f>[2]ALL!$G11/[2]ALL!$C11*100</f>
        <v>44.780219780219781</v>
      </c>
      <c r="D11">
        <f>[3]ALL!$G11/[3]ALL!$C11*100</f>
        <v>41.700632123593586</v>
      </c>
    </row>
    <row r="12" spans="1:43" x14ac:dyDescent="0.3">
      <c r="A12" s="1">
        <v>2000</v>
      </c>
      <c r="B12">
        <f>[1]ALL!$G12/[1]ALL!$C12*100</f>
        <v>37.453874538745389</v>
      </c>
      <c r="C12">
        <f>[2]ALL!$G12/[2]ALL!$C12*100</f>
        <v>41.525423728813557</v>
      </c>
      <c r="D12">
        <f>[3]ALL!$G12/[3]ALL!$C12*100</f>
        <v>41.625840931998781</v>
      </c>
    </row>
    <row r="13" spans="1:43" x14ac:dyDescent="0.3">
      <c r="A13" s="1">
        <v>2001</v>
      </c>
      <c r="B13">
        <f>[1]ALL!$G13/[1]ALL!$C13*100</f>
        <v>44.989775051124745</v>
      </c>
      <c r="C13">
        <f>[2]ALL!$G13/[2]ALL!$C13*100</f>
        <v>40.089086859688194</v>
      </c>
      <c r="D13">
        <f>[3]ALL!$G13/[3]ALL!$C13*100</f>
        <v>41.763452085780159</v>
      </c>
    </row>
    <row r="14" spans="1:43" x14ac:dyDescent="0.3">
      <c r="A14" s="1">
        <v>2002</v>
      </c>
      <c r="B14">
        <f>[1]ALL!$G14/[1]ALL!$C14*100</f>
        <v>47.587454764776837</v>
      </c>
      <c r="C14">
        <f>[2]ALL!$G14/[2]ALL!$C14*100</f>
        <v>43.680297397769522</v>
      </c>
      <c r="D14">
        <f>[3]ALL!$G14/[3]ALL!$C14*100</f>
        <v>41.839918946301921</v>
      </c>
    </row>
    <row r="15" spans="1:43" x14ac:dyDescent="0.3">
      <c r="A15" s="1">
        <v>2003</v>
      </c>
      <c r="B15">
        <f>[1]ALL!$G15/[1]ALL!$C15*100</f>
        <v>50.195227765726678</v>
      </c>
      <c r="C15">
        <f>[2]ALL!$G15/[2]ALL!$C15*100</f>
        <v>43.288084464555055</v>
      </c>
      <c r="D15">
        <f>[3]ALL!$G15/[3]ALL!$C15*100</f>
        <v>41.686161434814935</v>
      </c>
    </row>
    <row r="16" spans="1:43" x14ac:dyDescent="0.3">
      <c r="A16" s="1">
        <v>2004</v>
      </c>
      <c r="B16">
        <f>[1]ALL!$G16/[1]ALL!$C16*100</f>
        <v>51.940472716661802</v>
      </c>
      <c r="C16">
        <f>[2]ALL!$G16/[2]ALL!$C16*100</f>
        <v>47.32905982905983</v>
      </c>
      <c r="D16">
        <f>[3]ALL!$G16/[3]ALL!$C16*100</f>
        <v>41.954993198170882</v>
      </c>
    </row>
    <row r="17" spans="1:9" x14ac:dyDescent="0.3">
      <c r="A17" s="1">
        <v>2005</v>
      </c>
      <c r="B17">
        <f>[1]ALL!$G17/[1]ALL!$C17*100</f>
        <v>50.295857988165679</v>
      </c>
      <c r="C17">
        <f>[2]ALL!$G17/[2]ALL!$C17*100</f>
        <v>44.177583697234354</v>
      </c>
      <c r="D17">
        <f>[3]ALL!$G17/[3]ALL!$C17*100</f>
        <v>42.079785870896096</v>
      </c>
    </row>
    <row r="18" spans="1:9" x14ac:dyDescent="0.3">
      <c r="A18" s="1">
        <v>2006</v>
      </c>
      <c r="B18">
        <f>[1]ALL!$G18/[1]ALL!$C18*100</f>
        <v>52.311702565509677</v>
      </c>
      <c r="C18">
        <f>[2]ALL!$G18/[2]ALL!$C18*100</f>
        <v>47.067745197168861</v>
      </c>
      <c r="D18">
        <f>[3]ALL!$G18/[3]ALL!$C18*100</f>
        <v>42.159761369758606</v>
      </c>
    </row>
    <row r="19" spans="1:9" x14ac:dyDescent="0.3">
      <c r="A19" s="1">
        <v>2007</v>
      </c>
      <c r="B19">
        <f>[1]ALL!$G19/[1]ALL!$C19*100</f>
        <v>52.735026886704986</v>
      </c>
      <c r="C19">
        <f>[2]ALL!$G19/[2]ALL!$C19*100</f>
        <v>44.29530201342282</v>
      </c>
      <c r="D19">
        <f>[3]ALL!$G19/[3]ALL!$C19*100</f>
        <v>42.950945385702987</v>
      </c>
    </row>
    <row r="20" spans="1:9" x14ac:dyDescent="0.3">
      <c r="A20" s="1">
        <v>2008</v>
      </c>
      <c r="B20">
        <f>[1]ALL!$G20/[1]ALL!$C20*100</f>
        <v>53.159423798571602</v>
      </c>
      <c r="C20">
        <f>[2]ALL!$G20/[2]ALL!$C20*100</f>
        <v>44.488286066584465</v>
      </c>
      <c r="D20">
        <f>[3]ALL!$G20/[3]ALL!$C20*100</f>
        <v>42.877635920240998</v>
      </c>
    </row>
    <row r="21" spans="1:9" x14ac:dyDescent="0.3">
      <c r="A21" s="1">
        <v>2009</v>
      </c>
      <c r="B21">
        <f>[1]ALL!$G21/[1]ALL!$C21*100</f>
        <v>53.239033279819502</v>
      </c>
      <c r="C21">
        <f>[2]ALL!$G21/[2]ALL!$C21*100</f>
        <v>44.914346895074949</v>
      </c>
      <c r="D21">
        <f>[3]ALL!$G21/[3]ALL!$C21*100</f>
        <v>42.851099830795263</v>
      </c>
    </row>
    <row r="22" spans="1:9" x14ac:dyDescent="0.3">
      <c r="A22" s="1">
        <v>2010</v>
      </c>
      <c r="B22">
        <f>[1]ALL!$G22/[1]ALL!$C22*100</f>
        <v>52.921795908587178</v>
      </c>
      <c r="C22">
        <f>[2]ALL!$G22/[2]ALL!$C22*100</f>
        <v>44.351413663390368</v>
      </c>
      <c r="D22">
        <f>[3]ALL!$G22/[3]ALL!$C22*100</f>
        <v>43.274473795733861</v>
      </c>
    </row>
    <row r="23" spans="1:9" x14ac:dyDescent="0.3">
      <c r="A23" s="1">
        <v>2011</v>
      </c>
      <c r="B23">
        <f>[1]ALL!$G23/[1]ALL!$C23*100</f>
        <v>52.128063441177709</v>
      </c>
      <c r="C23">
        <f>[2]ALL!$G23/[2]ALL!$C23*100</f>
        <v>44.549522924934557</v>
      </c>
      <c r="D23">
        <f>[3]ALL!$G23/[3]ALL!$C23*100</f>
        <v>43.974449122747565</v>
      </c>
    </row>
    <row r="24" spans="1:9" x14ac:dyDescent="0.3">
      <c r="A24" s="1">
        <v>2012</v>
      </c>
      <c r="B24">
        <f>[1]ALL!$G24/[1]ALL!$C24*100</f>
        <v>51.417353282370094</v>
      </c>
      <c r="C24">
        <f>[2]ALL!$G24/[2]ALL!$C24*100</f>
        <v>42.956900005723767</v>
      </c>
      <c r="D24">
        <f>[3]ALL!$G24/[3]ALL!$C24*100</f>
        <v>44.271173779064341</v>
      </c>
    </row>
    <row r="25" spans="1:9" x14ac:dyDescent="0.3">
      <c r="A25" s="1">
        <v>2013</v>
      </c>
      <c r="B25">
        <f>[1]ALL!$G25/[1]ALL!$C25*100</f>
        <v>51.686683250227929</v>
      </c>
      <c r="C25">
        <f>[2]ALL!$G25/[2]ALL!$C25*100</f>
        <v>44.118892370226099</v>
      </c>
      <c r="D25">
        <f>[3]ALL!$G25/[3]ALL!$C25*100</f>
        <v>44.776216076170741</v>
      </c>
    </row>
    <row r="26" spans="1:9" x14ac:dyDescent="0.3">
      <c r="A26" s="1">
        <v>2014</v>
      </c>
      <c r="B26">
        <f>[1]ALL!$G26/[1]ALL!$C26*100</f>
        <v>51.345848930920276</v>
      </c>
      <c r="C26">
        <f>[2]ALL!$G26/[2]ALL!$C26*100</f>
        <v>44.578476551911088</v>
      </c>
      <c r="D26">
        <f>[3]ALL!$G26/[3]ALL!$C26*100</f>
        <v>45.410492837106453</v>
      </c>
    </row>
    <row r="27" spans="1:9" x14ac:dyDescent="0.3">
      <c r="A27" s="1">
        <v>2015</v>
      </c>
      <c r="B27">
        <f>[1]ALL!$G27/[1]ALL!$C27*100</f>
        <v>51.655183048068885</v>
      </c>
      <c r="C27">
        <f>[2]ALL!$G27/[2]ALL!$C27*100</f>
        <v>44.882533197139942</v>
      </c>
      <c r="D27">
        <f>[3]ALL!$G27/[3]ALL!$C27*100</f>
        <v>45.850491075798608</v>
      </c>
    </row>
    <row r="28" spans="1:9" x14ac:dyDescent="0.3">
      <c r="A28" s="1">
        <v>2016</v>
      </c>
      <c r="B28">
        <f>[1]ALL!$G28/[1]ALL!$C28*100</f>
        <v>52.011577424023159</v>
      </c>
      <c r="C28">
        <f>[2]ALL!$G28/[2]ALL!$C28*100</f>
        <v>45.832284059430876</v>
      </c>
      <c r="D28">
        <f>[3]ALL!$G28/[3]ALL!$C28*100</f>
        <v>46.257020705842905</v>
      </c>
    </row>
    <row r="29" spans="1:9" x14ac:dyDescent="0.3">
      <c r="A29" s="1">
        <v>2017</v>
      </c>
      <c r="B29">
        <f>[1]ALL!$G29/[1]ALL!$C29*100</f>
        <v>51.732377538829155</v>
      </c>
      <c r="C29">
        <f>[2]ALL!$G29/[2]ALL!$C29*100</f>
        <v>45.667292195606578</v>
      </c>
      <c r="D29">
        <f>[3]ALL!$G29/[3]ALL!$C29*100</f>
        <v>46.178659419369588</v>
      </c>
    </row>
    <row r="30" spans="1:9" ht="17.25" x14ac:dyDescent="0.3">
      <c r="A30" s="1">
        <v>2018</v>
      </c>
      <c r="B30">
        <f>[1]ALL!$G30/[1]ALL!$C30*100</f>
        <v>52.120282547629962</v>
      </c>
      <c r="C30">
        <f>[2]ALL!$G30/[2]ALL!$C30*100</f>
        <v>45.49095428808176</v>
      </c>
      <c r="D30">
        <f>[3]ALL!$G30/[3]ALL!$C30*100</f>
        <v>46.379853741412845</v>
      </c>
      <c r="G30" s="1" t="s">
        <v>8</v>
      </c>
      <c r="H30" s="1" t="s">
        <v>11</v>
      </c>
      <c r="I30" s="1" t="s">
        <v>9</v>
      </c>
    </row>
    <row r="31" spans="1:9" x14ac:dyDescent="0.3">
      <c r="A31" s="1">
        <v>2019</v>
      </c>
      <c r="B31">
        <f>[1]ALL!$G31/[1]ALL!$C31*100</f>
        <v>52.13396965222519</v>
      </c>
      <c r="C31">
        <f>[2]ALL!$G31/[2]ALL!$C31*100</f>
        <v>46.476510067114098</v>
      </c>
      <c r="D31">
        <f>[3]ALL!$G31/[3]ALL!$C31*100</f>
        <v>46.941852794270098</v>
      </c>
      <c r="G31" t="s">
        <v>0</v>
      </c>
      <c r="H31" s="1"/>
      <c r="I31" s="1"/>
    </row>
    <row r="32" spans="1:9" x14ac:dyDescent="0.3">
      <c r="A32" s="1">
        <v>2020</v>
      </c>
      <c r="B32">
        <f>[1]ALL!$G32/[1]ALL!$C32*100</f>
        <v>53.001508063523332</v>
      </c>
      <c r="C32">
        <f>[2]ALL!$G32/[2]ALL!$C32*100</f>
        <v>47.161769697884061</v>
      </c>
      <c r="D32">
        <f>[3]ALL!$G32/[3]ALL!$C32*100</f>
        <v>47.367406581613778</v>
      </c>
      <c r="G32" t="s">
        <v>1</v>
      </c>
      <c r="H32" s="1"/>
      <c r="I32" s="1"/>
    </row>
    <row r="33" spans="1:14" x14ac:dyDescent="0.3">
      <c r="A33" s="1">
        <v>2021</v>
      </c>
      <c r="B33">
        <f>[1]ALL!$G33/[1]ALL!$C33*100</f>
        <v>54.465511439606686</v>
      </c>
      <c r="C33">
        <f>[2]ALL!$G33/[2]ALL!$C33*100</f>
        <v>48.179460630183051</v>
      </c>
      <c r="D33">
        <f>[3]ALL!$G33/[3]ALL!$C33*100</f>
        <v>48.171884544158857</v>
      </c>
      <c r="G33" t="s">
        <v>2</v>
      </c>
      <c r="H33" s="1"/>
      <c r="I33" s="1"/>
      <c r="L33" s="1"/>
      <c r="M33" s="1"/>
      <c r="N33" s="1"/>
    </row>
    <row r="34" spans="1:14" x14ac:dyDescent="0.3">
      <c r="A34" s="1">
        <v>2022</v>
      </c>
      <c r="B34">
        <f>[1]ALL!$G34/[1]ALL!$C34*100</f>
        <v>54.516412905375859</v>
      </c>
      <c r="C34">
        <f>[2]ALL!$G34/[2]ALL!$C34*100</f>
        <v>47.411219679297915</v>
      </c>
      <c r="D34">
        <f>[3]ALL!$G34/[3]ALL!$C34*100</f>
        <v>48.206564764630656</v>
      </c>
      <c r="L34" s="1"/>
      <c r="M34" s="1"/>
      <c r="N34" s="1"/>
    </row>
    <row r="35" spans="1:14" x14ac:dyDescent="0.3">
      <c r="A35" s="1">
        <v>2023</v>
      </c>
      <c r="B35">
        <f>[1]ALL!$G35/[1]ALL!$C35*100</f>
        <v>55.312807716245082</v>
      </c>
      <c r="C35">
        <f>[2]ALL!$G35/[2]ALL!$C35*100</f>
        <v>48.188432223478358</v>
      </c>
      <c r="D35">
        <f>[3]ALL!$G35/[3]ALL!$C35*100</f>
        <v>48.615991615806671</v>
      </c>
      <c r="L35" s="1"/>
      <c r="M35" s="1"/>
      <c r="N35" s="1"/>
    </row>
    <row r="36" spans="1:14" x14ac:dyDescent="0.3">
      <c r="A36" s="1">
        <v>2024</v>
      </c>
      <c r="B36">
        <f>[1]ALL!$G36/[1]ALL!$C36*100</f>
        <v>55.590589098580566</v>
      </c>
      <c r="C36">
        <f>[2]ALL!$G36/[2]ALL!$C36*100</f>
        <v>48.306231886573073</v>
      </c>
      <c r="D36">
        <f>[3]ALL!$G36/[3]ALL!$C36*100</f>
        <v>48.662999983711671</v>
      </c>
      <c r="L36" s="1"/>
      <c r="M36" s="1"/>
      <c r="N36" s="1"/>
    </row>
    <row r="37" spans="1:14" x14ac:dyDescent="0.3">
      <c r="A37" s="1">
        <v>2025</v>
      </c>
      <c r="B37">
        <f>[1]ALL!$G37/[1]ALL!$C37*100</f>
        <v>57.868972540331939</v>
      </c>
      <c r="C37">
        <f>[2]ALL!$G37/[2]ALL!$C37*100</f>
        <v>49.524553079895099</v>
      </c>
      <c r="D37">
        <f>[3]ALL!$G37/[3]ALL!$C37*100</f>
        <v>49.562714404006151</v>
      </c>
      <c r="L37" s="1"/>
      <c r="M37" s="1"/>
      <c r="N37" s="1"/>
    </row>
    <row r="38" spans="1:14" x14ac:dyDescent="0.3">
      <c r="A38" s="1" t="s">
        <v>5</v>
      </c>
      <c r="L38" s="1"/>
      <c r="M38" s="1"/>
      <c r="N38" s="1"/>
    </row>
    <row r="39" spans="1:14" x14ac:dyDescent="0.3">
      <c r="A39" s="1" t="s">
        <v>6</v>
      </c>
      <c r="L39" s="1"/>
      <c r="M39" s="1"/>
      <c r="N39" s="1"/>
    </row>
    <row r="40" spans="1:14" x14ac:dyDescent="0.3">
      <c r="A40" s="1" t="s">
        <v>7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HasPval</vt:lpstr>
      <vt:lpstr>Has005</vt:lpstr>
      <vt:lpstr>Has001</vt:lpstr>
      <vt:lpstr>Has0005</vt:lpstr>
      <vt:lpstr>Has0005 (2)</vt:lpstr>
      <vt:lpstr>Has0001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최진혁</dc:creator>
  <cp:lastModifiedBy>JinHyeok Choi</cp:lastModifiedBy>
  <dcterms:created xsi:type="dcterms:W3CDTF">2015-06-05T18:19:34Z</dcterms:created>
  <dcterms:modified xsi:type="dcterms:W3CDTF">2025-12-10T12:50:02Z</dcterms:modified>
</cp:coreProperties>
</file>