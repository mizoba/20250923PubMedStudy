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4\Downloads\OrganizedCodeStructure\OrganizedCodeStructure\Step4_text_analysis\Figure3\"/>
    </mc:Choice>
  </mc:AlternateContent>
  <xr:revisionPtr revIDLastSave="0" documentId="13_ncr:1_{BFC43DC4-1744-4686-ABBB-0B23F2A548E4}" xr6:coauthVersionLast="47" xr6:coauthVersionMax="47" xr10:uidLastSave="{00000000-0000-0000-0000-000000000000}"/>
  <bookViews>
    <workbookView xWindow="855" yWindow="1725" windowWidth="21600" windowHeight="11295" activeTab="5" xr2:uid="{DF799AEA-2700-0847-986A-8EA80B3DCF15}"/>
  </bookViews>
  <sheets>
    <sheet name="RCT" sheetId="1" r:id="rId1"/>
    <sheet name="CT" sheetId="2" r:id="rId2"/>
    <sheet name="META" sheetId="3" r:id="rId3"/>
    <sheet name="REVIEW" sheetId="4" r:id="rId4"/>
    <sheet name="CCJ" sheetId="5" r:id="rId5"/>
    <sheet name="ALL" sheetId="6" r:id="rId6"/>
    <sheet name="OBS" sheetId="9" r:id="rId7"/>
    <sheet name="SYSREV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6" l="1"/>
  <c r="G39" i="6"/>
  <c r="G40" i="6"/>
  <c r="C38" i="10"/>
  <c r="D38" i="10"/>
  <c r="E38" i="10"/>
  <c r="F38" i="10"/>
  <c r="G38" i="10"/>
  <c r="B38" i="10"/>
  <c r="G40" i="10" l="1"/>
  <c r="F40" i="10"/>
  <c r="E40" i="10"/>
  <c r="D40" i="10"/>
  <c r="C40" i="10"/>
  <c r="B40" i="10"/>
  <c r="G39" i="10"/>
  <c r="F39" i="10"/>
  <c r="E39" i="10"/>
  <c r="D39" i="10"/>
  <c r="C39" i="10"/>
  <c r="B39" i="10"/>
  <c r="G40" i="9"/>
  <c r="F40" i="9"/>
  <c r="E40" i="9"/>
  <c r="D40" i="9"/>
  <c r="C40" i="9"/>
  <c r="B40" i="9"/>
  <c r="G39" i="9"/>
  <c r="F39" i="9"/>
  <c r="E39" i="9"/>
  <c r="D39" i="9"/>
  <c r="C39" i="9"/>
  <c r="B39" i="9"/>
  <c r="G38" i="9"/>
  <c r="F38" i="9"/>
  <c r="E38" i="9"/>
  <c r="D38" i="9"/>
  <c r="C38" i="9"/>
  <c r="B38" i="9"/>
  <c r="F40" i="6"/>
  <c r="E40" i="6"/>
  <c r="D40" i="6"/>
  <c r="C40" i="6"/>
  <c r="B40" i="6"/>
  <c r="F39" i="6"/>
  <c r="E39" i="6"/>
  <c r="D39" i="6"/>
  <c r="C39" i="6"/>
  <c r="B39" i="6"/>
  <c r="F38" i="6"/>
  <c r="E38" i="6"/>
  <c r="D38" i="6"/>
  <c r="C38" i="6"/>
  <c r="B38" i="6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C40" i="1"/>
  <c r="D40" i="1"/>
  <c r="E40" i="1"/>
  <c r="F40" i="1"/>
  <c r="G40" i="1"/>
  <c r="B40" i="1"/>
  <c r="C39" i="1"/>
  <c r="D39" i="1"/>
  <c r="E39" i="1"/>
  <c r="F39" i="1"/>
  <c r="G39" i="1"/>
  <c r="B39" i="1"/>
  <c r="C38" i="1"/>
  <c r="D38" i="1"/>
  <c r="E38" i="1"/>
  <c r="F38" i="1"/>
  <c r="G38" i="1"/>
  <c r="B38" i="1"/>
</calcChain>
</file>

<file path=xl/sharedStrings.xml><?xml version="1.0" encoding="utf-8"?>
<sst xmlns="http://schemas.openxmlformats.org/spreadsheetml/2006/main" count="80" uniqueCount="10">
  <si>
    <t>Year</t>
    <phoneticPr fontId="1" type="noConversion"/>
  </si>
  <si>
    <t>Total article count</t>
    <phoneticPr fontId="1" type="noConversion"/>
  </si>
  <si>
    <t>HasPvalue</t>
    <phoneticPr fontId="1" type="noConversion"/>
  </si>
  <si>
    <t>Pvalue0.05</t>
    <phoneticPr fontId="1" type="noConversion"/>
  </si>
  <si>
    <t>Pvalue0.01</t>
    <phoneticPr fontId="1" type="noConversion"/>
  </si>
  <si>
    <t>Pvalue0.005</t>
    <phoneticPr fontId="1" type="noConversion"/>
  </si>
  <si>
    <t>Pvalue0.001</t>
    <phoneticPr fontId="1" type="noConversion"/>
  </si>
  <si>
    <t>SUM</t>
    <phoneticPr fontId="1" type="noConversion"/>
  </si>
  <si>
    <t>MAX</t>
    <phoneticPr fontId="1" type="noConversion"/>
  </si>
  <si>
    <t>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</si>
</sst>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6D562-EEDD-9D48-A28A-C288ED7AA4E9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11</v>
      </c>
      <c r="C2">
        <v>3</v>
      </c>
      <c r="D2">
        <v>2</v>
      </c>
      <c r="E2">
        <v>1</v>
      </c>
      <c r="F2">
        <v>1</v>
      </c>
      <c r="G2">
        <v>0</v>
      </c>
    </row>
    <row r="3" spans="1:7" x14ac:dyDescent="0.3">
      <c r="A3">
        <v>1991</v>
      </c>
      <c r="B3">
        <v>20</v>
      </c>
      <c r="C3">
        <v>10</v>
      </c>
      <c r="D3">
        <v>10</v>
      </c>
      <c r="E3">
        <v>7</v>
      </c>
      <c r="F3">
        <v>6</v>
      </c>
      <c r="G3">
        <v>3</v>
      </c>
    </row>
    <row r="4" spans="1:7" x14ac:dyDescent="0.3">
      <c r="A4">
        <v>1992</v>
      </c>
      <c r="B4">
        <v>16</v>
      </c>
      <c r="C4">
        <v>6</v>
      </c>
      <c r="D4">
        <v>6</v>
      </c>
      <c r="E4">
        <v>2</v>
      </c>
      <c r="F4">
        <v>2</v>
      </c>
      <c r="G4">
        <v>1</v>
      </c>
    </row>
    <row r="5" spans="1:7" x14ac:dyDescent="0.3">
      <c r="A5">
        <v>1993</v>
      </c>
      <c r="B5">
        <v>29</v>
      </c>
      <c r="C5">
        <v>14</v>
      </c>
      <c r="D5">
        <v>14</v>
      </c>
      <c r="E5">
        <v>10</v>
      </c>
      <c r="F5">
        <v>6</v>
      </c>
      <c r="G5">
        <v>5</v>
      </c>
    </row>
    <row r="6" spans="1:7" x14ac:dyDescent="0.3">
      <c r="A6">
        <v>1994</v>
      </c>
      <c r="B6">
        <v>36</v>
      </c>
      <c r="C6">
        <v>18</v>
      </c>
      <c r="D6">
        <v>16</v>
      </c>
      <c r="E6">
        <v>9</v>
      </c>
      <c r="F6">
        <v>7</v>
      </c>
      <c r="G6">
        <v>5</v>
      </c>
    </row>
    <row r="7" spans="1:7" x14ac:dyDescent="0.3">
      <c r="A7">
        <v>1995</v>
      </c>
      <c r="B7">
        <v>29</v>
      </c>
      <c r="C7">
        <v>15</v>
      </c>
      <c r="D7">
        <v>13</v>
      </c>
      <c r="E7">
        <v>9</v>
      </c>
      <c r="F7">
        <v>7</v>
      </c>
      <c r="G7">
        <v>5</v>
      </c>
    </row>
    <row r="8" spans="1:7" x14ac:dyDescent="0.3">
      <c r="A8">
        <v>1996</v>
      </c>
      <c r="B8">
        <v>43</v>
      </c>
      <c r="C8">
        <v>18</v>
      </c>
      <c r="D8">
        <v>15</v>
      </c>
      <c r="E8">
        <v>10</v>
      </c>
      <c r="F8">
        <v>6</v>
      </c>
      <c r="G8">
        <v>5</v>
      </c>
    </row>
    <row r="9" spans="1:7" x14ac:dyDescent="0.3">
      <c r="A9">
        <v>1997</v>
      </c>
      <c r="B9">
        <v>28</v>
      </c>
      <c r="C9">
        <v>17</v>
      </c>
      <c r="D9">
        <v>15</v>
      </c>
      <c r="E9">
        <v>9</v>
      </c>
      <c r="F9">
        <v>8</v>
      </c>
      <c r="G9">
        <v>5</v>
      </c>
    </row>
    <row r="10" spans="1:7" x14ac:dyDescent="0.3">
      <c r="A10">
        <v>1998</v>
      </c>
      <c r="B10">
        <v>43</v>
      </c>
      <c r="C10">
        <v>25</v>
      </c>
      <c r="D10">
        <v>21</v>
      </c>
      <c r="E10">
        <v>17</v>
      </c>
      <c r="F10">
        <v>14</v>
      </c>
      <c r="G10">
        <v>11</v>
      </c>
    </row>
    <row r="11" spans="1:7" x14ac:dyDescent="0.3">
      <c r="A11">
        <v>1999</v>
      </c>
      <c r="B11">
        <v>37</v>
      </c>
      <c r="C11">
        <v>16</v>
      </c>
      <c r="D11">
        <v>14</v>
      </c>
      <c r="E11">
        <v>11</v>
      </c>
      <c r="F11">
        <v>10</v>
      </c>
      <c r="G11">
        <v>10</v>
      </c>
    </row>
    <row r="12" spans="1:7" x14ac:dyDescent="0.3">
      <c r="A12">
        <v>2000</v>
      </c>
      <c r="B12">
        <v>45</v>
      </c>
      <c r="C12">
        <v>21</v>
      </c>
      <c r="D12">
        <v>18</v>
      </c>
      <c r="E12">
        <v>13</v>
      </c>
      <c r="F12">
        <v>7</v>
      </c>
      <c r="G12">
        <v>5</v>
      </c>
    </row>
    <row r="13" spans="1:7" x14ac:dyDescent="0.3">
      <c r="A13">
        <v>2001</v>
      </c>
      <c r="B13">
        <v>65</v>
      </c>
      <c r="C13">
        <v>34</v>
      </c>
      <c r="D13">
        <v>26</v>
      </c>
      <c r="E13">
        <v>17</v>
      </c>
      <c r="F13">
        <v>8</v>
      </c>
      <c r="G13">
        <v>6</v>
      </c>
    </row>
    <row r="14" spans="1:7" x14ac:dyDescent="0.3">
      <c r="A14">
        <v>2002</v>
      </c>
      <c r="B14">
        <v>75</v>
      </c>
      <c r="C14">
        <v>34</v>
      </c>
      <c r="D14">
        <v>30</v>
      </c>
      <c r="E14">
        <v>21</v>
      </c>
      <c r="F14">
        <v>12</v>
      </c>
      <c r="G14">
        <v>11</v>
      </c>
    </row>
    <row r="15" spans="1:7" x14ac:dyDescent="0.3">
      <c r="A15">
        <v>2003</v>
      </c>
      <c r="B15">
        <v>76</v>
      </c>
      <c r="C15">
        <v>36</v>
      </c>
      <c r="D15">
        <v>32</v>
      </c>
      <c r="E15">
        <v>20</v>
      </c>
      <c r="F15">
        <v>16</v>
      </c>
      <c r="G15">
        <v>11</v>
      </c>
    </row>
    <row r="16" spans="1:7" x14ac:dyDescent="0.3">
      <c r="A16">
        <v>2004</v>
      </c>
      <c r="B16">
        <v>160</v>
      </c>
      <c r="C16">
        <v>71</v>
      </c>
      <c r="D16">
        <v>62</v>
      </c>
      <c r="E16">
        <v>38</v>
      </c>
      <c r="F16">
        <v>31</v>
      </c>
      <c r="G16">
        <v>29</v>
      </c>
    </row>
    <row r="17" spans="1:7" x14ac:dyDescent="0.3">
      <c r="A17">
        <v>2005</v>
      </c>
      <c r="B17">
        <v>195</v>
      </c>
      <c r="C17">
        <v>92</v>
      </c>
      <c r="D17">
        <v>84</v>
      </c>
      <c r="E17">
        <v>58</v>
      </c>
      <c r="F17">
        <v>48</v>
      </c>
      <c r="G17">
        <v>41</v>
      </c>
    </row>
    <row r="18" spans="1:7" x14ac:dyDescent="0.3">
      <c r="A18">
        <v>2006</v>
      </c>
      <c r="B18">
        <v>263</v>
      </c>
      <c r="C18">
        <v>123</v>
      </c>
      <c r="D18">
        <v>109</v>
      </c>
      <c r="E18">
        <v>84</v>
      </c>
      <c r="F18">
        <v>74</v>
      </c>
      <c r="G18">
        <v>64</v>
      </c>
    </row>
    <row r="19" spans="1:7" x14ac:dyDescent="0.3">
      <c r="A19">
        <v>2007</v>
      </c>
      <c r="B19">
        <v>483</v>
      </c>
      <c r="C19">
        <v>214</v>
      </c>
      <c r="D19">
        <v>191</v>
      </c>
      <c r="E19">
        <v>123</v>
      </c>
      <c r="F19">
        <v>103</v>
      </c>
      <c r="G19">
        <v>83</v>
      </c>
    </row>
    <row r="20" spans="1:7" x14ac:dyDescent="0.3">
      <c r="A20">
        <v>2008</v>
      </c>
      <c r="B20">
        <v>759</v>
      </c>
      <c r="C20">
        <v>333</v>
      </c>
      <c r="D20">
        <v>298</v>
      </c>
      <c r="E20">
        <v>222</v>
      </c>
      <c r="F20">
        <v>179</v>
      </c>
      <c r="G20">
        <v>148</v>
      </c>
    </row>
    <row r="21" spans="1:7" x14ac:dyDescent="0.3">
      <c r="A21">
        <v>2009</v>
      </c>
      <c r="B21">
        <v>1079</v>
      </c>
      <c r="C21">
        <v>439</v>
      </c>
      <c r="D21">
        <v>392</v>
      </c>
      <c r="E21">
        <v>270</v>
      </c>
      <c r="F21">
        <v>216</v>
      </c>
      <c r="G21">
        <v>179</v>
      </c>
    </row>
    <row r="22" spans="1:7" x14ac:dyDescent="0.3">
      <c r="A22">
        <v>2010</v>
      </c>
      <c r="B22">
        <v>1460</v>
      </c>
      <c r="C22">
        <v>601</v>
      </c>
      <c r="D22">
        <v>551</v>
      </c>
      <c r="E22">
        <v>401</v>
      </c>
      <c r="F22">
        <v>313</v>
      </c>
      <c r="G22">
        <v>252</v>
      </c>
    </row>
    <row r="23" spans="1:7" x14ac:dyDescent="0.3">
      <c r="A23">
        <v>2011</v>
      </c>
      <c r="B23">
        <v>2041</v>
      </c>
      <c r="C23">
        <v>797</v>
      </c>
      <c r="D23">
        <v>716</v>
      </c>
      <c r="E23">
        <v>508</v>
      </c>
      <c r="F23">
        <v>418</v>
      </c>
      <c r="G23">
        <v>337</v>
      </c>
    </row>
    <row r="24" spans="1:7" x14ac:dyDescent="0.3">
      <c r="A24">
        <v>2012</v>
      </c>
      <c r="B24">
        <v>2513</v>
      </c>
      <c r="C24">
        <v>977</v>
      </c>
      <c r="D24">
        <v>902</v>
      </c>
      <c r="E24">
        <v>618</v>
      </c>
      <c r="F24">
        <v>500</v>
      </c>
      <c r="G24">
        <v>393</v>
      </c>
    </row>
    <row r="25" spans="1:7" x14ac:dyDescent="0.3">
      <c r="A25">
        <v>2013</v>
      </c>
      <c r="B25">
        <v>3452</v>
      </c>
      <c r="C25">
        <v>1382</v>
      </c>
      <c r="D25">
        <v>1254</v>
      </c>
      <c r="E25">
        <v>918</v>
      </c>
      <c r="F25">
        <v>730</v>
      </c>
      <c r="G25">
        <v>617</v>
      </c>
    </row>
    <row r="26" spans="1:7" x14ac:dyDescent="0.3">
      <c r="A26">
        <v>2014</v>
      </c>
      <c r="B26">
        <v>4240</v>
      </c>
      <c r="C26">
        <v>1767</v>
      </c>
      <c r="D26">
        <v>1621</v>
      </c>
      <c r="E26">
        <v>1141</v>
      </c>
      <c r="F26">
        <v>897</v>
      </c>
      <c r="G26">
        <v>739</v>
      </c>
    </row>
    <row r="27" spans="1:7" x14ac:dyDescent="0.3">
      <c r="A27">
        <v>2015</v>
      </c>
      <c r="B27">
        <v>4700</v>
      </c>
      <c r="C27">
        <v>1962</v>
      </c>
      <c r="D27">
        <v>1778</v>
      </c>
      <c r="E27">
        <v>1228</v>
      </c>
      <c r="F27">
        <v>981</v>
      </c>
      <c r="G27">
        <v>808</v>
      </c>
    </row>
    <row r="28" spans="1:7" x14ac:dyDescent="0.3">
      <c r="A28">
        <v>2016</v>
      </c>
      <c r="B28">
        <v>5052</v>
      </c>
      <c r="C28">
        <v>2224</v>
      </c>
      <c r="D28">
        <v>2031</v>
      </c>
      <c r="E28">
        <v>1409</v>
      </c>
      <c r="F28">
        <v>1117</v>
      </c>
      <c r="G28">
        <v>924</v>
      </c>
    </row>
    <row r="29" spans="1:7" x14ac:dyDescent="0.3">
      <c r="A29">
        <v>2017</v>
      </c>
      <c r="B29">
        <v>5481</v>
      </c>
      <c r="C29">
        <v>2405</v>
      </c>
      <c r="D29">
        <v>2180</v>
      </c>
      <c r="E29">
        <v>1534</v>
      </c>
      <c r="F29">
        <v>1206</v>
      </c>
      <c r="G29">
        <v>1019</v>
      </c>
    </row>
    <row r="30" spans="1:7" x14ac:dyDescent="0.3">
      <c r="A30">
        <v>2018</v>
      </c>
      <c r="B30">
        <v>5304</v>
      </c>
      <c r="C30">
        <v>2594</v>
      </c>
      <c r="D30">
        <v>2338</v>
      </c>
      <c r="E30">
        <v>1646</v>
      </c>
      <c r="F30">
        <v>1317</v>
      </c>
      <c r="G30">
        <v>1070</v>
      </c>
    </row>
    <row r="31" spans="1:7" x14ac:dyDescent="0.3">
      <c r="A31">
        <v>2019</v>
      </c>
      <c r="B31">
        <v>5865</v>
      </c>
      <c r="C31">
        <v>2992</v>
      </c>
      <c r="D31">
        <v>2705</v>
      </c>
      <c r="E31">
        <v>1903</v>
      </c>
      <c r="F31">
        <v>1538</v>
      </c>
      <c r="G31">
        <v>1276</v>
      </c>
    </row>
    <row r="32" spans="1:7" x14ac:dyDescent="0.3">
      <c r="A32">
        <v>2020</v>
      </c>
      <c r="B32">
        <v>7035</v>
      </c>
      <c r="C32">
        <v>3647</v>
      </c>
      <c r="D32">
        <v>3292</v>
      </c>
      <c r="E32">
        <v>2287</v>
      </c>
      <c r="F32">
        <v>1831</v>
      </c>
      <c r="G32">
        <v>1491</v>
      </c>
    </row>
    <row r="33" spans="1:7" x14ac:dyDescent="0.3">
      <c r="A33">
        <v>2021</v>
      </c>
      <c r="B33">
        <v>8116</v>
      </c>
      <c r="C33">
        <v>4324</v>
      </c>
      <c r="D33">
        <v>3905</v>
      </c>
      <c r="E33">
        <v>2691</v>
      </c>
      <c r="F33">
        <v>2188</v>
      </c>
      <c r="G33">
        <v>1810</v>
      </c>
    </row>
    <row r="34" spans="1:7" x14ac:dyDescent="0.3">
      <c r="A34">
        <v>2022</v>
      </c>
      <c r="B34">
        <v>9663</v>
      </c>
      <c r="C34">
        <v>5214</v>
      </c>
      <c r="D34">
        <v>4735</v>
      </c>
      <c r="E34">
        <v>3149</v>
      </c>
      <c r="F34">
        <v>2567</v>
      </c>
      <c r="G34">
        <v>2171</v>
      </c>
    </row>
    <row r="35" spans="1:7" x14ac:dyDescent="0.3">
      <c r="A35">
        <v>2023</v>
      </c>
      <c r="B35">
        <v>8016</v>
      </c>
      <c r="C35">
        <v>4346</v>
      </c>
      <c r="D35">
        <v>3900</v>
      </c>
      <c r="E35">
        <v>2658</v>
      </c>
      <c r="F35">
        <v>2250</v>
      </c>
      <c r="G35">
        <v>1856</v>
      </c>
    </row>
    <row r="36" spans="1:7" x14ac:dyDescent="0.3">
      <c r="A36">
        <v>2024</v>
      </c>
      <c r="B36">
        <v>8616</v>
      </c>
      <c r="C36">
        <v>5006</v>
      </c>
      <c r="D36">
        <v>4557</v>
      </c>
      <c r="E36">
        <v>3146</v>
      </c>
      <c r="F36">
        <v>2589</v>
      </c>
      <c r="G36">
        <v>2167</v>
      </c>
    </row>
    <row r="37" spans="1:7" x14ac:dyDescent="0.3">
      <c r="A37">
        <v>2025</v>
      </c>
      <c r="B37">
        <v>7148</v>
      </c>
      <c r="C37">
        <v>4139</v>
      </c>
      <c r="D37">
        <v>3757</v>
      </c>
      <c r="E37">
        <v>2632</v>
      </c>
      <c r="F37">
        <v>2173</v>
      </c>
      <c r="G37">
        <v>1849</v>
      </c>
    </row>
    <row r="38" spans="1:7" x14ac:dyDescent="0.3">
      <c r="A38" t="s">
        <v>7</v>
      </c>
      <c r="B38">
        <f t="shared" ref="B38:G38" si="0">SUM(B2:B37)</f>
        <v>92194</v>
      </c>
      <c r="C38">
        <f t="shared" si="0"/>
        <v>45916</v>
      </c>
      <c r="D38">
        <f t="shared" si="0"/>
        <v>41590</v>
      </c>
      <c r="E38">
        <f t="shared" si="0"/>
        <v>28820</v>
      </c>
      <c r="F38">
        <f t="shared" si="0"/>
        <v>23376</v>
      </c>
      <c r="G38">
        <f t="shared" si="0"/>
        <v>19406</v>
      </c>
    </row>
    <row r="39" spans="1:7" x14ac:dyDescent="0.3">
      <c r="A39" t="s">
        <v>8</v>
      </c>
      <c r="B39">
        <f>MAX(B2:B37)</f>
        <v>9663</v>
      </c>
      <c r="C39">
        <f t="shared" ref="C39:G39" si="1">MAX(C2:C37)</f>
        <v>5214</v>
      </c>
      <c r="D39">
        <f t="shared" si="1"/>
        <v>4735</v>
      </c>
      <c r="E39">
        <f t="shared" si="1"/>
        <v>3149</v>
      </c>
      <c r="F39">
        <f t="shared" si="1"/>
        <v>2589</v>
      </c>
      <c r="G39">
        <f t="shared" si="1"/>
        <v>2171</v>
      </c>
    </row>
    <row r="40" spans="1:7" x14ac:dyDescent="0.3">
      <c r="A40" t="s">
        <v>9</v>
      </c>
      <c r="B40">
        <f>MIN(B2:B37)</f>
        <v>11</v>
      </c>
      <c r="C40">
        <f t="shared" ref="C40:G40" si="2">MIN(C2:C37)</f>
        <v>3</v>
      </c>
      <c r="D40">
        <f t="shared" si="2"/>
        <v>2</v>
      </c>
      <c r="E40">
        <f t="shared" si="2"/>
        <v>1</v>
      </c>
      <c r="F40">
        <f t="shared" si="2"/>
        <v>1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08FDB-F9C6-D64A-BF7D-42F8BBB6E5C4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28</v>
      </c>
      <c r="C3">
        <v>3</v>
      </c>
      <c r="D3">
        <v>3</v>
      </c>
      <c r="E3">
        <v>3</v>
      </c>
      <c r="F3">
        <v>3</v>
      </c>
      <c r="G3">
        <v>3</v>
      </c>
    </row>
    <row r="4" spans="1:7" x14ac:dyDescent="0.3">
      <c r="A4">
        <v>1992</v>
      </c>
      <c r="B4">
        <v>30</v>
      </c>
      <c r="C4">
        <v>2</v>
      </c>
      <c r="D4">
        <v>2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43</v>
      </c>
      <c r="C5">
        <v>9</v>
      </c>
      <c r="D5">
        <v>8</v>
      </c>
      <c r="E5">
        <v>7</v>
      </c>
      <c r="F5">
        <v>7</v>
      </c>
      <c r="G5">
        <v>4</v>
      </c>
    </row>
    <row r="6" spans="1:7" x14ac:dyDescent="0.3">
      <c r="A6">
        <v>1994</v>
      </c>
      <c r="B6">
        <v>60</v>
      </c>
      <c r="C6">
        <v>14</v>
      </c>
      <c r="D6">
        <v>14</v>
      </c>
      <c r="E6">
        <v>10</v>
      </c>
      <c r="F6">
        <v>10</v>
      </c>
      <c r="G6">
        <v>7</v>
      </c>
    </row>
    <row r="7" spans="1:7" x14ac:dyDescent="0.3">
      <c r="A7">
        <v>1995</v>
      </c>
      <c r="B7">
        <v>64</v>
      </c>
      <c r="C7">
        <v>11</v>
      </c>
      <c r="D7">
        <v>10</v>
      </c>
      <c r="E7">
        <v>6</v>
      </c>
      <c r="F7">
        <v>2</v>
      </c>
      <c r="G7">
        <v>1</v>
      </c>
    </row>
    <row r="8" spans="1:7" x14ac:dyDescent="0.3">
      <c r="A8">
        <v>1996</v>
      </c>
      <c r="B8">
        <v>62</v>
      </c>
      <c r="C8">
        <v>8</v>
      </c>
      <c r="D8">
        <v>8</v>
      </c>
      <c r="E8">
        <v>4</v>
      </c>
      <c r="F8">
        <v>3</v>
      </c>
      <c r="G8">
        <v>3</v>
      </c>
    </row>
    <row r="9" spans="1:7" x14ac:dyDescent="0.3">
      <c r="A9">
        <v>1997</v>
      </c>
      <c r="B9">
        <v>68</v>
      </c>
      <c r="C9">
        <v>14</v>
      </c>
      <c r="D9">
        <v>13</v>
      </c>
      <c r="E9">
        <v>11</v>
      </c>
      <c r="F9">
        <v>6</v>
      </c>
      <c r="G9">
        <v>5</v>
      </c>
    </row>
    <row r="10" spans="1:7" x14ac:dyDescent="0.3">
      <c r="A10">
        <v>1998</v>
      </c>
      <c r="B10">
        <v>95</v>
      </c>
      <c r="C10">
        <v>21</v>
      </c>
      <c r="D10">
        <v>20</v>
      </c>
      <c r="E10">
        <v>11</v>
      </c>
      <c r="F10">
        <v>8</v>
      </c>
      <c r="G10">
        <v>6</v>
      </c>
    </row>
    <row r="11" spans="1:7" x14ac:dyDescent="0.3">
      <c r="A11">
        <v>1999</v>
      </c>
      <c r="B11">
        <v>103</v>
      </c>
      <c r="C11">
        <v>23</v>
      </c>
      <c r="D11">
        <v>22</v>
      </c>
      <c r="E11">
        <v>14</v>
      </c>
      <c r="F11">
        <v>7</v>
      </c>
      <c r="G11">
        <v>4</v>
      </c>
    </row>
    <row r="12" spans="1:7" x14ac:dyDescent="0.3">
      <c r="A12">
        <v>2000</v>
      </c>
      <c r="B12">
        <v>77</v>
      </c>
      <c r="C12">
        <v>20</v>
      </c>
      <c r="D12">
        <v>19</v>
      </c>
      <c r="E12">
        <v>14</v>
      </c>
      <c r="F12">
        <v>8</v>
      </c>
      <c r="G12">
        <v>8</v>
      </c>
    </row>
    <row r="13" spans="1:7" x14ac:dyDescent="0.3">
      <c r="A13">
        <v>2001</v>
      </c>
      <c r="B13">
        <v>84</v>
      </c>
      <c r="C13">
        <v>26</v>
      </c>
      <c r="D13">
        <v>26</v>
      </c>
      <c r="E13">
        <v>17</v>
      </c>
      <c r="F13">
        <v>9</v>
      </c>
      <c r="G13">
        <v>5</v>
      </c>
    </row>
    <row r="14" spans="1:7" x14ac:dyDescent="0.3">
      <c r="A14">
        <v>2002</v>
      </c>
      <c r="B14">
        <v>90</v>
      </c>
      <c r="C14">
        <v>11</v>
      </c>
      <c r="D14">
        <v>11</v>
      </c>
      <c r="E14">
        <v>9</v>
      </c>
      <c r="F14">
        <v>5</v>
      </c>
      <c r="G14">
        <v>5</v>
      </c>
    </row>
    <row r="15" spans="1:7" x14ac:dyDescent="0.3">
      <c r="A15">
        <v>2003</v>
      </c>
      <c r="B15">
        <v>109</v>
      </c>
      <c r="C15">
        <v>27</v>
      </c>
      <c r="D15">
        <v>27</v>
      </c>
      <c r="E15">
        <v>19</v>
      </c>
      <c r="F15">
        <v>16</v>
      </c>
      <c r="G15">
        <v>12</v>
      </c>
    </row>
    <row r="16" spans="1:7" x14ac:dyDescent="0.3">
      <c r="A16">
        <v>2004</v>
      </c>
      <c r="B16">
        <v>206</v>
      </c>
      <c r="C16">
        <v>59</v>
      </c>
      <c r="D16">
        <v>57</v>
      </c>
      <c r="E16">
        <v>40</v>
      </c>
      <c r="F16">
        <v>30</v>
      </c>
      <c r="G16">
        <v>23</v>
      </c>
    </row>
    <row r="17" spans="1:7" x14ac:dyDescent="0.3">
      <c r="A17">
        <v>2005</v>
      </c>
      <c r="B17">
        <v>195</v>
      </c>
      <c r="C17">
        <v>57</v>
      </c>
      <c r="D17">
        <v>55</v>
      </c>
      <c r="E17">
        <v>40</v>
      </c>
      <c r="F17">
        <v>29</v>
      </c>
      <c r="G17">
        <v>24</v>
      </c>
    </row>
    <row r="18" spans="1:7" x14ac:dyDescent="0.3">
      <c r="A18">
        <v>2006</v>
      </c>
      <c r="B18">
        <v>131</v>
      </c>
      <c r="C18">
        <v>57</v>
      </c>
      <c r="D18">
        <v>56</v>
      </c>
      <c r="E18">
        <v>41</v>
      </c>
      <c r="F18">
        <v>35</v>
      </c>
      <c r="G18">
        <v>32</v>
      </c>
    </row>
    <row r="19" spans="1:7" x14ac:dyDescent="0.3">
      <c r="A19">
        <v>2007</v>
      </c>
      <c r="B19">
        <v>158</v>
      </c>
      <c r="C19">
        <v>55</v>
      </c>
      <c r="D19">
        <v>51</v>
      </c>
      <c r="E19">
        <v>33</v>
      </c>
      <c r="F19">
        <v>19</v>
      </c>
      <c r="G19">
        <v>16</v>
      </c>
    </row>
    <row r="20" spans="1:7" x14ac:dyDescent="0.3">
      <c r="A20">
        <v>2008</v>
      </c>
      <c r="B20">
        <v>182</v>
      </c>
      <c r="C20">
        <v>73</v>
      </c>
      <c r="D20">
        <v>70</v>
      </c>
      <c r="E20">
        <v>53</v>
      </c>
      <c r="F20">
        <v>42</v>
      </c>
      <c r="G20">
        <v>34</v>
      </c>
    </row>
    <row r="21" spans="1:7" x14ac:dyDescent="0.3">
      <c r="A21">
        <v>2009</v>
      </c>
      <c r="B21">
        <v>220</v>
      </c>
      <c r="C21">
        <v>95</v>
      </c>
      <c r="D21">
        <v>94</v>
      </c>
      <c r="E21">
        <v>76</v>
      </c>
      <c r="F21">
        <v>65</v>
      </c>
      <c r="G21">
        <v>47</v>
      </c>
    </row>
    <row r="22" spans="1:7" x14ac:dyDescent="0.3">
      <c r="A22">
        <v>2010</v>
      </c>
      <c r="B22">
        <v>362</v>
      </c>
      <c r="C22">
        <v>124</v>
      </c>
      <c r="D22">
        <v>120</v>
      </c>
      <c r="E22">
        <v>89</v>
      </c>
      <c r="F22">
        <v>73</v>
      </c>
      <c r="G22">
        <v>61</v>
      </c>
    </row>
    <row r="23" spans="1:7" x14ac:dyDescent="0.3">
      <c r="A23">
        <v>2011</v>
      </c>
      <c r="B23">
        <v>507</v>
      </c>
      <c r="C23">
        <v>188</v>
      </c>
      <c r="D23">
        <v>181</v>
      </c>
      <c r="E23">
        <v>141</v>
      </c>
      <c r="F23">
        <v>125</v>
      </c>
      <c r="G23">
        <v>107</v>
      </c>
    </row>
    <row r="24" spans="1:7" x14ac:dyDescent="0.3">
      <c r="A24">
        <v>2012</v>
      </c>
      <c r="B24">
        <v>865</v>
      </c>
      <c r="C24">
        <v>323</v>
      </c>
      <c r="D24">
        <v>309</v>
      </c>
      <c r="E24">
        <v>238</v>
      </c>
      <c r="F24">
        <v>188</v>
      </c>
      <c r="G24">
        <v>159</v>
      </c>
    </row>
    <row r="25" spans="1:7" x14ac:dyDescent="0.3">
      <c r="A25">
        <v>2013</v>
      </c>
      <c r="B25">
        <v>1300</v>
      </c>
      <c r="C25">
        <v>459</v>
      </c>
      <c r="D25">
        <v>446</v>
      </c>
      <c r="E25">
        <v>323</v>
      </c>
      <c r="F25">
        <v>254</v>
      </c>
      <c r="G25">
        <v>210</v>
      </c>
    </row>
    <row r="26" spans="1:7" x14ac:dyDescent="0.3">
      <c r="A26">
        <v>2014</v>
      </c>
      <c r="B26">
        <v>1455</v>
      </c>
      <c r="C26">
        <v>542</v>
      </c>
      <c r="D26">
        <v>524</v>
      </c>
      <c r="E26">
        <v>389</v>
      </c>
      <c r="F26">
        <v>323</v>
      </c>
      <c r="G26">
        <v>267</v>
      </c>
    </row>
    <row r="27" spans="1:7" x14ac:dyDescent="0.3">
      <c r="A27">
        <v>2015</v>
      </c>
      <c r="B27">
        <v>1457</v>
      </c>
      <c r="C27">
        <v>570</v>
      </c>
      <c r="D27">
        <v>551</v>
      </c>
      <c r="E27">
        <v>416</v>
      </c>
      <c r="F27">
        <v>338</v>
      </c>
      <c r="G27">
        <v>283</v>
      </c>
    </row>
    <row r="28" spans="1:7" x14ac:dyDescent="0.3">
      <c r="A28">
        <v>2016</v>
      </c>
      <c r="B28">
        <v>1479</v>
      </c>
      <c r="C28">
        <v>617</v>
      </c>
      <c r="D28">
        <v>598</v>
      </c>
      <c r="E28">
        <v>456</v>
      </c>
      <c r="F28">
        <v>370</v>
      </c>
      <c r="G28">
        <v>308</v>
      </c>
    </row>
    <row r="29" spans="1:7" x14ac:dyDescent="0.3">
      <c r="A29">
        <v>2017</v>
      </c>
      <c r="B29">
        <v>1332</v>
      </c>
      <c r="C29">
        <v>552</v>
      </c>
      <c r="D29">
        <v>520</v>
      </c>
      <c r="E29">
        <v>379</v>
      </c>
      <c r="F29">
        <v>309</v>
      </c>
      <c r="G29">
        <v>257</v>
      </c>
    </row>
    <row r="30" spans="1:7" x14ac:dyDescent="0.3">
      <c r="A30">
        <v>2018</v>
      </c>
      <c r="B30">
        <v>1821</v>
      </c>
      <c r="C30">
        <v>691</v>
      </c>
      <c r="D30">
        <v>662</v>
      </c>
      <c r="E30">
        <v>508</v>
      </c>
      <c r="F30">
        <v>418</v>
      </c>
      <c r="G30">
        <v>337</v>
      </c>
    </row>
    <row r="31" spans="1:7" x14ac:dyDescent="0.3">
      <c r="A31">
        <v>2019</v>
      </c>
      <c r="B31">
        <v>2133</v>
      </c>
      <c r="C31">
        <v>820</v>
      </c>
      <c r="D31">
        <v>794</v>
      </c>
      <c r="E31">
        <v>598</v>
      </c>
      <c r="F31">
        <v>473</v>
      </c>
      <c r="G31">
        <v>406</v>
      </c>
    </row>
    <row r="32" spans="1:7" x14ac:dyDescent="0.3">
      <c r="A32">
        <v>2020</v>
      </c>
      <c r="B32">
        <v>1919</v>
      </c>
      <c r="C32">
        <v>750</v>
      </c>
      <c r="D32">
        <v>725</v>
      </c>
      <c r="E32">
        <v>529</v>
      </c>
      <c r="F32">
        <v>425</v>
      </c>
      <c r="G32">
        <v>359</v>
      </c>
    </row>
    <row r="33" spans="1:7" x14ac:dyDescent="0.3">
      <c r="A33">
        <v>2021</v>
      </c>
      <c r="B33">
        <v>2298</v>
      </c>
      <c r="C33">
        <v>885</v>
      </c>
      <c r="D33">
        <v>841</v>
      </c>
      <c r="E33">
        <v>639</v>
      </c>
      <c r="F33">
        <v>529</v>
      </c>
      <c r="G33">
        <v>439</v>
      </c>
    </row>
    <row r="34" spans="1:7" x14ac:dyDescent="0.3">
      <c r="A34">
        <v>2022</v>
      </c>
      <c r="B34">
        <v>1415</v>
      </c>
      <c r="C34">
        <v>585</v>
      </c>
      <c r="D34">
        <v>553</v>
      </c>
      <c r="E34">
        <v>401</v>
      </c>
      <c r="F34">
        <v>348</v>
      </c>
      <c r="G34">
        <v>307</v>
      </c>
    </row>
    <row r="35" spans="1:7" x14ac:dyDescent="0.3">
      <c r="A35">
        <v>2023</v>
      </c>
      <c r="B35">
        <v>1059</v>
      </c>
      <c r="C35">
        <v>467</v>
      </c>
      <c r="D35">
        <v>436</v>
      </c>
      <c r="E35">
        <v>321</v>
      </c>
      <c r="F35">
        <v>277</v>
      </c>
      <c r="G35">
        <v>239</v>
      </c>
    </row>
    <row r="36" spans="1:7" x14ac:dyDescent="0.3">
      <c r="A36">
        <v>2024</v>
      </c>
      <c r="B36">
        <v>893</v>
      </c>
      <c r="C36">
        <v>412</v>
      </c>
      <c r="D36">
        <v>389</v>
      </c>
      <c r="E36">
        <v>273</v>
      </c>
      <c r="F36">
        <v>233</v>
      </c>
      <c r="G36">
        <v>194</v>
      </c>
    </row>
    <row r="37" spans="1:7" x14ac:dyDescent="0.3">
      <c r="A37">
        <v>2025</v>
      </c>
      <c r="B37">
        <v>639</v>
      </c>
      <c r="C37">
        <v>328</v>
      </c>
      <c r="D37">
        <v>315</v>
      </c>
      <c r="E37">
        <v>234</v>
      </c>
      <c r="F37">
        <v>197</v>
      </c>
      <c r="G37">
        <v>170</v>
      </c>
    </row>
    <row r="38" spans="1:7" x14ac:dyDescent="0.3">
      <c r="A38" t="s">
        <v>7</v>
      </c>
      <c r="B38">
        <f t="shared" ref="B38:G38" si="0">SUM(B2:B37)</f>
        <v>22949</v>
      </c>
      <c r="C38">
        <f t="shared" si="0"/>
        <v>8899</v>
      </c>
      <c r="D38">
        <f t="shared" si="0"/>
        <v>8531</v>
      </c>
      <c r="E38">
        <f t="shared" si="0"/>
        <v>6342</v>
      </c>
      <c r="F38">
        <f t="shared" si="0"/>
        <v>5184</v>
      </c>
      <c r="G38">
        <f t="shared" si="0"/>
        <v>4342</v>
      </c>
    </row>
    <row r="39" spans="1:7" x14ac:dyDescent="0.3">
      <c r="A39" t="s">
        <v>8</v>
      </c>
      <c r="B39">
        <f>MAX(B2:B37)</f>
        <v>2298</v>
      </c>
      <c r="C39">
        <f t="shared" ref="C39:G39" si="1">MAX(C2:C37)</f>
        <v>885</v>
      </c>
      <c r="D39">
        <f t="shared" si="1"/>
        <v>841</v>
      </c>
      <c r="E39">
        <f t="shared" si="1"/>
        <v>639</v>
      </c>
      <c r="F39">
        <f t="shared" si="1"/>
        <v>529</v>
      </c>
      <c r="G39">
        <f t="shared" si="1"/>
        <v>439</v>
      </c>
    </row>
    <row r="40" spans="1:7" x14ac:dyDescent="0.3">
      <c r="A40" t="s">
        <v>9</v>
      </c>
      <c r="B40">
        <f>MIN(B2:B37)</f>
        <v>10</v>
      </c>
      <c r="C40">
        <f t="shared" ref="C40:G40" si="2">MIN(C2:C37)</f>
        <v>1</v>
      </c>
      <c r="D40">
        <f t="shared" si="2"/>
        <v>1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C2CD-24FE-6D4C-A3BD-D43803597F49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5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1995</v>
      </c>
      <c r="B7">
        <v>4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3">
      <c r="A8">
        <v>1996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3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11</v>
      </c>
      <c r="C12">
        <v>4</v>
      </c>
      <c r="D12">
        <v>4</v>
      </c>
      <c r="E12">
        <v>3</v>
      </c>
      <c r="F12">
        <v>3</v>
      </c>
      <c r="G12">
        <v>2</v>
      </c>
    </row>
    <row r="13" spans="1:7" x14ac:dyDescent="0.3">
      <c r="A13">
        <v>2001</v>
      </c>
      <c r="B13">
        <v>18</v>
      </c>
      <c r="C13">
        <v>3</v>
      </c>
      <c r="D13">
        <v>2</v>
      </c>
      <c r="E13">
        <v>2</v>
      </c>
      <c r="F13">
        <v>1</v>
      </c>
      <c r="G13">
        <v>1</v>
      </c>
    </row>
    <row r="14" spans="1:7" x14ac:dyDescent="0.3">
      <c r="A14">
        <v>2002</v>
      </c>
      <c r="B14">
        <v>13</v>
      </c>
      <c r="C14">
        <v>4</v>
      </c>
      <c r="D14">
        <v>4</v>
      </c>
      <c r="E14">
        <v>3</v>
      </c>
      <c r="F14">
        <v>3</v>
      </c>
      <c r="G14">
        <v>3</v>
      </c>
    </row>
    <row r="15" spans="1:7" x14ac:dyDescent="0.3">
      <c r="A15">
        <v>2003</v>
      </c>
      <c r="B15">
        <v>17</v>
      </c>
      <c r="C15">
        <v>4</v>
      </c>
      <c r="D15">
        <v>3</v>
      </c>
      <c r="E15">
        <v>2</v>
      </c>
      <c r="F15">
        <v>2</v>
      </c>
      <c r="G15">
        <v>2</v>
      </c>
    </row>
    <row r="16" spans="1:7" x14ac:dyDescent="0.3">
      <c r="A16">
        <v>2004</v>
      </c>
      <c r="B16">
        <v>32</v>
      </c>
      <c r="C16">
        <v>7</v>
      </c>
      <c r="D16">
        <v>5</v>
      </c>
      <c r="E16">
        <v>3</v>
      </c>
      <c r="F16">
        <v>3</v>
      </c>
      <c r="G16">
        <v>2</v>
      </c>
    </row>
    <row r="17" spans="1:7" x14ac:dyDescent="0.3">
      <c r="A17">
        <v>2005</v>
      </c>
      <c r="B17">
        <v>48</v>
      </c>
      <c r="C17">
        <v>11</v>
      </c>
      <c r="D17">
        <v>7</v>
      </c>
      <c r="E17">
        <v>6</v>
      </c>
      <c r="F17">
        <v>6</v>
      </c>
      <c r="G17">
        <v>5</v>
      </c>
    </row>
    <row r="18" spans="1:7" x14ac:dyDescent="0.3">
      <c r="A18">
        <v>2006</v>
      </c>
      <c r="B18">
        <v>64</v>
      </c>
      <c r="C18">
        <v>18</v>
      </c>
      <c r="D18">
        <v>15</v>
      </c>
      <c r="E18">
        <v>12</v>
      </c>
      <c r="F18">
        <v>10</v>
      </c>
      <c r="G18">
        <v>9</v>
      </c>
    </row>
    <row r="19" spans="1:7" x14ac:dyDescent="0.3">
      <c r="A19">
        <v>2007</v>
      </c>
      <c r="B19">
        <v>94</v>
      </c>
      <c r="C19">
        <v>20</v>
      </c>
      <c r="D19">
        <v>18</v>
      </c>
      <c r="E19">
        <v>14</v>
      </c>
      <c r="F19">
        <v>14</v>
      </c>
      <c r="G19">
        <v>13</v>
      </c>
    </row>
    <row r="20" spans="1:7" x14ac:dyDescent="0.3">
      <c r="A20">
        <v>2008</v>
      </c>
      <c r="B20">
        <v>146</v>
      </c>
      <c r="C20">
        <v>42</v>
      </c>
      <c r="D20">
        <v>33</v>
      </c>
      <c r="E20">
        <v>21</v>
      </c>
      <c r="F20">
        <v>20</v>
      </c>
      <c r="G20">
        <v>16</v>
      </c>
    </row>
    <row r="21" spans="1:7" x14ac:dyDescent="0.3">
      <c r="A21">
        <v>2009</v>
      </c>
      <c r="B21">
        <v>211</v>
      </c>
      <c r="C21">
        <v>73</v>
      </c>
      <c r="D21">
        <v>66</v>
      </c>
      <c r="E21">
        <v>49</v>
      </c>
      <c r="F21">
        <v>39</v>
      </c>
      <c r="G21">
        <v>32</v>
      </c>
    </row>
    <row r="22" spans="1:7" x14ac:dyDescent="0.3">
      <c r="A22">
        <v>2010</v>
      </c>
      <c r="B22">
        <v>322</v>
      </c>
      <c r="C22">
        <v>97</v>
      </c>
      <c r="D22">
        <v>83</v>
      </c>
      <c r="E22">
        <v>65</v>
      </c>
      <c r="F22">
        <v>57</v>
      </c>
      <c r="G22">
        <v>50</v>
      </c>
    </row>
    <row r="23" spans="1:7" x14ac:dyDescent="0.3">
      <c r="A23">
        <v>2011</v>
      </c>
      <c r="B23">
        <v>519</v>
      </c>
      <c r="C23">
        <v>181</v>
      </c>
      <c r="D23">
        <v>157</v>
      </c>
      <c r="E23">
        <v>129</v>
      </c>
      <c r="F23">
        <v>101</v>
      </c>
      <c r="G23">
        <v>86</v>
      </c>
    </row>
    <row r="24" spans="1:7" x14ac:dyDescent="0.3">
      <c r="A24">
        <v>2012</v>
      </c>
      <c r="B24">
        <v>830</v>
      </c>
      <c r="C24">
        <v>276</v>
      </c>
      <c r="D24">
        <v>238</v>
      </c>
      <c r="E24">
        <v>182</v>
      </c>
      <c r="F24">
        <v>155</v>
      </c>
      <c r="G24">
        <v>128</v>
      </c>
    </row>
    <row r="25" spans="1:7" x14ac:dyDescent="0.3">
      <c r="A25">
        <v>2013</v>
      </c>
      <c r="B25">
        <v>1400</v>
      </c>
      <c r="C25">
        <v>514</v>
      </c>
      <c r="D25">
        <v>453</v>
      </c>
      <c r="E25">
        <v>352</v>
      </c>
      <c r="F25">
        <v>308</v>
      </c>
      <c r="G25">
        <v>264</v>
      </c>
    </row>
    <row r="26" spans="1:7" x14ac:dyDescent="0.3">
      <c r="A26">
        <v>2014</v>
      </c>
      <c r="B26">
        <v>1847</v>
      </c>
      <c r="C26">
        <v>730</v>
      </c>
      <c r="D26">
        <v>655</v>
      </c>
      <c r="E26">
        <v>548</v>
      </c>
      <c r="F26">
        <v>455</v>
      </c>
      <c r="G26">
        <v>391</v>
      </c>
    </row>
    <row r="27" spans="1:7" x14ac:dyDescent="0.3">
      <c r="A27">
        <v>2015</v>
      </c>
      <c r="B27">
        <v>2392</v>
      </c>
      <c r="C27">
        <v>941</v>
      </c>
      <c r="D27">
        <v>844</v>
      </c>
      <c r="E27">
        <v>708</v>
      </c>
      <c r="F27">
        <v>607</v>
      </c>
      <c r="G27">
        <v>516</v>
      </c>
    </row>
    <row r="28" spans="1:7" x14ac:dyDescent="0.3">
      <c r="A28">
        <v>2016</v>
      </c>
      <c r="B28">
        <v>2855</v>
      </c>
      <c r="C28">
        <v>1134</v>
      </c>
      <c r="D28">
        <v>1025</v>
      </c>
      <c r="E28">
        <v>876</v>
      </c>
      <c r="F28">
        <v>758</v>
      </c>
      <c r="G28">
        <v>673</v>
      </c>
    </row>
    <row r="29" spans="1:7" x14ac:dyDescent="0.3">
      <c r="A29">
        <v>2017</v>
      </c>
      <c r="B29">
        <v>2979</v>
      </c>
      <c r="C29">
        <v>1264</v>
      </c>
      <c r="D29">
        <v>1150</v>
      </c>
      <c r="E29">
        <v>934</v>
      </c>
      <c r="F29">
        <v>809</v>
      </c>
      <c r="G29">
        <v>692</v>
      </c>
    </row>
    <row r="30" spans="1:7" x14ac:dyDescent="0.3">
      <c r="A30">
        <v>2018</v>
      </c>
      <c r="B30">
        <v>2927</v>
      </c>
      <c r="C30">
        <v>1266</v>
      </c>
      <c r="D30">
        <v>1120</v>
      </c>
      <c r="E30">
        <v>897</v>
      </c>
      <c r="F30">
        <v>766</v>
      </c>
      <c r="G30">
        <v>674</v>
      </c>
    </row>
    <row r="31" spans="1:7" x14ac:dyDescent="0.3">
      <c r="A31">
        <v>2019</v>
      </c>
      <c r="B31">
        <v>3709</v>
      </c>
      <c r="C31">
        <v>1511</v>
      </c>
      <c r="D31">
        <v>1354</v>
      </c>
      <c r="E31">
        <v>1119</v>
      </c>
      <c r="F31">
        <v>967</v>
      </c>
      <c r="G31">
        <v>859</v>
      </c>
    </row>
    <row r="32" spans="1:7" x14ac:dyDescent="0.3">
      <c r="A32">
        <v>2020</v>
      </c>
      <c r="B32">
        <v>4681</v>
      </c>
      <c r="C32">
        <v>1884</v>
      </c>
      <c r="D32">
        <v>1729</v>
      </c>
      <c r="E32">
        <v>1417</v>
      </c>
      <c r="F32">
        <v>1209</v>
      </c>
      <c r="G32">
        <v>1082</v>
      </c>
    </row>
    <row r="33" spans="1:7" x14ac:dyDescent="0.3">
      <c r="A33">
        <v>2021</v>
      </c>
      <c r="B33">
        <v>5694</v>
      </c>
      <c r="C33">
        <v>2184</v>
      </c>
      <c r="D33">
        <v>1994</v>
      </c>
      <c r="E33">
        <v>1648</v>
      </c>
      <c r="F33">
        <v>1403</v>
      </c>
      <c r="G33">
        <v>1254</v>
      </c>
    </row>
    <row r="34" spans="1:7" x14ac:dyDescent="0.3">
      <c r="A34">
        <v>2022</v>
      </c>
      <c r="B34">
        <v>6683</v>
      </c>
      <c r="C34">
        <v>2740</v>
      </c>
      <c r="D34">
        <v>2505</v>
      </c>
      <c r="E34">
        <v>2075</v>
      </c>
      <c r="F34">
        <v>1794</v>
      </c>
      <c r="G34">
        <v>1629</v>
      </c>
    </row>
    <row r="35" spans="1:7" x14ac:dyDescent="0.3">
      <c r="A35">
        <v>2023</v>
      </c>
      <c r="B35">
        <v>6562</v>
      </c>
      <c r="C35">
        <v>2812</v>
      </c>
      <c r="D35">
        <v>2584</v>
      </c>
      <c r="E35">
        <v>2134</v>
      </c>
      <c r="F35">
        <v>1785</v>
      </c>
      <c r="G35">
        <v>1624</v>
      </c>
    </row>
    <row r="36" spans="1:7" x14ac:dyDescent="0.3">
      <c r="A36">
        <v>2024</v>
      </c>
      <c r="B36">
        <v>6794</v>
      </c>
      <c r="C36">
        <v>2962</v>
      </c>
      <c r="D36">
        <v>2755</v>
      </c>
      <c r="E36">
        <v>2325</v>
      </c>
      <c r="F36">
        <v>1936</v>
      </c>
      <c r="G36">
        <v>1759</v>
      </c>
    </row>
    <row r="37" spans="1:7" x14ac:dyDescent="0.3">
      <c r="A37">
        <v>2025</v>
      </c>
      <c r="B37">
        <v>5163</v>
      </c>
      <c r="C37">
        <v>2231</v>
      </c>
      <c r="D37">
        <v>2045</v>
      </c>
      <c r="E37">
        <v>1719</v>
      </c>
      <c r="F37">
        <v>1424</v>
      </c>
      <c r="G37">
        <v>1285</v>
      </c>
    </row>
    <row r="38" spans="1:7" x14ac:dyDescent="0.3">
      <c r="A38" t="s">
        <v>7</v>
      </c>
      <c r="B38">
        <f t="shared" ref="B38:G38" si="0">SUM(B2:B37)</f>
        <v>56044</v>
      </c>
      <c r="C38">
        <f t="shared" si="0"/>
        <v>22915</v>
      </c>
      <c r="D38">
        <f t="shared" si="0"/>
        <v>20850</v>
      </c>
      <c r="E38">
        <f t="shared" si="0"/>
        <v>17245</v>
      </c>
      <c r="F38">
        <f t="shared" si="0"/>
        <v>14637</v>
      </c>
      <c r="G38">
        <f t="shared" si="0"/>
        <v>13053</v>
      </c>
    </row>
    <row r="39" spans="1:7" x14ac:dyDescent="0.3">
      <c r="A39" t="s">
        <v>8</v>
      </c>
      <c r="B39">
        <f>MAX(B2:B37)</f>
        <v>6794</v>
      </c>
      <c r="C39">
        <f t="shared" ref="C39:G39" si="1">MAX(C2:C37)</f>
        <v>2962</v>
      </c>
      <c r="D39">
        <f t="shared" si="1"/>
        <v>2755</v>
      </c>
      <c r="E39">
        <f t="shared" si="1"/>
        <v>2325</v>
      </c>
      <c r="F39">
        <f t="shared" si="1"/>
        <v>1936</v>
      </c>
      <c r="G39">
        <f t="shared" si="1"/>
        <v>1759</v>
      </c>
    </row>
    <row r="40" spans="1:7" x14ac:dyDescent="0.3">
      <c r="A40" t="s">
        <v>9</v>
      </c>
      <c r="B40">
        <f>MIN(B2:B37)</f>
        <v>1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7FCB9-9D3A-054F-B8B7-A2E00083DE64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164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162</v>
      </c>
      <c r="C3">
        <v>1</v>
      </c>
      <c r="D3">
        <v>1</v>
      </c>
      <c r="E3">
        <v>1</v>
      </c>
      <c r="F3">
        <v>1</v>
      </c>
      <c r="G3">
        <v>1</v>
      </c>
    </row>
    <row r="4" spans="1:7" x14ac:dyDescent="0.3">
      <c r="A4">
        <v>1992</v>
      </c>
      <c r="B4">
        <v>102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194</v>
      </c>
      <c r="C5">
        <v>2</v>
      </c>
      <c r="D5">
        <v>2</v>
      </c>
      <c r="E5">
        <v>1</v>
      </c>
      <c r="F5">
        <v>1</v>
      </c>
      <c r="G5">
        <v>1</v>
      </c>
    </row>
    <row r="6" spans="1:7" x14ac:dyDescent="0.3">
      <c r="A6">
        <v>1994</v>
      </c>
      <c r="B6">
        <v>244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">
      <c r="A7">
        <v>1995</v>
      </c>
      <c r="B7">
        <v>206</v>
      </c>
      <c r="C7">
        <v>1</v>
      </c>
      <c r="D7">
        <v>1</v>
      </c>
      <c r="E7">
        <v>1</v>
      </c>
      <c r="F7">
        <v>0</v>
      </c>
      <c r="G7">
        <v>0</v>
      </c>
    </row>
    <row r="8" spans="1:7" x14ac:dyDescent="0.3">
      <c r="A8">
        <v>1996</v>
      </c>
      <c r="B8">
        <v>197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287</v>
      </c>
      <c r="C9">
        <v>6</v>
      </c>
      <c r="D9">
        <v>6</v>
      </c>
      <c r="E9">
        <v>4</v>
      </c>
      <c r="F9">
        <v>2</v>
      </c>
      <c r="G9">
        <v>2</v>
      </c>
    </row>
    <row r="10" spans="1:7" x14ac:dyDescent="0.3">
      <c r="A10">
        <v>1998</v>
      </c>
      <c r="B10">
        <v>321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">
      <c r="A11">
        <v>1999</v>
      </c>
      <c r="B11">
        <v>246</v>
      </c>
      <c r="C11">
        <v>2</v>
      </c>
      <c r="D11">
        <v>2</v>
      </c>
      <c r="E11">
        <v>2</v>
      </c>
      <c r="F11">
        <v>2</v>
      </c>
      <c r="G11">
        <v>2</v>
      </c>
    </row>
    <row r="12" spans="1:7" x14ac:dyDescent="0.3">
      <c r="A12">
        <v>2000</v>
      </c>
      <c r="B12">
        <v>432</v>
      </c>
      <c r="C12">
        <v>2</v>
      </c>
      <c r="D12">
        <v>2</v>
      </c>
      <c r="E12">
        <v>1</v>
      </c>
      <c r="F12">
        <v>1</v>
      </c>
      <c r="G12">
        <v>1</v>
      </c>
    </row>
    <row r="13" spans="1:7" x14ac:dyDescent="0.3">
      <c r="A13">
        <v>2001</v>
      </c>
      <c r="B13">
        <v>531</v>
      </c>
      <c r="C13">
        <v>3</v>
      </c>
      <c r="D13">
        <v>3</v>
      </c>
      <c r="E13">
        <v>2</v>
      </c>
      <c r="F13">
        <v>2</v>
      </c>
      <c r="G13">
        <v>2</v>
      </c>
    </row>
    <row r="14" spans="1:7" x14ac:dyDescent="0.3">
      <c r="A14">
        <v>2002</v>
      </c>
      <c r="B14">
        <v>578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2003</v>
      </c>
      <c r="B15">
        <v>610</v>
      </c>
      <c r="C15">
        <v>2</v>
      </c>
      <c r="D15">
        <v>2</v>
      </c>
      <c r="E15">
        <v>0</v>
      </c>
      <c r="F15">
        <v>0</v>
      </c>
      <c r="G15">
        <v>0</v>
      </c>
    </row>
    <row r="16" spans="1:7" x14ac:dyDescent="0.3">
      <c r="A16">
        <v>2004</v>
      </c>
      <c r="B16">
        <v>799</v>
      </c>
      <c r="C16">
        <v>6</v>
      </c>
      <c r="D16">
        <v>5</v>
      </c>
      <c r="E16">
        <v>3</v>
      </c>
      <c r="F16">
        <v>3</v>
      </c>
      <c r="G16">
        <v>2</v>
      </c>
    </row>
    <row r="17" spans="1:7" x14ac:dyDescent="0.3">
      <c r="A17">
        <v>2005</v>
      </c>
      <c r="B17">
        <v>895</v>
      </c>
      <c r="C17">
        <v>2</v>
      </c>
      <c r="D17">
        <v>2</v>
      </c>
      <c r="E17">
        <v>2</v>
      </c>
      <c r="F17">
        <v>2</v>
      </c>
      <c r="G17">
        <v>2</v>
      </c>
    </row>
    <row r="18" spans="1:7" x14ac:dyDescent="0.3">
      <c r="A18">
        <v>2006</v>
      </c>
      <c r="B18">
        <v>1531</v>
      </c>
      <c r="C18">
        <v>10</v>
      </c>
      <c r="D18">
        <v>10</v>
      </c>
      <c r="E18">
        <v>10</v>
      </c>
      <c r="F18">
        <v>8</v>
      </c>
      <c r="G18">
        <v>7</v>
      </c>
    </row>
    <row r="19" spans="1:7" x14ac:dyDescent="0.3">
      <c r="A19">
        <v>2007</v>
      </c>
      <c r="B19">
        <v>1705</v>
      </c>
      <c r="C19">
        <v>9</v>
      </c>
      <c r="D19">
        <v>8</v>
      </c>
      <c r="E19">
        <v>6</v>
      </c>
      <c r="F19">
        <v>5</v>
      </c>
      <c r="G19">
        <v>5</v>
      </c>
    </row>
    <row r="20" spans="1:7" x14ac:dyDescent="0.3">
      <c r="A20">
        <v>2008</v>
      </c>
      <c r="B20">
        <v>2089</v>
      </c>
      <c r="C20">
        <v>13</v>
      </c>
      <c r="D20">
        <v>12</v>
      </c>
      <c r="E20">
        <v>8</v>
      </c>
      <c r="F20">
        <v>7</v>
      </c>
      <c r="G20">
        <v>5</v>
      </c>
    </row>
    <row r="21" spans="1:7" x14ac:dyDescent="0.3">
      <c r="A21">
        <v>2009</v>
      </c>
      <c r="B21">
        <v>2562</v>
      </c>
      <c r="C21">
        <v>10</v>
      </c>
      <c r="D21">
        <v>10</v>
      </c>
      <c r="E21">
        <v>8</v>
      </c>
      <c r="F21">
        <v>7</v>
      </c>
      <c r="G21">
        <v>4</v>
      </c>
    </row>
    <row r="22" spans="1:7" x14ac:dyDescent="0.3">
      <c r="A22">
        <v>2010</v>
      </c>
      <c r="B22">
        <v>3866</v>
      </c>
      <c r="C22">
        <v>28</v>
      </c>
      <c r="D22">
        <v>25</v>
      </c>
      <c r="E22">
        <v>18</v>
      </c>
      <c r="F22">
        <v>13</v>
      </c>
      <c r="G22">
        <v>11</v>
      </c>
    </row>
    <row r="23" spans="1:7" x14ac:dyDescent="0.3">
      <c r="A23">
        <v>2011</v>
      </c>
      <c r="B23">
        <v>4395</v>
      </c>
      <c r="C23">
        <v>35</v>
      </c>
      <c r="D23">
        <v>33</v>
      </c>
      <c r="E23">
        <v>24</v>
      </c>
      <c r="F23">
        <v>22</v>
      </c>
      <c r="G23">
        <v>19</v>
      </c>
    </row>
    <row r="24" spans="1:7" x14ac:dyDescent="0.3">
      <c r="A24">
        <v>2012</v>
      </c>
      <c r="B24">
        <v>5900</v>
      </c>
      <c r="C24">
        <v>36</v>
      </c>
      <c r="D24">
        <v>34</v>
      </c>
      <c r="E24">
        <v>21</v>
      </c>
      <c r="F24">
        <v>19</v>
      </c>
      <c r="G24">
        <v>15</v>
      </c>
    </row>
    <row r="25" spans="1:7" x14ac:dyDescent="0.3">
      <c r="A25">
        <v>2013</v>
      </c>
      <c r="B25">
        <v>10518</v>
      </c>
      <c r="C25">
        <v>82</v>
      </c>
      <c r="D25">
        <v>79</v>
      </c>
      <c r="E25">
        <v>60</v>
      </c>
      <c r="F25">
        <v>52</v>
      </c>
      <c r="G25">
        <v>44</v>
      </c>
    </row>
    <row r="26" spans="1:7" x14ac:dyDescent="0.3">
      <c r="A26">
        <v>2014</v>
      </c>
      <c r="B26">
        <v>16871</v>
      </c>
      <c r="C26">
        <v>147</v>
      </c>
      <c r="D26">
        <v>137</v>
      </c>
      <c r="E26">
        <v>95</v>
      </c>
      <c r="F26">
        <v>78</v>
      </c>
      <c r="G26">
        <v>67</v>
      </c>
    </row>
    <row r="27" spans="1:7" x14ac:dyDescent="0.3">
      <c r="A27">
        <v>2015</v>
      </c>
      <c r="B27">
        <v>18749</v>
      </c>
      <c r="C27">
        <v>208</v>
      </c>
      <c r="D27">
        <v>186</v>
      </c>
      <c r="E27">
        <v>139</v>
      </c>
      <c r="F27">
        <v>125</v>
      </c>
      <c r="G27">
        <v>103</v>
      </c>
    </row>
    <row r="28" spans="1:7" x14ac:dyDescent="0.3">
      <c r="A28">
        <v>2016</v>
      </c>
      <c r="B28">
        <v>21081</v>
      </c>
      <c r="C28">
        <v>270</v>
      </c>
      <c r="D28">
        <v>248</v>
      </c>
      <c r="E28">
        <v>195</v>
      </c>
      <c r="F28">
        <v>165</v>
      </c>
      <c r="G28">
        <v>153</v>
      </c>
    </row>
    <row r="29" spans="1:7" x14ac:dyDescent="0.3">
      <c r="A29">
        <v>2017</v>
      </c>
      <c r="B29">
        <v>23799</v>
      </c>
      <c r="C29">
        <v>269</v>
      </c>
      <c r="D29">
        <v>238</v>
      </c>
      <c r="E29">
        <v>191</v>
      </c>
      <c r="F29">
        <v>167</v>
      </c>
      <c r="G29">
        <v>142</v>
      </c>
    </row>
    <row r="30" spans="1:7" x14ac:dyDescent="0.3">
      <c r="A30">
        <v>2018</v>
      </c>
      <c r="B30">
        <v>28176</v>
      </c>
      <c r="C30">
        <v>407</v>
      </c>
      <c r="D30">
        <v>363</v>
      </c>
      <c r="E30">
        <v>298</v>
      </c>
      <c r="F30">
        <v>250</v>
      </c>
      <c r="G30">
        <v>209</v>
      </c>
    </row>
    <row r="31" spans="1:7" x14ac:dyDescent="0.3">
      <c r="A31">
        <v>2019</v>
      </c>
      <c r="B31">
        <v>32576</v>
      </c>
      <c r="C31">
        <v>476</v>
      </c>
      <c r="D31">
        <v>429</v>
      </c>
      <c r="E31">
        <v>337</v>
      </c>
      <c r="F31">
        <v>290</v>
      </c>
      <c r="G31">
        <v>266</v>
      </c>
    </row>
    <row r="32" spans="1:7" x14ac:dyDescent="0.3">
      <c r="A32">
        <v>2020</v>
      </c>
      <c r="B32">
        <v>51478</v>
      </c>
      <c r="C32">
        <v>665</v>
      </c>
      <c r="D32">
        <v>607</v>
      </c>
      <c r="E32">
        <v>481</v>
      </c>
      <c r="F32">
        <v>407</v>
      </c>
      <c r="G32">
        <v>372</v>
      </c>
    </row>
    <row r="33" spans="1:7" x14ac:dyDescent="0.3">
      <c r="A33">
        <v>2021</v>
      </c>
      <c r="B33">
        <v>72610</v>
      </c>
      <c r="C33">
        <v>1051</v>
      </c>
      <c r="D33">
        <v>965</v>
      </c>
      <c r="E33">
        <v>773</v>
      </c>
      <c r="F33">
        <v>655</v>
      </c>
      <c r="G33">
        <v>583</v>
      </c>
    </row>
    <row r="34" spans="1:7" x14ac:dyDescent="0.3">
      <c r="A34">
        <v>2022</v>
      </c>
      <c r="B34">
        <v>77474</v>
      </c>
      <c r="C34">
        <v>1613</v>
      </c>
      <c r="D34">
        <v>1479</v>
      </c>
      <c r="E34">
        <v>1169</v>
      </c>
      <c r="F34">
        <v>957</v>
      </c>
      <c r="G34">
        <v>855</v>
      </c>
    </row>
    <row r="35" spans="1:7" x14ac:dyDescent="0.3">
      <c r="A35">
        <v>2023</v>
      </c>
      <c r="B35">
        <v>70690</v>
      </c>
      <c r="C35">
        <v>1635</v>
      </c>
      <c r="D35">
        <v>1489</v>
      </c>
      <c r="E35">
        <v>1163</v>
      </c>
      <c r="F35">
        <v>971</v>
      </c>
      <c r="G35">
        <v>862</v>
      </c>
    </row>
    <row r="36" spans="1:7" x14ac:dyDescent="0.3">
      <c r="A36">
        <v>2024</v>
      </c>
      <c r="B36">
        <v>65048</v>
      </c>
      <c r="C36">
        <v>1413</v>
      </c>
      <c r="D36">
        <v>1298</v>
      </c>
      <c r="E36">
        <v>997</v>
      </c>
      <c r="F36">
        <v>812</v>
      </c>
      <c r="G36">
        <v>725</v>
      </c>
    </row>
    <row r="37" spans="1:7" x14ac:dyDescent="0.3">
      <c r="A37">
        <v>2025</v>
      </c>
      <c r="B37">
        <v>41045</v>
      </c>
      <c r="C37">
        <v>953</v>
      </c>
      <c r="D37">
        <v>876</v>
      </c>
      <c r="E37">
        <v>672</v>
      </c>
      <c r="F37">
        <v>564</v>
      </c>
      <c r="G37">
        <v>501</v>
      </c>
    </row>
    <row r="38" spans="1:7" x14ac:dyDescent="0.3">
      <c r="A38" t="s">
        <v>7</v>
      </c>
      <c r="B38">
        <f t="shared" ref="B38:G38" si="0">SUM(B2:B37)</f>
        <v>558131</v>
      </c>
      <c r="C38">
        <f t="shared" si="0"/>
        <v>9360</v>
      </c>
      <c r="D38">
        <f t="shared" si="0"/>
        <v>8555</v>
      </c>
      <c r="E38">
        <f t="shared" si="0"/>
        <v>6684</v>
      </c>
      <c r="F38">
        <f t="shared" si="0"/>
        <v>5590</v>
      </c>
      <c r="G38">
        <f t="shared" si="0"/>
        <v>4963</v>
      </c>
    </row>
    <row r="39" spans="1:7" x14ac:dyDescent="0.3">
      <c r="A39" t="s">
        <v>8</v>
      </c>
      <c r="B39">
        <f>MAX(B2:B37)</f>
        <v>77474</v>
      </c>
      <c r="C39">
        <f t="shared" ref="C39:G39" si="1">MAX(C2:C37)</f>
        <v>1635</v>
      </c>
      <c r="D39">
        <f t="shared" si="1"/>
        <v>1489</v>
      </c>
      <c r="E39">
        <f t="shared" si="1"/>
        <v>1169</v>
      </c>
      <c r="F39">
        <f t="shared" si="1"/>
        <v>971</v>
      </c>
      <c r="G39">
        <f t="shared" si="1"/>
        <v>862</v>
      </c>
    </row>
    <row r="40" spans="1:7" x14ac:dyDescent="0.3">
      <c r="A40" t="s">
        <v>9</v>
      </c>
      <c r="B40">
        <f>MIN(B2:B37)</f>
        <v>102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9A8B-9C37-C34D-B28C-D53C7FBFD304}">
  <dimension ref="A1:G40"/>
  <sheetViews>
    <sheetView workbookViewId="0">
      <selection activeCell="A2" sqref="A2:G37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338</v>
      </c>
      <c r="C2">
        <v>52</v>
      </c>
      <c r="D2">
        <v>50</v>
      </c>
      <c r="E2">
        <v>40</v>
      </c>
      <c r="F2">
        <v>34</v>
      </c>
      <c r="G2">
        <v>28</v>
      </c>
    </row>
    <row r="3" spans="1:7" x14ac:dyDescent="0.3">
      <c r="A3">
        <v>1991</v>
      </c>
      <c r="B3">
        <v>380</v>
      </c>
      <c r="C3">
        <v>75</v>
      </c>
      <c r="D3">
        <v>73</v>
      </c>
      <c r="E3">
        <v>58</v>
      </c>
      <c r="F3">
        <v>44</v>
      </c>
      <c r="G3">
        <v>38</v>
      </c>
    </row>
    <row r="4" spans="1:7" x14ac:dyDescent="0.3">
      <c r="A4">
        <v>1992</v>
      </c>
      <c r="B4">
        <v>371</v>
      </c>
      <c r="C4">
        <v>78</v>
      </c>
      <c r="D4">
        <v>74</v>
      </c>
      <c r="E4">
        <v>56</v>
      </c>
      <c r="F4">
        <v>44</v>
      </c>
      <c r="G4">
        <v>31</v>
      </c>
    </row>
    <row r="5" spans="1:7" x14ac:dyDescent="0.3">
      <c r="A5">
        <v>1993</v>
      </c>
      <c r="B5">
        <v>453</v>
      </c>
      <c r="C5">
        <v>98</v>
      </c>
      <c r="D5">
        <v>93</v>
      </c>
      <c r="E5">
        <v>74</v>
      </c>
      <c r="F5">
        <v>60</v>
      </c>
      <c r="G5">
        <v>45</v>
      </c>
    </row>
    <row r="6" spans="1:7" x14ac:dyDescent="0.3">
      <c r="A6">
        <v>1994</v>
      </c>
      <c r="B6">
        <v>436</v>
      </c>
      <c r="C6">
        <v>115</v>
      </c>
      <c r="D6">
        <v>112</v>
      </c>
      <c r="E6">
        <v>82</v>
      </c>
      <c r="F6">
        <v>61</v>
      </c>
      <c r="G6">
        <v>46</v>
      </c>
    </row>
    <row r="7" spans="1:7" x14ac:dyDescent="0.3">
      <c r="A7">
        <v>1995</v>
      </c>
      <c r="B7">
        <v>520</v>
      </c>
      <c r="C7">
        <v>122</v>
      </c>
      <c r="D7">
        <v>118</v>
      </c>
      <c r="E7">
        <v>92</v>
      </c>
      <c r="F7">
        <v>68</v>
      </c>
      <c r="G7">
        <v>51</v>
      </c>
    </row>
    <row r="8" spans="1:7" x14ac:dyDescent="0.3">
      <c r="A8">
        <v>1996</v>
      </c>
      <c r="B8">
        <v>632</v>
      </c>
      <c r="C8">
        <v>143</v>
      </c>
      <c r="D8">
        <v>135</v>
      </c>
      <c r="E8">
        <v>100</v>
      </c>
      <c r="F8">
        <v>75</v>
      </c>
      <c r="G8">
        <v>56</v>
      </c>
    </row>
    <row r="9" spans="1:7" x14ac:dyDescent="0.3">
      <c r="A9">
        <v>1997</v>
      </c>
      <c r="B9">
        <v>564</v>
      </c>
      <c r="C9">
        <v>142</v>
      </c>
      <c r="D9">
        <v>138</v>
      </c>
      <c r="E9">
        <v>106</v>
      </c>
      <c r="F9">
        <v>82</v>
      </c>
      <c r="G9">
        <v>63</v>
      </c>
    </row>
    <row r="10" spans="1:7" x14ac:dyDescent="0.3">
      <c r="A10">
        <v>1998</v>
      </c>
      <c r="B10">
        <v>670</v>
      </c>
      <c r="C10">
        <v>181</v>
      </c>
      <c r="D10">
        <v>172</v>
      </c>
      <c r="E10">
        <v>137</v>
      </c>
      <c r="F10">
        <v>115</v>
      </c>
      <c r="G10">
        <v>89</v>
      </c>
    </row>
    <row r="11" spans="1:7" x14ac:dyDescent="0.3">
      <c r="A11">
        <v>1999</v>
      </c>
      <c r="B11">
        <v>811</v>
      </c>
      <c r="C11">
        <v>199</v>
      </c>
      <c r="D11">
        <v>191</v>
      </c>
      <c r="E11">
        <v>151</v>
      </c>
      <c r="F11">
        <v>122</v>
      </c>
      <c r="G11">
        <v>98</v>
      </c>
    </row>
    <row r="12" spans="1:7" x14ac:dyDescent="0.3">
      <c r="A12">
        <v>2000</v>
      </c>
      <c r="B12">
        <v>588</v>
      </c>
      <c r="C12">
        <v>153</v>
      </c>
      <c r="D12">
        <v>142</v>
      </c>
      <c r="E12">
        <v>111</v>
      </c>
      <c r="F12">
        <v>92</v>
      </c>
      <c r="G12">
        <v>77</v>
      </c>
    </row>
    <row r="13" spans="1:7" x14ac:dyDescent="0.3">
      <c r="A13">
        <v>2001</v>
      </c>
      <c r="B13">
        <v>591</v>
      </c>
      <c r="C13">
        <v>150</v>
      </c>
      <c r="D13">
        <v>142</v>
      </c>
      <c r="E13">
        <v>111</v>
      </c>
      <c r="F13">
        <v>81</v>
      </c>
      <c r="G13">
        <v>58</v>
      </c>
    </row>
    <row r="14" spans="1:7" x14ac:dyDescent="0.3">
      <c r="A14">
        <v>2002</v>
      </c>
      <c r="B14">
        <v>619</v>
      </c>
      <c r="C14">
        <v>146</v>
      </c>
      <c r="D14">
        <v>142</v>
      </c>
      <c r="E14">
        <v>120</v>
      </c>
      <c r="F14">
        <v>97</v>
      </c>
      <c r="G14">
        <v>75</v>
      </c>
    </row>
    <row r="15" spans="1:7" x14ac:dyDescent="0.3">
      <c r="A15">
        <v>2003</v>
      </c>
      <c r="B15">
        <v>733</v>
      </c>
      <c r="C15">
        <v>181</v>
      </c>
      <c r="D15">
        <v>172</v>
      </c>
      <c r="E15">
        <v>141</v>
      </c>
      <c r="F15">
        <v>115</v>
      </c>
      <c r="G15">
        <v>94</v>
      </c>
    </row>
    <row r="16" spans="1:7" x14ac:dyDescent="0.3">
      <c r="A16">
        <v>2004</v>
      </c>
      <c r="B16">
        <v>783</v>
      </c>
      <c r="C16">
        <v>210</v>
      </c>
      <c r="D16">
        <v>197</v>
      </c>
      <c r="E16">
        <v>155</v>
      </c>
      <c r="F16">
        <v>131</v>
      </c>
      <c r="G16">
        <v>112</v>
      </c>
    </row>
    <row r="17" spans="1:7" x14ac:dyDescent="0.3">
      <c r="A17">
        <v>2005</v>
      </c>
      <c r="B17">
        <v>630</v>
      </c>
      <c r="C17">
        <v>176</v>
      </c>
      <c r="D17">
        <v>164</v>
      </c>
      <c r="E17">
        <v>130</v>
      </c>
      <c r="F17">
        <v>113</v>
      </c>
      <c r="G17">
        <v>88</v>
      </c>
    </row>
    <row r="18" spans="1:7" x14ac:dyDescent="0.3">
      <c r="A18">
        <v>2006</v>
      </c>
      <c r="B18">
        <v>655</v>
      </c>
      <c r="C18">
        <v>181</v>
      </c>
      <c r="D18">
        <v>169</v>
      </c>
      <c r="E18">
        <v>130</v>
      </c>
      <c r="F18">
        <v>112</v>
      </c>
      <c r="G18">
        <v>96</v>
      </c>
    </row>
    <row r="19" spans="1:7" x14ac:dyDescent="0.3">
      <c r="A19">
        <v>2007</v>
      </c>
      <c r="B19">
        <v>844</v>
      </c>
      <c r="C19">
        <v>244</v>
      </c>
      <c r="D19">
        <v>236</v>
      </c>
      <c r="E19">
        <v>200</v>
      </c>
      <c r="F19">
        <v>164</v>
      </c>
      <c r="G19">
        <v>148</v>
      </c>
    </row>
    <row r="20" spans="1:7" x14ac:dyDescent="0.3">
      <c r="A20">
        <v>2008</v>
      </c>
      <c r="B20">
        <v>1513</v>
      </c>
      <c r="C20">
        <v>484</v>
      </c>
      <c r="D20">
        <v>463</v>
      </c>
      <c r="E20">
        <v>376</v>
      </c>
      <c r="F20">
        <v>318</v>
      </c>
      <c r="G20">
        <v>275</v>
      </c>
    </row>
    <row r="21" spans="1:7" x14ac:dyDescent="0.3">
      <c r="A21">
        <v>2009</v>
      </c>
      <c r="B21">
        <v>1928</v>
      </c>
      <c r="C21">
        <v>683</v>
      </c>
      <c r="D21">
        <v>652</v>
      </c>
      <c r="E21">
        <v>532</v>
      </c>
      <c r="F21">
        <v>442</v>
      </c>
      <c r="G21">
        <v>379</v>
      </c>
    </row>
    <row r="22" spans="1:7" x14ac:dyDescent="0.3">
      <c r="A22">
        <v>2010</v>
      </c>
      <c r="B22">
        <v>2081</v>
      </c>
      <c r="C22">
        <v>770</v>
      </c>
      <c r="D22">
        <v>735</v>
      </c>
      <c r="E22">
        <v>598</v>
      </c>
      <c r="F22">
        <v>486</v>
      </c>
      <c r="G22">
        <v>411</v>
      </c>
    </row>
    <row r="23" spans="1:7" x14ac:dyDescent="0.3">
      <c r="A23">
        <v>2011</v>
      </c>
      <c r="B23">
        <v>2205</v>
      </c>
      <c r="C23">
        <v>771</v>
      </c>
      <c r="D23">
        <v>722</v>
      </c>
      <c r="E23">
        <v>591</v>
      </c>
      <c r="F23">
        <v>495</v>
      </c>
      <c r="G23">
        <v>414</v>
      </c>
    </row>
    <row r="24" spans="1:7" x14ac:dyDescent="0.3">
      <c r="A24">
        <v>2012</v>
      </c>
      <c r="B24">
        <v>2464</v>
      </c>
      <c r="C24">
        <v>773</v>
      </c>
      <c r="D24">
        <v>738</v>
      </c>
      <c r="E24">
        <v>597</v>
      </c>
      <c r="F24">
        <v>494</v>
      </c>
      <c r="G24">
        <v>413</v>
      </c>
    </row>
    <row r="25" spans="1:7" x14ac:dyDescent="0.3">
      <c r="A25">
        <v>2013</v>
      </c>
      <c r="B25">
        <v>3238</v>
      </c>
      <c r="C25">
        <v>1100</v>
      </c>
      <c r="D25">
        <v>1050</v>
      </c>
      <c r="E25">
        <v>862</v>
      </c>
      <c r="F25">
        <v>719</v>
      </c>
      <c r="G25">
        <v>612</v>
      </c>
    </row>
    <row r="26" spans="1:7" x14ac:dyDescent="0.3">
      <c r="A26">
        <v>2014</v>
      </c>
      <c r="B26">
        <v>3718</v>
      </c>
      <c r="C26">
        <v>1146</v>
      </c>
      <c r="D26">
        <v>1075</v>
      </c>
      <c r="E26">
        <v>852</v>
      </c>
      <c r="F26">
        <v>715</v>
      </c>
      <c r="G26">
        <v>599</v>
      </c>
    </row>
    <row r="27" spans="1:7" x14ac:dyDescent="0.3">
      <c r="A27">
        <v>2015</v>
      </c>
      <c r="B27">
        <v>5328</v>
      </c>
      <c r="C27">
        <v>1806</v>
      </c>
      <c r="D27">
        <v>1706</v>
      </c>
      <c r="E27">
        <v>1380</v>
      </c>
      <c r="F27">
        <v>1169</v>
      </c>
      <c r="G27">
        <v>1013</v>
      </c>
    </row>
    <row r="28" spans="1:7" x14ac:dyDescent="0.3">
      <c r="A28">
        <v>2016</v>
      </c>
      <c r="B28">
        <v>6736</v>
      </c>
      <c r="C28">
        <v>2505</v>
      </c>
      <c r="D28">
        <v>2368</v>
      </c>
      <c r="E28">
        <v>1911</v>
      </c>
      <c r="F28">
        <v>1628</v>
      </c>
      <c r="G28">
        <v>1393</v>
      </c>
    </row>
    <row r="29" spans="1:7" x14ac:dyDescent="0.3">
      <c r="A29">
        <v>2017</v>
      </c>
      <c r="B29">
        <v>7385</v>
      </c>
      <c r="C29">
        <v>2409</v>
      </c>
      <c r="D29">
        <v>2258</v>
      </c>
      <c r="E29">
        <v>1721</v>
      </c>
      <c r="F29">
        <v>1414</v>
      </c>
      <c r="G29">
        <v>1200</v>
      </c>
    </row>
    <row r="30" spans="1:7" x14ac:dyDescent="0.3">
      <c r="A30">
        <v>2018</v>
      </c>
      <c r="B30">
        <v>8296</v>
      </c>
      <c r="C30">
        <v>2509</v>
      </c>
      <c r="D30">
        <v>2350</v>
      </c>
      <c r="E30">
        <v>1798</v>
      </c>
      <c r="F30">
        <v>1474</v>
      </c>
      <c r="G30">
        <v>1257</v>
      </c>
    </row>
    <row r="31" spans="1:7" x14ac:dyDescent="0.3">
      <c r="A31">
        <v>2019</v>
      </c>
      <c r="B31">
        <v>9155</v>
      </c>
      <c r="C31">
        <v>2712</v>
      </c>
      <c r="D31">
        <v>2511</v>
      </c>
      <c r="E31">
        <v>1938</v>
      </c>
      <c r="F31">
        <v>1645</v>
      </c>
      <c r="G31">
        <v>1435</v>
      </c>
    </row>
    <row r="32" spans="1:7" x14ac:dyDescent="0.3">
      <c r="A32">
        <v>2020</v>
      </c>
      <c r="B32">
        <v>12859</v>
      </c>
      <c r="C32">
        <v>3380</v>
      </c>
      <c r="D32">
        <v>3186</v>
      </c>
      <c r="E32">
        <v>2454</v>
      </c>
      <c r="F32">
        <v>2034</v>
      </c>
      <c r="G32">
        <v>1725</v>
      </c>
    </row>
    <row r="33" spans="1:7" x14ac:dyDescent="0.3">
      <c r="A33">
        <v>2021</v>
      </c>
      <c r="B33">
        <v>13836</v>
      </c>
      <c r="C33">
        <v>3989</v>
      </c>
      <c r="D33">
        <v>3751</v>
      </c>
      <c r="E33">
        <v>2873</v>
      </c>
      <c r="F33">
        <v>2416</v>
      </c>
      <c r="G33">
        <v>2089</v>
      </c>
    </row>
    <row r="34" spans="1:7" x14ac:dyDescent="0.3">
      <c r="A34">
        <v>2022</v>
      </c>
      <c r="B34">
        <v>14222</v>
      </c>
      <c r="C34">
        <v>4245</v>
      </c>
      <c r="D34">
        <v>4020</v>
      </c>
      <c r="E34">
        <v>3081</v>
      </c>
      <c r="F34">
        <v>2633</v>
      </c>
      <c r="G34">
        <v>2269</v>
      </c>
    </row>
    <row r="35" spans="1:7" x14ac:dyDescent="0.3">
      <c r="A35">
        <v>2023</v>
      </c>
      <c r="B35">
        <v>12499</v>
      </c>
      <c r="C35">
        <v>3999</v>
      </c>
      <c r="D35">
        <v>3727</v>
      </c>
      <c r="E35">
        <v>2814</v>
      </c>
      <c r="F35">
        <v>2381</v>
      </c>
      <c r="G35">
        <v>2090</v>
      </c>
    </row>
    <row r="36" spans="1:7" x14ac:dyDescent="0.3">
      <c r="A36">
        <v>2024</v>
      </c>
      <c r="B36">
        <v>11634</v>
      </c>
      <c r="C36">
        <v>4035</v>
      </c>
      <c r="D36">
        <v>3792</v>
      </c>
      <c r="E36">
        <v>2766</v>
      </c>
      <c r="F36">
        <v>2323</v>
      </c>
      <c r="G36">
        <v>2017</v>
      </c>
    </row>
    <row r="37" spans="1:7" x14ac:dyDescent="0.3">
      <c r="A37">
        <v>2025</v>
      </c>
      <c r="B37">
        <v>10930</v>
      </c>
      <c r="C37">
        <v>3795</v>
      </c>
      <c r="D37">
        <v>3543</v>
      </c>
      <c r="E37">
        <v>2663</v>
      </c>
      <c r="F37">
        <v>2272</v>
      </c>
      <c r="G37">
        <v>1975</v>
      </c>
    </row>
    <row r="38" spans="1:7" x14ac:dyDescent="0.3">
      <c r="A38" t="s">
        <v>7</v>
      </c>
      <c r="B38">
        <f t="shared" ref="B38:G38" si="0">SUM(B2:B37)</f>
        <v>140645</v>
      </c>
      <c r="C38">
        <f t="shared" si="0"/>
        <v>43757</v>
      </c>
      <c r="D38">
        <f t="shared" si="0"/>
        <v>41167</v>
      </c>
      <c r="E38">
        <f t="shared" si="0"/>
        <v>31801</v>
      </c>
      <c r="F38">
        <f t="shared" si="0"/>
        <v>26668</v>
      </c>
      <c r="G38">
        <f t="shared" si="0"/>
        <v>22859</v>
      </c>
    </row>
    <row r="39" spans="1:7" x14ac:dyDescent="0.3">
      <c r="A39" t="s">
        <v>8</v>
      </c>
      <c r="B39">
        <f>MAX(B2:B37)</f>
        <v>14222</v>
      </c>
      <c r="C39">
        <f t="shared" ref="C39:G39" si="1">MAX(C2:C37)</f>
        <v>4245</v>
      </c>
      <c r="D39">
        <f t="shared" si="1"/>
        <v>4020</v>
      </c>
      <c r="E39">
        <f t="shared" si="1"/>
        <v>3081</v>
      </c>
      <c r="F39">
        <f t="shared" si="1"/>
        <v>2633</v>
      </c>
      <c r="G39">
        <f t="shared" si="1"/>
        <v>2269</v>
      </c>
    </row>
    <row r="40" spans="1:7" x14ac:dyDescent="0.3">
      <c r="A40" t="s">
        <v>9</v>
      </c>
      <c r="B40">
        <f>MIN(B2:B37)</f>
        <v>338</v>
      </c>
      <c r="C40">
        <f t="shared" ref="C40:G40" si="2">MIN(C2:C37)</f>
        <v>52</v>
      </c>
      <c r="D40">
        <f t="shared" si="2"/>
        <v>50</v>
      </c>
      <c r="E40">
        <f t="shared" si="2"/>
        <v>40</v>
      </c>
      <c r="F40">
        <f t="shared" si="2"/>
        <v>34</v>
      </c>
      <c r="G40">
        <f t="shared" si="2"/>
        <v>28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D5F0-A2D0-E14C-AA47-A11E45B6A63C}">
  <dimension ref="A1:G40"/>
  <sheetViews>
    <sheetView tabSelected="1" topLeftCell="A29" workbookViewId="0">
      <selection activeCell="B38" sqref="B38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2340</v>
      </c>
      <c r="C2">
        <v>90</v>
      </c>
      <c r="D2">
        <v>86</v>
      </c>
      <c r="E2">
        <v>66</v>
      </c>
      <c r="F2">
        <v>54</v>
      </c>
      <c r="G2">
        <v>47</v>
      </c>
    </row>
    <row r="3" spans="1:7" x14ac:dyDescent="0.3">
      <c r="A3">
        <v>1991</v>
      </c>
      <c r="B3">
        <v>2408</v>
      </c>
      <c r="C3">
        <v>139</v>
      </c>
      <c r="D3">
        <v>135</v>
      </c>
      <c r="E3">
        <v>104</v>
      </c>
      <c r="F3">
        <v>78</v>
      </c>
      <c r="G3">
        <v>66</v>
      </c>
    </row>
    <row r="4" spans="1:7" x14ac:dyDescent="0.3">
      <c r="A4">
        <v>1992</v>
      </c>
      <c r="B4">
        <v>2444</v>
      </c>
      <c r="C4">
        <v>143</v>
      </c>
      <c r="D4">
        <v>139</v>
      </c>
      <c r="E4">
        <v>103</v>
      </c>
      <c r="F4">
        <v>74</v>
      </c>
      <c r="G4">
        <v>51</v>
      </c>
    </row>
    <row r="5" spans="1:7" x14ac:dyDescent="0.3">
      <c r="A5">
        <v>1993</v>
      </c>
      <c r="B5">
        <v>2815</v>
      </c>
      <c r="C5">
        <v>198</v>
      </c>
      <c r="D5">
        <v>190</v>
      </c>
      <c r="E5">
        <v>136</v>
      </c>
      <c r="F5">
        <v>99</v>
      </c>
      <c r="G5">
        <v>71</v>
      </c>
    </row>
    <row r="6" spans="1:7" x14ac:dyDescent="0.3">
      <c r="A6">
        <v>1994</v>
      </c>
      <c r="B6">
        <v>3102</v>
      </c>
      <c r="C6">
        <v>230</v>
      </c>
      <c r="D6">
        <v>225</v>
      </c>
      <c r="E6">
        <v>158</v>
      </c>
      <c r="F6">
        <v>118</v>
      </c>
      <c r="G6">
        <v>91</v>
      </c>
    </row>
    <row r="7" spans="1:7" x14ac:dyDescent="0.3">
      <c r="A7">
        <v>1995</v>
      </c>
      <c r="B7">
        <v>2947</v>
      </c>
      <c r="C7">
        <v>224</v>
      </c>
      <c r="D7">
        <v>215</v>
      </c>
      <c r="E7">
        <v>155</v>
      </c>
      <c r="F7">
        <v>106</v>
      </c>
      <c r="G7">
        <v>79</v>
      </c>
    </row>
    <row r="8" spans="1:7" x14ac:dyDescent="0.3">
      <c r="A8">
        <v>1996</v>
      </c>
      <c r="B8">
        <v>3102</v>
      </c>
      <c r="C8">
        <v>271</v>
      </c>
      <c r="D8">
        <v>259</v>
      </c>
      <c r="E8">
        <v>187</v>
      </c>
      <c r="F8">
        <v>134</v>
      </c>
      <c r="G8">
        <v>108</v>
      </c>
    </row>
    <row r="9" spans="1:7" x14ac:dyDescent="0.3">
      <c r="A9">
        <v>1997</v>
      </c>
      <c r="B9">
        <v>3244</v>
      </c>
      <c r="C9">
        <v>292</v>
      </c>
      <c r="D9">
        <v>274</v>
      </c>
      <c r="E9">
        <v>196</v>
      </c>
      <c r="F9">
        <v>144</v>
      </c>
      <c r="G9">
        <v>115</v>
      </c>
    </row>
    <row r="10" spans="1:7" x14ac:dyDescent="0.3">
      <c r="A10">
        <v>1998</v>
      </c>
      <c r="B10">
        <v>3421</v>
      </c>
      <c r="C10">
        <v>328</v>
      </c>
      <c r="D10">
        <v>312</v>
      </c>
      <c r="E10">
        <v>232</v>
      </c>
      <c r="F10">
        <v>185</v>
      </c>
      <c r="G10">
        <v>148</v>
      </c>
    </row>
    <row r="11" spans="1:7" x14ac:dyDescent="0.3">
      <c r="A11">
        <v>1999</v>
      </c>
      <c r="B11">
        <v>3516</v>
      </c>
      <c r="C11">
        <v>364</v>
      </c>
      <c r="D11">
        <v>355</v>
      </c>
      <c r="E11">
        <v>272</v>
      </c>
      <c r="F11">
        <v>204</v>
      </c>
      <c r="G11">
        <v>163</v>
      </c>
    </row>
    <row r="12" spans="1:7" x14ac:dyDescent="0.3">
      <c r="A12">
        <v>2000</v>
      </c>
      <c r="B12">
        <v>3833</v>
      </c>
      <c r="C12">
        <v>354</v>
      </c>
      <c r="D12">
        <v>336</v>
      </c>
      <c r="E12">
        <v>233</v>
      </c>
      <c r="F12">
        <v>175</v>
      </c>
      <c r="G12">
        <v>147</v>
      </c>
    </row>
    <row r="13" spans="1:7" x14ac:dyDescent="0.3">
      <c r="A13">
        <v>2001</v>
      </c>
      <c r="B13">
        <v>4861</v>
      </c>
      <c r="C13">
        <v>449</v>
      </c>
      <c r="D13">
        <v>423</v>
      </c>
      <c r="E13">
        <v>314</v>
      </c>
      <c r="F13">
        <v>219</v>
      </c>
      <c r="G13">
        <v>180</v>
      </c>
    </row>
    <row r="14" spans="1:7" x14ac:dyDescent="0.3">
      <c r="A14">
        <v>2002</v>
      </c>
      <c r="B14">
        <v>5456</v>
      </c>
      <c r="C14">
        <v>538</v>
      </c>
      <c r="D14">
        <v>517</v>
      </c>
      <c r="E14">
        <v>373</v>
      </c>
      <c r="F14">
        <v>286</v>
      </c>
      <c r="G14">
        <v>235</v>
      </c>
    </row>
    <row r="15" spans="1:7" x14ac:dyDescent="0.3">
      <c r="A15">
        <v>2003</v>
      </c>
      <c r="B15">
        <v>6348</v>
      </c>
      <c r="C15">
        <v>663</v>
      </c>
      <c r="D15">
        <v>634</v>
      </c>
      <c r="E15">
        <v>453</v>
      </c>
      <c r="F15">
        <v>349</v>
      </c>
      <c r="G15">
        <v>287</v>
      </c>
    </row>
    <row r="16" spans="1:7" x14ac:dyDescent="0.3">
      <c r="A16">
        <v>2004</v>
      </c>
      <c r="B16">
        <v>8615</v>
      </c>
      <c r="C16">
        <v>936</v>
      </c>
      <c r="D16">
        <v>882</v>
      </c>
      <c r="E16">
        <v>648</v>
      </c>
      <c r="F16">
        <v>508</v>
      </c>
      <c r="G16">
        <v>443</v>
      </c>
    </row>
    <row r="17" spans="1:7" x14ac:dyDescent="0.3">
      <c r="A17">
        <v>2005</v>
      </c>
      <c r="B17">
        <v>13145</v>
      </c>
      <c r="C17">
        <v>1374</v>
      </c>
      <c r="D17">
        <v>1308</v>
      </c>
      <c r="E17">
        <v>946</v>
      </c>
      <c r="F17">
        <v>730</v>
      </c>
      <c r="G17">
        <v>607</v>
      </c>
    </row>
    <row r="18" spans="1:7" x14ac:dyDescent="0.3">
      <c r="A18">
        <v>2006</v>
      </c>
      <c r="B18">
        <v>17503</v>
      </c>
      <c r="C18">
        <v>1978</v>
      </c>
      <c r="D18">
        <v>1872</v>
      </c>
      <c r="E18">
        <v>1357</v>
      </c>
      <c r="F18">
        <v>1088</v>
      </c>
      <c r="G18">
        <v>931</v>
      </c>
    </row>
    <row r="19" spans="1:7" x14ac:dyDescent="0.3">
      <c r="A19">
        <v>2007</v>
      </c>
      <c r="B19">
        <v>24455</v>
      </c>
      <c r="C19">
        <v>2682</v>
      </c>
      <c r="D19">
        <v>2556</v>
      </c>
      <c r="E19">
        <v>1787</v>
      </c>
      <c r="F19">
        <v>1405</v>
      </c>
      <c r="G19">
        <v>1188</v>
      </c>
    </row>
    <row r="20" spans="1:7" x14ac:dyDescent="0.3">
      <c r="A20">
        <v>2008</v>
      </c>
      <c r="B20">
        <v>38979</v>
      </c>
      <c r="C20">
        <v>4055</v>
      </c>
      <c r="D20">
        <v>3863</v>
      </c>
      <c r="E20">
        <v>2753</v>
      </c>
      <c r="F20">
        <v>2144</v>
      </c>
      <c r="G20">
        <v>1804</v>
      </c>
    </row>
    <row r="21" spans="1:7" x14ac:dyDescent="0.3">
      <c r="A21">
        <v>2009</v>
      </c>
      <c r="B21">
        <v>52975</v>
      </c>
      <c r="C21">
        <v>5604</v>
      </c>
      <c r="D21">
        <v>5340</v>
      </c>
      <c r="E21">
        <v>3803</v>
      </c>
      <c r="F21">
        <v>3007</v>
      </c>
      <c r="G21">
        <v>2517</v>
      </c>
    </row>
    <row r="22" spans="1:7" x14ac:dyDescent="0.3">
      <c r="A22">
        <v>2010</v>
      </c>
      <c r="B22">
        <v>71976</v>
      </c>
      <c r="C22">
        <v>8241</v>
      </c>
      <c r="D22">
        <v>7857</v>
      </c>
      <c r="E22">
        <v>5542</v>
      </c>
      <c r="F22">
        <v>4381</v>
      </c>
      <c r="G22">
        <v>3655</v>
      </c>
    </row>
    <row r="23" spans="1:7" x14ac:dyDescent="0.3">
      <c r="A23">
        <v>2011</v>
      </c>
      <c r="B23">
        <v>98163</v>
      </c>
      <c r="C23">
        <v>11843</v>
      </c>
      <c r="D23">
        <v>11277</v>
      </c>
      <c r="E23">
        <v>7976</v>
      </c>
      <c r="F23">
        <v>6341</v>
      </c>
      <c r="G23">
        <v>5276</v>
      </c>
    </row>
    <row r="24" spans="1:7" x14ac:dyDescent="0.3">
      <c r="A24">
        <v>2012</v>
      </c>
      <c r="B24">
        <v>132750</v>
      </c>
      <c r="C24">
        <v>17471</v>
      </c>
      <c r="D24">
        <v>16747</v>
      </c>
      <c r="E24">
        <v>11516</v>
      </c>
      <c r="F24">
        <v>9010</v>
      </c>
      <c r="G24">
        <v>7505</v>
      </c>
    </row>
    <row r="25" spans="1:7" x14ac:dyDescent="0.3">
      <c r="A25">
        <v>2013</v>
      </c>
      <c r="B25">
        <v>165606</v>
      </c>
      <c r="C25">
        <v>23618</v>
      </c>
      <c r="D25">
        <v>22537</v>
      </c>
      <c r="E25">
        <v>15707</v>
      </c>
      <c r="F25">
        <v>12359</v>
      </c>
      <c r="G25">
        <v>10420</v>
      </c>
    </row>
    <row r="26" spans="1:7" x14ac:dyDescent="0.3">
      <c r="A26">
        <v>2014</v>
      </c>
      <c r="B26">
        <v>199504</v>
      </c>
      <c r="C26">
        <v>29512</v>
      </c>
      <c r="D26">
        <v>28214</v>
      </c>
      <c r="E26">
        <v>19433</v>
      </c>
      <c r="F26">
        <v>15500</v>
      </c>
      <c r="G26">
        <v>13156</v>
      </c>
    </row>
    <row r="27" spans="1:7" x14ac:dyDescent="0.3">
      <c r="A27">
        <v>2015</v>
      </c>
      <c r="B27">
        <v>224992</v>
      </c>
      <c r="C27">
        <v>34265</v>
      </c>
      <c r="D27">
        <v>32710</v>
      </c>
      <c r="E27">
        <v>22693</v>
      </c>
      <c r="F27">
        <v>18154</v>
      </c>
      <c r="G27">
        <v>15379</v>
      </c>
    </row>
    <row r="28" spans="1:7" x14ac:dyDescent="0.3">
      <c r="A28">
        <v>2016</v>
      </c>
      <c r="B28">
        <v>254848</v>
      </c>
      <c r="C28">
        <v>39710</v>
      </c>
      <c r="D28">
        <v>37916</v>
      </c>
      <c r="E28">
        <v>26589</v>
      </c>
      <c r="F28">
        <v>21465</v>
      </c>
      <c r="G28">
        <v>18200</v>
      </c>
    </row>
    <row r="29" spans="1:7" x14ac:dyDescent="0.3">
      <c r="A29">
        <v>2017</v>
      </c>
      <c r="B29">
        <v>288944</v>
      </c>
      <c r="C29">
        <v>45295</v>
      </c>
      <c r="D29">
        <v>43119</v>
      </c>
      <c r="E29">
        <v>30460</v>
      </c>
      <c r="F29">
        <v>24461</v>
      </c>
      <c r="G29">
        <v>20685</v>
      </c>
    </row>
    <row r="30" spans="1:7" x14ac:dyDescent="0.3">
      <c r="A30">
        <v>2018</v>
      </c>
      <c r="B30">
        <v>321135</v>
      </c>
      <c r="C30">
        <v>50687</v>
      </c>
      <c r="D30">
        <v>48225</v>
      </c>
      <c r="E30">
        <v>33782</v>
      </c>
      <c r="F30">
        <v>27187</v>
      </c>
      <c r="G30">
        <v>23058</v>
      </c>
    </row>
    <row r="31" spans="1:7" x14ac:dyDescent="0.3">
      <c r="A31">
        <v>2019</v>
      </c>
      <c r="B31">
        <v>376411</v>
      </c>
      <c r="C31">
        <v>60196</v>
      </c>
      <c r="D31">
        <v>57347</v>
      </c>
      <c r="E31">
        <v>40380</v>
      </c>
      <c r="F31">
        <v>32702</v>
      </c>
      <c r="G31">
        <v>27977</v>
      </c>
    </row>
    <row r="32" spans="1:7" x14ac:dyDescent="0.3">
      <c r="A32">
        <v>2020</v>
      </c>
      <c r="B32">
        <v>503238</v>
      </c>
      <c r="C32">
        <v>79539</v>
      </c>
      <c r="D32">
        <v>75948</v>
      </c>
      <c r="E32">
        <v>53828</v>
      </c>
      <c r="F32">
        <v>43844</v>
      </c>
      <c r="G32">
        <v>37512</v>
      </c>
    </row>
    <row r="33" spans="1:7" x14ac:dyDescent="0.3">
      <c r="A33">
        <v>2021</v>
      </c>
      <c r="B33">
        <v>636841</v>
      </c>
      <c r="C33">
        <v>105271</v>
      </c>
      <c r="D33">
        <v>100587</v>
      </c>
      <c r="E33">
        <v>71659</v>
      </c>
      <c r="F33">
        <v>59077</v>
      </c>
      <c r="G33">
        <v>50719</v>
      </c>
    </row>
    <row r="34" spans="1:7" x14ac:dyDescent="0.3">
      <c r="A34">
        <v>2022</v>
      </c>
      <c r="B34">
        <v>728254</v>
      </c>
      <c r="C34">
        <v>122606</v>
      </c>
      <c r="D34">
        <v>117198</v>
      </c>
      <c r="E34">
        <v>82143</v>
      </c>
      <c r="F34">
        <v>67520</v>
      </c>
      <c r="G34">
        <v>58129</v>
      </c>
    </row>
    <row r="35" spans="1:7" x14ac:dyDescent="0.3">
      <c r="A35">
        <v>2023</v>
      </c>
      <c r="B35">
        <v>653607</v>
      </c>
      <c r="C35">
        <v>109684</v>
      </c>
      <c r="D35">
        <v>104768</v>
      </c>
      <c r="E35">
        <v>73990</v>
      </c>
      <c r="F35">
        <v>61231</v>
      </c>
      <c r="G35">
        <v>52855</v>
      </c>
    </row>
    <row r="36" spans="1:7" x14ac:dyDescent="0.3">
      <c r="A36">
        <v>2024</v>
      </c>
      <c r="B36">
        <v>656318</v>
      </c>
      <c r="C36">
        <v>115246</v>
      </c>
      <c r="D36">
        <v>110178</v>
      </c>
      <c r="E36">
        <v>77575</v>
      </c>
      <c r="F36">
        <v>64477</v>
      </c>
      <c r="G36">
        <v>55671</v>
      </c>
    </row>
    <row r="37" spans="1:7" x14ac:dyDescent="0.3">
      <c r="A37">
        <v>2025</v>
      </c>
      <c r="B37">
        <v>513363</v>
      </c>
      <c r="C37">
        <v>99906</v>
      </c>
      <c r="D37">
        <v>95888</v>
      </c>
      <c r="E37">
        <v>68351</v>
      </c>
      <c r="F37">
        <v>56957</v>
      </c>
      <c r="G37">
        <v>49478</v>
      </c>
    </row>
    <row r="38" spans="1:7" x14ac:dyDescent="0.3">
      <c r="A38" t="s">
        <v>7</v>
      </c>
      <c r="B38">
        <f t="shared" ref="B38:G38" si="0">SUM(B2:B37)</f>
        <v>6031459</v>
      </c>
      <c r="C38">
        <f t="shared" si="0"/>
        <v>974002</v>
      </c>
      <c r="D38">
        <f t="shared" si="0"/>
        <v>930437</v>
      </c>
      <c r="E38">
        <f t="shared" si="0"/>
        <v>655900</v>
      </c>
      <c r="F38">
        <f t="shared" si="0"/>
        <v>535773</v>
      </c>
      <c r="G38">
        <f t="shared" si="0"/>
        <v>458953</v>
      </c>
    </row>
    <row r="39" spans="1:7" x14ac:dyDescent="0.3">
      <c r="A39" t="s">
        <v>8</v>
      </c>
      <c r="B39">
        <f>MAX(B2:B37)</f>
        <v>728254</v>
      </c>
      <c r="C39">
        <f t="shared" ref="C39:G39" si="1">MAX(C2:C37)</f>
        <v>122606</v>
      </c>
      <c r="D39">
        <f t="shared" si="1"/>
        <v>117198</v>
      </c>
      <c r="E39">
        <f t="shared" si="1"/>
        <v>82143</v>
      </c>
      <c r="F39">
        <f t="shared" si="1"/>
        <v>67520</v>
      </c>
      <c r="G39">
        <f t="shared" si="1"/>
        <v>58129</v>
      </c>
    </row>
    <row r="40" spans="1:7" x14ac:dyDescent="0.3">
      <c r="A40" t="s">
        <v>9</v>
      </c>
      <c r="B40">
        <f>MIN(B2:B37)</f>
        <v>2340</v>
      </c>
      <c r="C40">
        <f t="shared" ref="C40:G40" si="2">MIN(C2:C37)</f>
        <v>90</v>
      </c>
      <c r="D40">
        <f t="shared" si="2"/>
        <v>86</v>
      </c>
      <c r="E40">
        <f t="shared" si="2"/>
        <v>66</v>
      </c>
      <c r="F40">
        <f t="shared" si="2"/>
        <v>54</v>
      </c>
      <c r="G40">
        <f t="shared" si="2"/>
        <v>47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E313-5E82-BA43-B20B-BFA15FFCC0BB}">
  <dimension ref="A1:G40"/>
  <sheetViews>
    <sheetView workbookViewId="0">
      <selection activeCell="K25" sqref="K25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1995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2006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2009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2011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2012</v>
      </c>
      <c r="B24">
        <v>49</v>
      </c>
      <c r="C24">
        <v>29</v>
      </c>
      <c r="D24">
        <v>27</v>
      </c>
      <c r="E24">
        <v>22</v>
      </c>
      <c r="F24">
        <v>19</v>
      </c>
      <c r="G24">
        <v>19</v>
      </c>
    </row>
    <row r="25" spans="1:7" x14ac:dyDescent="0.3">
      <c r="A25">
        <v>2013</v>
      </c>
      <c r="B25">
        <v>595</v>
      </c>
      <c r="C25">
        <v>294</v>
      </c>
      <c r="D25">
        <v>288</v>
      </c>
      <c r="E25">
        <v>231</v>
      </c>
      <c r="F25">
        <v>204</v>
      </c>
      <c r="G25">
        <v>176</v>
      </c>
    </row>
    <row r="26" spans="1:7" x14ac:dyDescent="0.3">
      <c r="A26">
        <v>2014</v>
      </c>
      <c r="B26">
        <v>1464</v>
      </c>
      <c r="C26">
        <v>674</v>
      </c>
      <c r="D26">
        <v>652</v>
      </c>
      <c r="E26">
        <v>522</v>
      </c>
      <c r="F26">
        <v>451</v>
      </c>
      <c r="G26">
        <v>399</v>
      </c>
    </row>
    <row r="27" spans="1:7" x14ac:dyDescent="0.3">
      <c r="A27">
        <v>2015</v>
      </c>
      <c r="B27">
        <v>2388</v>
      </c>
      <c r="C27">
        <v>1199</v>
      </c>
      <c r="D27">
        <v>1148</v>
      </c>
      <c r="E27">
        <v>941</v>
      </c>
      <c r="F27">
        <v>790</v>
      </c>
      <c r="G27">
        <v>690</v>
      </c>
    </row>
    <row r="28" spans="1:7" x14ac:dyDescent="0.3">
      <c r="A28">
        <v>2016</v>
      </c>
      <c r="B28">
        <v>3060</v>
      </c>
      <c r="C28">
        <v>1566</v>
      </c>
      <c r="D28">
        <v>1503</v>
      </c>
      <c r="E28">
        <v>1220</v>
      </c>
      <c r="F28">
        <v>1043</v>
      </c>
      <c r="G28">
        <v>914</v>
      </c>
    </row>
    <row r="29" spans="1:7" x14ac:dyDescent="0.3">
      <c r="A29">
        <v>2017</v>
      </c>
      <c r="B29">
        <v>3546</v>
      </c>
      <c r="C29">
        <v>1743</v>
      </c>
      <c r="D29">
        <v>1681</v>
      </c>
      <c r="E29">
        <v>1359</v>
      </c>
      <c r="F29">
        <v>1152</v>
      </c>
      <c r="G29">
        <v>1013</v>
      </c>
    </row>
    <row r="30" spans="1:7" x14ac:dyDescent="0.3">
      <c r="A30">
        <v>2018</v>
      </c>
      <c r="B30">
        <v>3964</v>
      </c>
      <c r="C30">
        <v>1939</v>
      </c>
      <c r="D30">
        <v>1850</v>
      </c>
      <c r="E30">
        <v>1434</v>
      </c>
      <c r="F30">
        <v>1208</v>
      </c>
      <c r="G30">
        <v>1041</v>
      </c>
    </row>
    <row r="31" spans="1:7" x14ac:dyDescent="0.3">
      <c r="A31">
        <v>2019</v>
      </c>
      <c r="B31">
        <v>5016</v>
      </c>
      <c r="C31">
        <v>2380</v>
      </c>
      <c r="D31">
        <v>2281</v>
      </c>
      <c r="E31">
        <v>1859</v>
      </c>
      <c r="F31">
        <v>1560</v>
      </c>
      <c r="G31">
        <v>1358</v>
      </c>
    </row>
    <row r="32" spans="1:7" x14ac:dyDescent="0.3">
      <c r="A32">
        <v>2020</v>
      </c>
      <c r="B32">
        <v>6422</v>
      </c>
      <c r="C32">
        <v>3033</v>
      </c>
      <c r="D32">
        <v>2908</v>
      </c>
      <c r="E32">
        <v>2311</v>
      </c>
      <c r="F32">
        <v>1937</v>
      </c>
      <c r="G32">
        <v>1690</v>
      </c>
    </row>
    <row r="33" spans="1:7" x14ac:dyDescent="0.3">
      <c r="A33">
        <v>2021</v>
      </c>
      <c r="B33">
        <v>7916</v>
      </c>
      <c r="C33">
        <v>3682</v>
      </c>
      <c r="D33">
        <v>3529</v>
      </c>
      <c r="E33">
        <v>2845</v>
      </c>
      <c r="F33">
        <v>2437</v>
      </c>
      <c r="G33">
        <v>2115</v>
      </c>
    </row>
    <row r="34" spans="1:7" x14ac:dyDescent="0.3">
      <c r="A34">
        <v>2022</v>
      </c>
      <c r="B34">
        <v>6510</v>
      </c>
      <c r="C34">
        <v>3109</v>
      </c>
      <c r="D34">
        <v>2975</v>
      </c>
      <c r="E34">
        <v>2403</v>
      </c>
      <c r="F34">
        <v>2045</v>
      </c>
      <c r="G34">
        <v>1789</v>
      </c>
    </row>
    <row r="35" spans="1:7" x14ac:dyDescent="0.3">
      <c r="A35">
        <v>2023</v>
      </c>
      <c r="B35">
        <v>5550</v>
      </c>
      <c r="C35">
        <v>2668</v>
      </c>
      <c r="D35">
        <v>2559</v>
      </c>
      <c r="E35">
        <v>2007</v>
      </c>
      <c r="F35">
        <v>1731</v>
      </c>
      <c r="G35">
        <v>1496</v>
      </c>
    </row>
    <row r="36" spans="1:7" x14ac:dyDescent="0.3">
      <c r="A36">
        <v>2024</v>
      </c>
      <c r="B36">
        <v>6845</v>
      </c>
      <c r="C36">
        <v>3357</v>
      </c>
      <c r="D36">
        <v>3202</v>
      </c>
      <c r="E36">
        <v>2447</v>
      </c>
      <c r="F36">
        <v>2117</v>
      </c>
      <c r="G36">
        <v>1868</v>
      </c>
    </row>
    <row r="37" spans="1:7" x14ac:dyDescent="0.3">
      <c r="A37">
        <v>2025</v>
      </c>
      <c r="B37">
        <v>5852</v>
      </c>
      <c r="C37">
        <v>2950</v>
      </c>
      <c r="D37">
        <v>2809</v>
      </c>
      <c r="E37">
        <v>2195</v>
      </c>
      <c r="F37">
        <v>1905</v>
      </c>
      <c r="G37">
        <v>1650</v>
      </c>
    </row>
    <row r="38" spans="1:7" x14ac:dyDescent="0.3">
      <c r="A38" t="s">
        <v>7</v>
      </c>
      <c r="B38">
        <f t="shared" ref="B38:G38" si="0">SUM(B2:B37)</f>
        <v>59179</v>
      </c>
      <c r="C38">
        <f t="shared" si="0"/>
        <v>28623</v>
      </c>
      <c r="D38">
        <f t="shared" si="0"/>
        <v>27412</v>
      </c>
      <c r="E38">
        <f t="shared" si="0"/>
        <v>21796</v>
      </c>
      <c r="F38">
        <f t="shared" si="0"/>
        <v>18599</v>
      </c>
      <c r="G38">
        <f t="shared" si="0"/>
        <v>16218</v>
      </c>
    </row>
    <row r="39" spans="1:7" x14ac:dyDescent="0.3">
      <c r="A39" t="s">
        <v>8</v>
      </c>
      <c r="B39">
        <f>MAX(B2:B37)</f>
        <v>7916</v>
      </c>
      <c r="C39">
        <f t="shared" ref="C39:G39" si="1">MAX(C2:C37)</f>
        <v>3682</v>
      </c>
      <c r="D39">
        <f t="shared" si="1"/>
        <v>3529</v>
      </c>
      <c r="E39">
        <f t="shared" si="1"/>
        <v>2845</v>
      </c>
      <c r="F39">
        <f t="shared" si="1"/>
        <v>2437</v>
      </c>
      <c r="G39">
        <f t="shared" si="1"/>
        <v>2115</v>
      </c>
    </row>
    <row r="40" spans="1:7" x14ac:dyDescent="0.3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C2FB-653D-C342-B90F-068FA1877131}">
  <dimension ref="A1:G40"/>
  <sheetViews>
    <sheetView topLeftCell="A19" workbookViewId="0">
      <selection activeCell="E45" sqref="E45"/>
    </sheetView>
  </sheetViews>
  <sheetFormatPr defaultColWidth="11.44140625" defaultRowHeight="17.2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1992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1994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1995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1997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1998</v>
      </c>
      <c r="B10">
        <v>2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1999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2000</v>
      </c>
      <c r="B12">
        <v>3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2001</v>
      </c>
      <c r="B13">
        <v>11</v>
      </c>
      <c r="C13">
        <v>2</v>
      </c>
      <c r="D13">
        <v>2</v>
      </c>
      <c r="E13">
        <v>1</v>
      </c>
      <c r="F13">
        <v>1</v>
      </c>
      <c r="G13">
        <v>1</v>
      </c>
    </row>
    <row r="14" spans="1:7" x14ac:dyDescent="0.3">
      <c r="A14">
        <v>2002</v>
      </c>
      <c r="B14">
        <v>17</v>
      </c>
      <c r="C14">
        <v>6</v>
      </c>
      <c r="D14">
        <v>6</v>
      </c>
      <c r="E14">
        <v>5</v>
      </c>
      <c r="F14">
        <v>5</v>
      </c>
      <c r="G14">
        <v>5</v>
      </c>
    </row>
    <row r="15" spans="1:7" x14ac:dyDescent="0.3">
      <c r="A15">
        <v>2003</v>
      </c>
      <c r="B15">
        <v>15</v>
      </c>
      <c r="C15">
        <v>1</v>
      </c>
      <c r="D15">
        <v>1</v>
      </c>
      <c r="E15">
        <v>1</v>
      </c>
      <c r="F15">
        <v>1</v>
      </c>
      <c r="G15">
        <v>1</v>
      </c>
    </row>
    <row r="16" spans="1:7" x14ac:dyDescent="0.3">
      <c r="A16">
        <v>2004</v>
      </c>
      <c r="B16">
        <v>30</v>
      </c>
      <c r="C16">
        <v>3</v>
      </c>
      <c r="D16">
        <v>2</v>
      </c>
      <c r="E16">
        <v>1</v>
      </c>
      <c r="F16">
        <v>1</v>
      </c>
      <c r="G16">
        <v>1</v>
      </c>
    </row>
    <row r="17" spans="1:7" x14ac:dyDescent="0.3">
      <c r="A17">
        <v>2005</v>
      </c>
      <c r="B17">
        <v>48</v>
      </c>
      <c r="C17">
        <v>6</v>
      </c>
      <c r="D17">
        <v>4</v>
      </c>
      <c r="E17">
        <v>3</v>
      </c>
      <c r="F17">
        <v>3</v>
      </c>
      <c r="G17">
        <v>3</v>
      </c>
    </row>
    <row r="18" spans="1:7" x14ac:dyDescent="0.3">
      <c r="A18">
        <v>2006</v>
      </c>
      <c r="B18">
        <v>86</v>
      </c>
      <c r="C18">
        <v>11</v>
      </c>
      <c r="D18">
        <v>10</v>
      </c>
      <c r="E18">
        <v>8</v>
      </c>
      <c r="F18">
        <v>7</v>
      </c>
      <c r="G18">
        <v>7</v>
      </c>
    </row>
    <row r="19" spans="1:7" x14ac:dyDescent="0.3">
      <c r="A19">
        <v>2007</v>
      </c>
      <c r="B19">
        <v>95</v>
      </c>
      <c r="C19">
        <v>13</v>
      </c>
      <c r="D19">
        <v>11</v>
      </c>
      <c r="E19">
        <v>7</v>
      </c>
      <c r="F19">
        <v>7</v>
      </c>
      <c r="G19">
        <v>6</v>
      </c>
    </row>
    <row r="20" spans="1:7" x14ac:dyDescent="0.3">
      <c r="A20">
        <v>2008</v>
      </c>
      <c r="B20">
        <v>160</v>
      </c>
      <c r="C20">
        <v>21</v>
      </c>
      <c r="D20">
        <v>18</v>
      </c>
      <c r="E20">
        <v>13</v>
      </c>
      <c r="F20">
        <v>12</v>
      </c>
      <c r="G20">
        <v>10</v>
      </c>
    </row>
    <row r="21" spans="1:7" x14ac:dyDescent="0.3">
      <c r="A21">
        <v>2009</v>
      </c>
      <c r="B21">
        <v>222</v>
      </c>
      <c r="C21">
        <v>34</v>
      </c>
      <c r="D21">
        <v>30</v>
      </c>
      <c r="E21">
        <v>25</v>
      </c>
      <c r="F21">
        <v>21</v>
      </c>
      <c r="G21">
        <v>20</v>
      </c>
    </row>
    <row r="22" spans="1:7" x14ac:dyDescent="0.3">
      <c r="A22">
        <v>2010</v>
      </c>
      <c r="B22">
        <v>354</v>
      </c>
      <c r="C22">
        <v>57</v>
      </c>
      <c r="D22">
        <v>50</v>
      </c>
      <c r="E22">
        <v>39</v>
      </c>
      <c r="F22">
        <v>35</v>
      </c>
      <c r="G22">
        <v>31</v>
      </c>
    </row>
    <row r="23" spans="1:7" x14ac:dyDescent="0.3">
      <c r="A23">
        <v>2011</v>
      </c>
      <c r="B23">
        <v>515</v>
      </c>
      <c r="C23">
        <v>65</v>
      </c>
      <c r="D23">
        <v>57</v>
      </c>
      <c r="E23">
        <v>45</v>
      </c>
      <c r="F23">
        <v>39</v>
      </c>
      <c r="G23">
        <v>33</v>
      </c>
    </row>
    <row r="24" spans="1:7" x14ac:dyDescent="0.3">
      <c r="A24">
        <v>2012</v>
      </c>
      <c r="B24">
        <v>744</v>
      </c>
      <c r="C24">
        <v>118</v>
      </c>
      <c r="D24">
        <v>99</v>
      </c>
      <c r="E24">
        <v>83</v>
      </c>
      <c r="F24">
        <v>71</v>
      </c>
      <c r="G24">
        <v>62</v>
      </c>
    </row>
    <row r="25" spans="1:7" x14ac:dyDescent="0.3">
      <c r="A25">
        <v>2013</v>
      </c>
      <c r="B25">
        <v>1178</v>
      </c>
      <c r="C25">
        <v>206</v>
      </c>
      <c r="D25">
        <v>187</v>
      </c>
      <c r="E25">
        <v>143</v>
      </c>
      <c r="F25">
        <v>131</v>
      </c>
      <c r="G25">
        <v>117</v>
      </c>
    </row>
    <row r="26" spans="1:7" x14ac:dyDescent="0.3">
      <c r="A26">
        <v>2014</v>
      </c>
      <c r="B26">
        <v>1666</v>
      </c>
      <c r="C26">
        <v>316</v>
      </c>
      <c r="D26">
        <v>283</v>
      </c>
      <c r="E26">
        <v>238</v>
      </c>
      <c r="F26">
        <v>201</v>
      </c>
      <c r="G26">
        <v>186</v>
      </c>
    </row>
    <row r="27" spans="1:7" x14ac:dyDescent="0.3">
      <c r="A27">
        <v>2015</v>
      </c>
      <c r="B27">
        <v>2147</v>
      </c>
      <c r="C27">
        <v>456</v>
      </c>
      <c r="D27">
        <v>413</v>
      </c>
      <c r="E27">
        <v>355</v>
      </c>
      <c r="F27">
        <v>311</v>
      </c>
      <c r="G27">
        <v>282</v>
      </c>
    </row>
    <row r="28" spans="1:7" x14ac:dyDescent="0.3">
      <c r="A28">
        <v>2016</v>
      </c>
      <c r="B28">
        <v>2652</v>
      </c>
      <c r="C28">
        <v>577</v>
      </c>
      <c r="D28">
        <v>513</v>
      </c>
      <c r="E28">
        <v>449</v>
      </c>
      <c r="F28">
        <v>399</v>
      </c>
      <c r="G28">
        <v>361</v>
      </c>
    </row>
    <row r="29" spans="1:7" x14ac:dyDescent="0.3">
      <c r="A29">
        <v>2017</v>
      </c>
      <c r="B29">
        <v>3157</v>
      </c>
      <c r="C29">
        <v>682</v>
      </c>
      <c r="D29">
        <v>622</v>
      </c>
      <c r="E29">
        <v>510</v>
      </c>
      <c r="F29">
        <v>440</v>
      </c>
      <c r="G29">
        <v>392</v>
      </c>
    </row>
    <row r="30" spans="1:7" x14ac:dyDescent="0.3">
      <c r="A30">
        <v>2018</v>
      </c>
      <c r="B30">
        <v>3460</v>
      </c>
      <c r="C30">
        <v>771</v>
      </c>
      <c r="D30">
        <v>690</v>
      </c>
      <c r="E30">
        <v>565</v>
      </c>
      <c r="F30">
        <v>485</v>
      </c>
      <c r="G30">
        <v>436</v>
      </c>
    </row>
    <row r="31" spans="1:7" x14ac:dyDescent="0.3">
      <c r="A31">
        <v>2019</v>
      </c>
      <c r="B31">
        <v>5341</v>
      </c>
      <c r="C31">
        <v>1300</v>
      </c>
      <c r="D31">
        <v>1181</v>
      </c>
      <c r="E31">
        <v>974</v>
      </c>
      <c r="F31">
        <v>862</v>
      </c>
      <c r="G31">
        <v>784</v>
      </c>
    </row>
    <row r="32" spans="1:7" x14ac:dyDescent="0.3">
      <c r="A32">
        <v>2020</v>
      </c>
      <c r="B32">
        <v>7293</v>
      </c>
      <c r="C32">
        <v>1710</v>
      </c>
      <c r="D32">
        <v>1586</v>
      </c>
      <c r="E32">
        <v>1327</v>
      </c>
      <c r="F32">
        <v>1156</v>
      </c>
      <c r="G32">
        <v>1056</v>
      </c>
    </row>
    <row r="33" spans="1:7" x14ac:dyDescent="0.3">
      <c r="A33">
        <v>2021</v>
      </c>
      <c r="B33">
        <v>10296</v>
      </c>
      <c r="C33">
        <v>2433</v>
      </c>
      <c r="D33">
        <v>2248</v>
      </c>
      <c r="E33">
        <v>1872</v>
      </c>
      <c r="F33">
        <v>1603</v>
      </c>
      <c r="G33">
        <v>1453</v>
      </c>
    </row>
    <row r="34" spans="1:7" x14ac:dyDescent="0.3">
      <c r="A34">
        <v>2022</v>
      </c>
      <c r="B34">
        <v>13058</v>
      </c>
      <c r="C34">
        <v>3171</v>
      </c>
      <c r="D34">
        <v>2934</v>
      </c>
      <c r="E34">
        <v>2442</v>
      </c>
      <c r="F34">
        <v>2109</v>
      </c>
      <c r="G34">
        <v>1935</v>
      </c>
    </row>
    <row r="35" spans="1:7" x14ac:dyDescent="0.3">
      <c r="A35">
        <v>2023</v>
      </c>
      <c r="B35">
        <v>11272</v>
      </c>
      <c r="C35">
        <v>2863</v>
      </c>
      <c r="D35">
        <v>2658</v>
      </c>
      <c r="E35">
        <v>2208</v>
      </c>
      <c r="F35">
        <v>1881</v>
      </c>
      <c r="G35">
        <v>1737</v>
      </c>
    </row>
    <row r="36" spans="1:7" x14ac:dyDescent="0.3">
      <c r="A36">
        <v>2024</v>
      </c>
      <c r="B36">
        <v>12580</v>
      </c>
      <c r="C36">
        <v>3332</v>
      </c>
      <c r="D36">
        <v>3125</v>
      </c>
      <c r="E36">
        <v>2627</v>
      </c>
      <c r="F36">
        <v>2203</v>
      </c>
      <c r="G36">
        <v>2019</v>
      </c>
    </row>
    <row r="37" spans="1:7" x14ac:dyDescent="0.3">
      <c r="A37">
        <v>2025</v>
      </c>
      <c r="B37">
        <v>10242</v>
      </c>
      <c r="C37">
        <v>2661</v>
      </c>
      <c r="D37">
        <v>2463</v>
      </c>
      <c r="E37">
        <v>2042</v>
      </c>
      <c r="F37">
        <v>1701</v>
      </c>
      <c r="G37">
        <v>1549</v>
      </c>
    </row>
    <row r="38" spans="1:7" x14ac:dyDescent="0.3">
      <c r="A38" t="s">
        <v>7</v>
      </c>
      <c r="B38">
        <f>SUM(B2:B37)</f>
        <v>86648</v>
      </c>
      <c r="C38">
        <f t="shared" ref="C38:G38" si="0">SUM(C2:C37)</f>
        <v>20815</v>
      </c>
      <c r="D38">
        <f t="shared" si="0"/>
        <v>19193</v>
      </c>
      <c r="E38">
        <f t="shared" si="0"/>
        <v>15983</v>
      </c>
      <c r="F38">
        <f t="shared" si="0"/>
        <v>13685</v>
      </c>
      <c r="G38">
        <f t="shared" si="0"/>
        <v>12487</v>
      </c>
    </row>
    <row r="39" spans="1:7" x14ac:dyDescent="0.3">
      <c r="A39" t="s">
        <v>8</v>
      </c>
      <c r="B39">
        <f>MAX(B2:B37)</f>
        <v>13058</v>
      </c>
      <c r="C39">
        <f t="shared" ref="C39:G39" si="1">MAX(C2:C37)</f>
        <v>3332</v>
      </c>
      <c r="D39">
        <f t="shared" si="1"/>
        <v>3125</v>
      </c>
      <c r="E39">
        <f t="shared" si="1"/>
        <v>2627</v>
      </c>
      <c r="F39">
        <f t="shared" si="1"/>
        <v>2203</v>
      </c>
      <c r="G39">
        <f t="shared" si="1"/>
        <v>2019</v>
      </c>
    </row>
    <row r="40" spans="1:7" x14ac:dyDescent="0.3">
      <c r="A40" t="s">
        <v>9</v>
      </c>
      <c r="B40">
        <f>MIN(B2:B37)</f>
        <v>0</v>
      </c>
      <c r="C40">
        <f t="shared" ref="C40:G40" si="2">MIN(C2:C37)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RCT</vt:lpstr>
      <vt:lpstr>CT</vt:lpstr>
      <vt:lpstr>META</vt:lpstr>
      <vt:lpstr>REVIEW</vt:lpstr>
      <vt:lpstr>CCJ</vt:lpstr>
      <vt:lpstr>ALL</vt:lpstr>
      <vt:lpstr>OBS</vt:lpstr>
      <vt:lpstr>SYSREV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진혁 최</dc:creator>
  <cp:lastModifiedBy>JinHyeok Choi</cp:lastModifiedBy>
  <dcterms:created xsi:type="dcterms:W3CDTF">2025-09-20T09:37:29Z</dcterms:created>
  <dcterms:modified xsi:type="dcterms:W3CDTF">2025-12-10T15:11:57Z</dcterms:modified>
</cp:coreProperties>
</file>