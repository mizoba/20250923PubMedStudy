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3\"/>
    </mc:Choice>
  </mc:AlternateContent>
  <xr:revisionPtr revIDLastSave="0" documentId="13_ncr:1_{20EB5CCC-29E0-48EE-AFF8-BC74137354C9}" xr6:coauthVersionLast="47" xr6:coauthVersionMax="47" xr10:uidLastSave="{00000000-0000-0000-0000-000000000000}"/>
  <bookViews>
    <workbookView xWindow="14295" yWindow="0" windowWidth="14610" windowHeight="15585" firstSheet="7" activeTab="8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7" r:id="rId7"/>
    <sheet name="SYSREV" sheetId="8" r:id="rId8"/>
    <sheet name="Sheet2" sheetId="10" r:id="rId9"/>
    <sheet name="Sheet1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8" l="1"/>
  <c r="J37" i="8"/>
  <c r="I37" i="8"/>
  <c r="K37" i="7"/>
  <c r="J37" i="7"/>
  <c r="I37" i="7"/>
  <c r="K37" i="5"/>
  <c r="J37" i="5"/>
  <c r="I37" i="5"/>
  <c r="K36" i="5"/>
  <c r="J36" i="5"/>
  <c r="I36" i="5"/>
  <c r="K35" i="5"/>
  <c r="J35" i="5"/>
  <c r="I35" i="5"/>
  <c r="K34" i="5"/>
  <c r="J34" i="5"/>
  <c r="I34" i="5"/>
  <c r="K33" i="5"/>
  <c r="J33" i="5"/>
  <c r="I33" i="5"/>
  <c r="K32" i="5"/>
  <c r="J32" i="5"/>
  <c r="I32" i="5"/>
  <c r="K31" i="5"/>
  <c r="J31" i="5"/>
  <c r="I31" i="5"/>
  <c r="K30" i="5"/>
  <c r="J30" i="5"/>
  <c r="I30" i="5"/>
  <c r="K29" i="5"/>
  <c r="J29" i="5"/>
  <c r="I29" i="5"/>
  <c r="K28" i="5"/>
  <c r="J28" i="5"/>
  <c r="I28" i="5"/>
  <c r="K27" i="5"/>
  <c r="J27" i="5"/>
  <c r="I27" i="5"/>
  <c r="K26" i="5"/>
  <c r="J26" i="5"/>
  <c r="I26" i="5"/>
  <c r="K25" i="5"/>
  <c r="J25" i="5"/>
  <c r="I25" i="5"/>
  <c r="K24" i="5"/>
  <c r="J24" i="5"/>
  <c r="I24" i="5"/>
  <c r="K23" i="5"/>
  <c r="J23" i="5"/>
  <c r="I23" i="5"/>
  <c r="K22" i="5"/>
  <c r="J22" i="5"/>
  <c r="I22" i="5"/>
  <c r="K21" i="5"/>
  <c r="J21" i="5"/>
  <c r="I21" i="5"/>
  <c r="K20" i="5"/>
  <c r="J20" i="5"/>
  <c r="I20" i="5"/>
  <c r="K19" i="5"/>
  <c r="J19" i="5"/>
  <c r="I19" i="5"/>
  <c r="K18" i="5"/>
  <c r="J18" i="5"/>
  <c r="I18" i="5"/>
  <c r="K17" i="5"/>
  <c r="J17" i="5"/>
  <c r="I17" i="5"/>
  <c r="K16" i="5"/>
  <c r="J16" i="5"/>
  <c r="I16" i="5"/>
  <c r="K15" i="5"/>
  <c r="J15" i="5"/>
  <c r="I15" i="5"/>
  <c r="K14" i="5"/>
  <c r="J14" i="5"/>
  <c r="I14" i="5"/>
  <c r="K13" i="5"/>
  <c r="J13" i="5"/>
  <c r="I13" i="5"/>
  <c r="K12" i="5"/>
  <c r="J12" i="5"/>
  <c r="I12" i="5"/>
  <c r="K11" i="5"/>
  <c r="J11" i="5"/>
  <c r="I11" i="5"/>
  <c r="K10" i="5"/>
  <c r="J10" i="5"/>
  <c r="I10" i="5"/>
  <c r="K9" i="5"/>
  <c r="J9" i="5"/>
  <c r="I9" i="5"/>
  <c r="K8" i="5"/>
  <c r="J8" i="5"/>
  <c r="I8" i="5"/>
  <c r="K7" i="5"/>
  <c r="J7" i="5"/>
  <c r="I7" i="5"/>
  <c r="K6" i="5"/>
  <c r="J6" i="5"/>
  <c r="I6" i="5"/>
  <c r="K5" i="5"/>
  <c r="J5" i="5"/>
  <c r="I5" i="5"/>
  <c r="K4" i="5"/>
  <c r="J4" i="5"/>
  <c r="I4" i="5"/>
  <c r="K3" i="5"/>
  <c r="J3" i="5"/>
  <c r="I3" i="5"/>
  <c r="K2" i="5"/>
  <c r="J2" i="5"/>
  <c r="I2" i="5"/>
  <c r="K37" i="4"/>
  <c r="J37" i="4"/>
  <c r="I37" i="4"/>
  <c r="K36" i="4"/>
  <c r="J36" i="4"/>
  <c r="I36" i="4"/>
  <c r="K35" i="4"/>
  <c r="J35" i="4"/>
  <c r="I35" i="4"/>
  <c r="K34" i="4"/>
  <c r="J34" i="4"/>
  <c r="I34" i="4"/>
  <c r="K33" i="4"/>
  <c r="J33" i="4"/>
  <c r="I33" i="4"/>
  <c r="K32" i="4"/>
  <c r="J32" i="4"/>
  <c r="I32" i="4"/>
  <c r="K31" i="4"/>
  <c r="J31" i="4"/>
  <c r="I31" i="4"/>
  <c r="K30" i="4"/>
  <c r="J30" i="4"/>
  <c r="I30" i="4"/>
  <c r="K29" i="4"/>
  <c r="J29" i="4"/>
  <c r="I29" i="4"/>
  <c r="K28" i="4"/>
  <c r="J28" i="4"/>
  <c r="I28" i="4"/>
  <c r="K27" i="4"/>
  <c r="J27" i="4"/>
  <c r="I27" i="4"/>
  <c r="K26" i="4"/>
  <c r="J26" i="4"/>
  <c r="I26" i="4"/>
  <c r="K25" i="4"/>
  <c r="J25" i="4"/>
  <c r="I25" i="4"/>
  <c r="K24" i="4"/>
  <c r="J24" i="4"/>
  <c r="I24" i="4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K18" i="4"/>
  <c r="J18" i="4"/>
  <c r="I18" i="4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K9" i="4"/>
  <c r="J9" i="4"/>
  <c r="I9" i="4"/>
  <c r="K8" i="4"/>
  <c r="J8" i="4"/>
  <c r="I8" i="4"/>
  <c r="K7" i="4"/>
  <c r="J7" i="4"/>
  <c r="I7" i="4"/>
  <c r="K6" i="4"/>
  <c r="J6" i="4"/>
  <c r="I6" i="4"/>
  <c r="K5" i="4"/>
  <c r="J5" i="4"/>
  <c r="I5" i="4"/>
  <c r="K4" i="4"/>
  <c r="J4" i="4"/>
  <c r="I4" i="4"/>
  <c r="K3" i="4"/>
  <c r="J3" i="4"/>
  <c r="I3" i="4"/>
  <c r="K2" i="4"/>
  <c r="J2" i="4"/>
  <c r="I2" i="4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2" i="2"/>
  <c r="J2" i="2"/>
  <c r="I2" i="2"/>
  <c r="I2" i="1"/>
  <c r="J2" i="1"/>
  <c r="K36" i="6"/>
  <c r="J36" i="6"/>
  <c r="I36" i="6"/>
  <c r="K37" i="6"/>
  <c r="J37" i="6"/>
  <c r="I37" i="6"/>
  <c r="K2" i="6"/>
  <c r="J2" i="6"/>
  <c r="I2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K2" i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2" i="7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A5" i="10"/>
  <c r="A7" i="10" s="1"/>
  <c r="A9" i="10" s="1"/>
  <c r="A11" i="10" s="1"/>
  <c r="A13" i="10" s="1"/>
  <c r="A15" i="10" s="1"/>
  <c r="A17" i="10" s="1"/>
  <c r="A19" i="10" s="1"/>
  <c r="A21" i="10" s="1"/>
  <c r="A23" i="10" s="1"/>
  <c r="A25" i="10" s="1"/>
  <c r="A27" i="10" s="1"/>
  <c r="A29" i="10" s="1"/>
  <c r="A31" i="10" s="1"/>
  <c r="A33" i="10" s="1"/>
  <c r="A35" i="10" s="1"/>
  <c r="A4" i="10"/>
  <c r="A6" i="10" s="1"/>
  <c r="A8" i="10" s="1"/>
  <c r="A10" i="10" s="1"/>
  <c r="A12" i="10" s="1"/>
  <c r="A14" i="10" s="1"/>
  <c r="A16" i="10" s="1"/>
  <c r="A18" i="10" s="1"/>
  <c r="A20" i="10" s="1"/>
  <c r="A22" i="10" s="1"/>
  <c r="A24" i="10" s="1"/>
  <c r="A26" i="10" s="1"/>
  <c r="A28" i="10" s="1"/>
  <c r="A30" i="10" s="1"/>
  <c r="A32" i="10" s="1"/>
  <c r="A34" i="10" s="1"/>
  <c r="A36" i="10" s="1"/>
  <c r="G40" i="8" l="1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K45" i="9" s="1"/>
  <c r="B38" i="6"/>
  <c r="J45" i="9" s="1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K44" i="9" s="1"/>
  <c r="B38" i="5"/>
  <c r="J44" i="9" s="1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K43" i="9" s="1"/>
  <c r="B38" i="4"/>
  <c r="J43" i="9" s="1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K42" i="9" s="1"/>
  <c r="B38" i="3"/>
  <c r="J42" i="9" s="1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K41" i="9" s="1"/>
  <c r="B38" i="2"/>
  <c r="J41" i="9" s="1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K40" i="9" s="1"/>
  <c r="D38" i="1"/>
  <c r="E38" i="1"/>
  <c r="F38" i="1"/>
  <c r="G38" i="1"/>
  <c r="B38" i="1"/>
  <c r="J40" i="9" s="1"/>
  <c r="I44" i="9" l="1"/>
  <c r="I42" i="9"/>
  <c r="I43" i="9"/>
  <c r="I40" i="9"/>
  <c r="I41" i="9"/>
  <c r="I45" i="9"/>
</calcChain>
</file>

<file path=xl/sharedStrings.xml><?xml version="1.0" encoding="utf-8"?>
<sst xmlns="http://schemas.openxmlformats.org/spreadsheetml/2006/main" count="102" uniqueCount="28">
  <si>
    <t>Year</t>
    <phoneticPr fontId="1" type="noConversion"/>
  </si>
  <si>
    <t>Total article count</t>
    <phoneticPr fontId="1" type="noConversion"/>
  </si>
  <si>
    <t>HasPvalue</t>
    <phoneticPr fontId="1" type="noConversion"/>
  </si>
  <si>
    <t>Pvalue0.05</t>
    <phoneticPr fontId="1" type="noConversion"/>
  </si>
  <si>
    <t>Pvalue0.01</t>
    <phoneticPr fontId="1" type="noConversion"/>
  </si>
  <si>
    <t>Pvalue0.005</t>
    <phoneticPr fontId="1" type="noConversion"/>
  </si>
  <si>
    <t>Pvalue0.001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</si>
  <si>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</si>
  <si>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</si>
  <si>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</si>
  <si>
    <t>Article Category</t>
  </si>
  <si>
    <t>Abstracts, No</t>
  </si>
  <si>
    <t>Abstracts Reporting P Values, No. (range per year)</t>
  </si>
  <si>
    <t>Randomized controlled trial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</si>
  <si>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</si>
  <si>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</si>
  <si>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</si>
  <si>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</si>
  <si>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</si>
  <si>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Systematic review</t>
    <phoneticPr fontId="1" type="noConversion"/>
  </si>
  <si>
    <t>Observational study</t>
    <phoneticPr fontId="1" type="noConversion"/>
  </si>
  <si>
    <t>Year</t>
  </si>
  <si>
    <t>Randomized controlled trial</t>
  </si>
  <si>
    <t>Clinical trial</t>
  </si>
  <si>
    <t>Meta-analysis</t>
  </si>
  <si>
    <t>Review</t>
  </si>
  <si>
    <t>Core clinical journal</t>
  </si>
  <si>
    <t>All MEDLINE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</si>
</sst>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Sheet1!$J$2:$AS$2</c:f>
              <c:numCache>
                <c:formatCode>General</c:formatCode>
                <c:ptCount val="36"/>
                <c:pt idx="0">
                  <c:v>34.738041002277903</c:v>
                </c:pt>
                <c:pt idx="1">
                  <c:v>38.160469667318978</c:v>
                </c:pt>
                <c:pt idx="2">
                  <c:v>39.152993969990185</c:v>
                </c:pt>
                <c:pt idx="3">
                  <c:v>40.57054343616884</c:v>
                </c:pt>
                <c:pt idx="4">
                  <c:v>41.634938409854421</c:v>
                </c:pt>
                <c:pt idx="5">
                  <c:v>42.784032753326514</c:v>
                </c:pt>
                <c:pt idx="6">
                  <c:v>44.646758922068464</c:v>
                </c:pt>
                <c:pt idx="7">
                  <c:v>46.342950020316941</c:v>
                </c:pt>
                <c:pt idx="8">
                  <c:v>47.499023055881203</c:v>
                </c:pt>
                <c:pt idx="9">
                  <c:v>49.025145772594755</c:v>
                </c:pt>
                <c:pt idx="10">
                  <c:v>49.19505803070011</c:v>
                </c:pt>
                <c:pt idx="11">
                  <c:v>49.594127806563037</c:v>
                </c:pt>
                <c:pt idx="12">
                  <c:v>51.685585047367077</c:v>
                </c:pt>
                <c:pt idx="13">
                  <c:v>53.148575827559661</c:v>
                </c:pt>
                <c:pt idx="14">
                  <c:v>52.22064489961469</c:v>
                </c:pt>
                <c:pt idx="15">
                  <c:v>54.124913342156674</c:v>
                </c:pt>
                <c:pt idx="16">
                  <c:v>53.826680795949613</c:v>
                </c:pt>
                <c:pt idx="17">
                  <c:v>53.641036624544867</c:v>
                </c:pt>
                <c:pt idx="18">
                  <c:v>54.100749375520394</c:v>
                </c:pt>
                <c:pt idx="19">
                  <c:v>54.766125061546035</c:v>
                </c:pt>
                <c:pt idx="20">
                  <c:v>54.260109880212561</c:v>
                </c:pt>
                <c:pt idx="21">
                  <c:v>53.652292183374669</c:v>
                </c:pt>
                <c:pt idx="22">
                  <c:v>54.37698032569449</c:v>
                </c:pt>
                <c:pt idx="23">
                  <c:v>53.136267773317911</c:v>
                </c:pt>
                <c:pt idx="24">
                  <c:v>54.033834333086205</c:v>
                </c:pt>
                <c:pt idx="25">
                  <c:v>54.968532063276065</c:v>
                </c:pt>
                <c:pt idx="26">
                  <c:v>55.286709823481551</c:v>
                </c:pt>
                <c:pt idx="27">
                  <c:v>56.033010813887309</c:v>
                </c:pt>
                <c:pt idx="28">
                  <c:v>57.598470936551358</c:v>
                </c:pt>
                <c:pt idx="29">
                  <c:v>57.822821122560676</c:v>
                </c:pt>
                <c:pt idx="30">
                  <c:v>58.245687841817414</c:v>
                </c:pt>
                <c:pt idx="31">
                  <c:v>58.179174135073893</c:v>
                </c:pt>
                <c:pt idx="32">
                  <c:v>57.766429995453116</c:v>
                </c:pt>
                <c:pt idx="33">
                  <c:v>57.788825757575758</c:v>
                </c:pt>
                <c:pt idx="34">
                  <c:v>60.02203452074918</c:v>
                </c:pt>
                <c:pt idx="35">
                  <c:v>60.437062937062933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0-481F-840A-410DE07A5D53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Sheet1!$J$3:$AS$3</c:f>
              <c:numCache>
                <c:formatCode>General</c:formatCode>
                <c:ptCount val="36"/>
                <c:pt idx="0">
                  <c:v>18.85447394296952</c:v>
                </c:pt>
                <c:pt idx="1">
                  <c:v>21.201923076923077</c:v>
                </c:pt>
                <c:pt idx="2">
                  <c:v>21.296296296296298</c:v>
                </c:pt>
                <c:pt idx="3">
                  <c:v>23.885436368549041</c:v>
                </c:pt>
                <c:pt idx="4">
                  <c:v>25.772348173381886</c:v>
                </c:pt>
                <c:pt idx="5">
                  <c:v>25.026829791800814</c:v>
                </c:pt>
                <c:pt idx="6">
                  <c:v>26.002265005662512</c:v>
                </c:pt>
                <c:pt idx="7">
                  <c:v>25.540789601319236</c:v>
                </c:pt>
                <c:pt idx="8">
                  <c:v>26.499855086465075</c:v>
                </c:pt>
                <c:pt idx="9">
                  <c:v>28.003901746918508</c:v>
                </c:pt>
                <c:pt idx="10">
                  <c:v>30.049491082267256</c:v>
                </c:pt>
                <c:pt idx="11">
                  <c:v>29.873332586032959</c:v>
                </c:pt>
                <c:pt idx="12">
                  <c:v>31.131669535283997</c:v>
                </c:pt>
                <c:pt idx="13">
                  <c:v>32.538057509124904</c:v>
                </c:pt>
                <c:pt idx="14">
                  <c:v>31.752978361293462</c:v>
                </c:pt>
                <c:pt idx="15">
                  <c:v>31.887718285466875</c:v>
                </c:pt>
                <c:pt idx="16">
                  <c:v>33.979797979797979</c:v>
                </c:pt>
                <c:pt idx="17">
                  <c:v>35.649880911874789</c:v>
                </c:pt>
                <c:pt idx="18">
                  <c:v>36.371191135734072</c:v>
                </c:pt>
                <c:pt idx="19">
                  <c:v>35.910766613101423</c:v>
                </c:pt>
                <c:pt idx="20">
                  <c:v>37.151904628853501</c:v>
                </c:pt>
                <c:pt idx="21">
                  <c:v>38.07181505164781</c:v>
                </c:pt>
                <c:pt idx="22">
                  <c:v>38.040495438700582</c:v>
                </c:pt>
                <c:pt idx="23">
                  <c:v>39.309210526315788</c:v>
                </c:pt>
                <c:pt idx="24">
                  <c:v>39.599288311286458</c:v>
                </c:pt>
                <c:pt idx="25">
                  <c:v>41.097200486871849</c:v>
                </c:pt>
                <c:pt idx="26">
                  <c:v>41.119343211854229</c:v>
                </c:pt>
                <c:pt idx="27">
                  <c:v>40.518877873866273</c:v>
                </c:pt>
                <c:pt idx="28">
                  <c:v>40.033483310662341</c:v>
                </c:pt>
                <c:pt idx="29">
                  <c:v>39.037212658488819</c:v>
                </c:pt>
                <c:pt idx="30">
                  <c:v>36.85781813658415</c:v>
                </c:pt>
                <c:pt idx="31">
                  <c:v>35.861532477635159</c:v>
                </c:pt>
                <c:pt idx="32">
                  <c:v>36.234427092472366</c:v>
                </c:pt>
                <c:pt idx="33">
                  <c:v>35.578767853336174</c:v>
                </c:pt>
                <c:pt idx="34">
                  <c:v>31.739829924155366</c:v>
                </c:pt>
                <c:pt idx="35">
                  <c:v>31.144662921348313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0-481F-840A-410DE07A5D53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Sheet1!$J$4:$AS$4</c:f>
              <c:numCache>
                <c:formatCode>General</c:formatCode>
                <c:ptCount val="36"/>
                <c:pt idx="0">
                  <c:v>14.018691588785046</c:v>
                </c:pt>
                <c:pt idx="1">
                  <c:v>13.805970149253731</c:v>
                </c:pt>
                <c:pt idx="2">
                  <c:v>14.473684210526317</c:v>
                </c:pt>
                <c:pt idx="3">
                  <c:v>22.262773722627738</c:v>
                </c:pt>
                <c:pt idx="4">
                  <c:v>18.678160919540229</c:v>
                </c:pt>
                <c:pt idx="5">
                  <c:v>22.784810126582279</c:v>
                </c:pt>
                <c:pt idx="6">
                  <c:v>21.573033707865168</c:v>
                </c:pt>
                <c:pt idx="7">
                  <c:v>22.080291970802921</c:v>
                </c:pt>
                <c:pt idx="8">
                  <c:v>19.727891156462583</c:v>
                </c:pt>
                <c:pt idx="9">
                  <c:v>18.942731277533039</c:v>
                </c:pt>
                <c:pt idx="10">
                  <c:v>22.320302648171499</c:v>
                </c:pt>
                <c:pt idx="11">
                  <c:v>19.396051103368176</c:v>
                </c:pt>
                <c:pt idx="12">
                  <c:v>21.068249258160236</c:v>
                </c:pt>
                <c:pt idx="13">
                  <c:v>25.526742301458672</c:v>
                </c:pt>
                <c:pt idx="14">
                  <c:v>22.570123939986953</c:v>
                </c:pt>
                <c:pt idx="15">
                  <c:v>24.203821656050955</c:v>
                </c:pt>
                <c:pt idx="16">
                  <c:v>24.136513157894736</c:v>
                </c:pt>
                <c:pt idx="17">
                  <c:v>27.315827862873814</c:v>
                </c:pt>
                <c:pt idx="18">
                  <c:v>28.590121033693162</c:v>
                </c:pt>
                <c:pt idx="19">
                  <c:v>30.345394736842106</c:v>
                </c:pt>
                <c:pt idx="20">
                  <c:v>32.328159645232816</c:v>
                </c:pt>
                <c:pt idx="21">
                  <c:v>34.068965517241381</c:v>
                </c:pt>
                <c:pt idx="22">
                  <c:v>34.972182688575494</c:v>
                </c:pt>
                <c:pt idx="23">
                  <c:v>37.29310706054892</c:v>
                </c:pt>
                <c:pt idx="24">
                  <c:v>38.097376931369027</c:v>
                </c:pt>
                <c:pt idx="25">
                  <c:v>39.171176993295099</c:v>
                </c:pt>
                <c:pt idx="26">
                  <c:v>38.690567779658409</c:v>
                </c:pt>
                <c:pt idx="27">
                  <c:v>39.587132540666715</c:v>
                </c:pt>
                <c:pt idx="28">
                  <c:v>40.266703326917792</c:v>
                </c:pt>
                <c:pt idx="29">
                  <c:v>39.882085610759688</c:v>
                </c:pt>
                <c:pt idx="30">
                  <c:v>39.776195320447613</c:v>
                </c:pt>
                <c:pt idx="31">
                  <c:v>39.686661092285348</c:v>
                </c:pt>
                <c:pt idx="32">
                  <c:v>40.171673819742487</c:v>
                </c:pt>
                <c:pt idx="33">
                  <c:v>40.390517279722452</c:v>
                </c:pt>
                <c:pt idx="34">
                  <c:v>41.229187903499835</c:v>
                </c:pt>
                <c:pt idx="35">
                  <c:v>42.326766772282681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0-481F-840A-410DE07A5D53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Sheet1!$J$5:$AS$5</c:f>
              <c:numCache>
                <c:formatCode>General</c:formatCode>
                <c:ptCount val="36"/>
                <c:pt idx="0">
                  <c:v>0.76615726819623509</c:v>
                </c:pt>
                <c:pt idx="1">
                  <c:v>0.78557874762808355</c:v>
                </c:pt>
                <c:pt idx="2">
                  <c:v>0.82796356960293749</c:v>
                </c:pt>
                <c:pt idx="3">
                  <c:v>0.74822426039583478</c:v>
                </c:pt>
                <c:pt idx="4">
                  <c:v>0.70546163849154753</c:v>
                </c:pt>
                <c:pt idx="5">
                  <c:v>0.81325392266529617</c:v>
                </c:pt>
                <c:pt idx="6">
                  <c:v>0.89933112247765723</c:v>
                </c:pt>
                <c:pt idx="7">
                  <c:v>0.83205663268001473</c:v>
                </c:pt>
                <c:pt idx="8">
                  <c:v>0.74637751628902071</c:v>
                </c:pt>
                <c:pt idx="9">
                  <c:v>0.61185108485903894</c:v>
                </c:pt>
                <c:pt idx="10">
                  <c:v>0.60554880435006486</c:v>
                </c:pt>
                <c:pt idx="11">
                  <c:v>0.61651303399742297</c:v>
                </c:pt>
                <c:pt idx="12">
                  <c:v>0.62835972686328634</c:v>
                </c:pt>
                <c:pt idx="13">
                  <c:v>0.8505081283798489</c:v>
                </c:pt>
                <c:pt idx="14">
                  <c:v>0.87873191751308088</c:v>
                </c:pt>
                <c:pt idx="15">
                  <c:v>0.69118053635609622</c:v>
                </c:pt>
                <c:pt idx="16">
                  <c:v>0.59574815358877053</c:v>
                </c:pt>
                <c:pt idx="17">
                  <c:v>0.64777117288206143</c:v>
                </c:pt>
                <c:pt idx="18">
                  <c:v>0.62800573007264915</c:v>
                </c:pt>
                <c:pt idx="19">
                  <c:v>0.68185806322228071</c:v>
                </c:pt>
                <c:pt idx="20">
                  <c:v>0.75092380262110425</c:v>
                </c:pt>
                <c:pt idx="21">
                  <c:v>0.80380632521690454</c:v>
                </c:pt>
                <c:pt idx="22">
                  <c:v>0.89052080695534741</c:v>
                </c:pt>
                <c:pt idx="23">
                  <c:v>0.98056046452915935</c:v>
                </c:pt>
                <c:pt idx="24">
                  <c:v>0.99204619215082201</c:v>
                </c:pt>
                <c:pt idx="25">
                  <c:v>1.0773407244285822</c:v>
                </c:pt>
                <c:pt idx="26">
                  <c:v>1.141512480967102</c:v>
                </c:pt>
                <c:pt idx="27">
                  <c:v>1.1268169696087087</c:v>
                </c:pt>
                <c:pt idx="28">
                  <c:v>1.1128690568769946</c:v>
                </c:pt>
                <c:pt idx="29">
                  <c:v>1.1391502460912364</c:v>
                </c:pt>
                <c:pt idx="30">
                  <c:v>1.2160288513262669</c:v>
                </c:pt>
                <c:pt idx="31">
                  <c:v>1.4173195181534834</c:v>
                </c:pt>
                <c:pt idx="32">
                  <c:v>1.8574447702691832</c:v>
                </c:pt>
                <c:pt idx="33">
                  <c:v>1.9093265057607642</c:v>
                </c:pt>
                <c:pt idx="34">
                  <c:v>1.2746090591928447</c:v>
                </c:pt>
                <c:pt idx="35">
                  <c:v>1.0067908099283061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A0-481F-840A-410DE07A5D53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Core clinical journal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Sheet1!$J$6:$AS$6</c:f>
              <c:numCache>
                <c:formatCode>General</c:formatCode>
                <c:ptCount val="36"/>
                <c:pt idx="0">
                  <c:v>18.394607843137255</c:v>
                </c:pt>
                <c:pt idx="1">
                  <c:v>19.54215522054718</c:v>
                </c:pt>
                <c:pt idx="2">
                  <c:v>21.519285967050685</c:v>
                </c:pt>
                <c:pt idx="3">
                  <c:v>21.88690633369799</c:v>
                </c:pt>
                <c:pt idx="4">
                  <c:v>23.953349282296653</c:v>
                </c:pt>
                <c:pt idx="5">
                  <c:v>24.415849524295556</c:v>
                </c:pt>
                <c:pt idx="6">
                  <c:v>24.853822276763157</c:v>
                </c:pt>
                <c:pt idx="7">
                  <c:v>25.401975114977361</c:v>
                </c:pt>
                <c:pt idx="8">
                  <c:v>25.510459502950116</c:v>
                </c:pt>
                <c:pt idx="9">
                  <c:v>25.594786566443695</c:v>
                </c:pt>
                <c:pt idx="10">
                  <c:v>24.663118178143108</c:v>
                </c:pt>
                <c:pt idx="11">
                  <c:v>25.894946991601266</c:v>
                </c:pt>
                <c:pt idx="12">
                  <c:v>26.632029958503423</c:v>
                </c:pt>
                <c:pt idx="13">
                  <c:v>26.907852044127189</c:v>
                </c:pt>
                <c:pt idx="14">
                  <c:v>27.024604352126609</c:v>
                </c:pt>
                <c:pt idx="15">
                  <c:v>28.056670460672141</c:v>
                </c:pt>
                <c:pt idx="16">
                  <c:v>27.836403562278882</c:v>
                </c:pt>
                <c:pt idx="17">
                  <c:v>27.947151413007493</c:v>
                </c:pt>
                <c:pt idx="18">
                  <c:v>28.802746301303277</c:v>
                </c:pt>
                <c:pt idx="19">
                  <c:v>28.636572302983932</c:v>
                </c:pt>
                <c:pt idx="20">
                  <c:v>30.384638608779664</c:v>
                </c:pt>
                <c:pt idx="21">
                  <c:v>31.335166148697109</c:v>
                </c:pt>
                <c:pt idx="22">
                  <c:v>31.567512871640723</c:v>
                </c:pt>
                <c:pt idx="23">
                  <c:v>33.314256281119441</c:v>
                </c:pt>
                <c:pt idx="24">
                  <c:v>33.762057877813504</c:v>
                </c:pt>
                <c:pt idx="25">
                  <c:v>34.889897089742171</c:v>
                </c:pt>
                <c:pt idx="26">
                  <c:v>35.954464879237754</c:v>
                </c:pt>
                <c:pt idx="27">
                  <c:v>34.580435270361235</c:v>
                </c:pt>
                <c:pt idx="28">
                  <c:v>34.280922193478688</c:v>
                </c:pt>
                <c:pt idx="29">
                  <c:v>34.700333938719311</c:v>
                </c:pt>
                <c:pt idx="30">
                  <c:v>33.23795022576919</c:v>
                </c:pt>
                <c:pt idx="31">
                  <c:v>33.459296910344094</c:v>
                </c:pt>
                <c:pt idx="32">
                  <c:v>33.840151471685118</c:v>
                </c:pt>
                <c:pt idx="33">
                  <c:v>33.432661587613666</c:v>
                </c:pt>
                <c:pt idx="34">
                  <c:v>32.274915819617959</c:v>
                </c:pt>
                <c:pt idx="35">
                  <c:v>33.393025916529872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A0-481F-840A-410DE07A5D53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All MEDLINE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Sheet1!$J$7:$AS$7</c:f>
              <c:numCache>
                <c:formatCode>General</c:formatCode>
                <c:ptCount val="36"/>
                <c:pt idx="0">
                  <c:v>7.6723259518649805</c:v>
                </c:pt>
                <c:pt idx="1">
                  <c:v>8.2859385934685843</c:v>
                </c:pt>
                <c:pt idx="2">
                  <c:v>8.9656781815775357</c:v>
                </c:pt>
                <c:pt idx="3">
                  <c:v>9.5722854075051806</c:v>
                </c:pt>
                <c:pt idx="4">
                  <c:v>10.097775173694917</c:v>
                </c:pt>
                <c:pt idx="5">
                  <c:v>10.60927015454563</c:v>
                </c:pt>
                <c:pt idx="6">
                  <c:v>11.183745862828005</c:v>
                </c:pt>
                <c:pt idx="7">
                  <c:v>11.557830735254711</c:v>
                </c:pt>
                <c:pt idx="8">
                  <c:v>11.6334530142235</c:v>
                </c:pt>
                <c:pt idx="9">
                  <c:v>12.080079690398222</c:v>
                </c:pt>
                <c:pt idx="10">
                  <c:v>11.685678342613578</c:v>
                </c:pt>
                <c:pt idx="11">
                  <c:v>11.863680151713076</c:v>
                </c:pt>
                <c:pt idx="12">
                  <c:v>12.155912582806927</c:v>
                </c:pt>
                <c:pt idx="13">
                  <c:v>12.65619353520934</c:v>
                </c:pt>
                <c:pt idx="14">
                  <c:v>12.963982588641063</c:v>
                </c:pt>
                <c:pt idx="15">
                  <c:v>13.400627172110429</c:v>
                </c:pt>
                <c:pt idx="16">
                  <c:v>13.445117271377299</c:v>
                </c:pt>
                <c:pt idx="17">
                  <c:v>13.849754597445738</c:v>
                </c:pt>
                <c:pt idx="18">
                  <c:v>14.287411109568543</c:v>
                </c:pt>
                <c:pt idx="19">
                  <c:v>14.639421229089919</c:v>
                </c:pt>
                <c:pt idx="20">
                  <c:v>14.987559101165749</c:v>
                </c:pt>
                <c:pt idx="21">
                  <c:v>15.612748002328686</c:v>
                </c:pt>
                <c:pt idx="22">
                  <c:v>16.062366286121797</c:v>
                </c:pt>
                <c:pt idx="23">
                  <c:v>16.636533735053813</c:v>
                </c:pt>
                <c:pt idx="24">
                  <c:v>17.118690270210468</c:v>
                </c:pt>
                <c:pt idx="25">
                  <c:v>17.749952532074754</c:v>
                </c:pt>
                <c:pt idx="26">
                  <c:v>18.055656429018875</c:v>
                </c:pt>
                <c:pt idx="27">
                  <c:v>18.336307854435436</c:v>
                </c:pt>
                <c:pt idx="28">
                  <c:v>18.503877552833323</c:v>
                </c:pt>
                <c:pt idx="29">
                  <c:v>18.502046787664238</c:v>
                </c:pt>
                <c:pt idx="30">
                  <c:v>18.849143024730228</c:v>
                </c:pt>
                <c:pt idx="31">
                  <c:v>18.97960614674297</c:v>
                </c:pt>
                <c:pt idx="32">
                  <c:v>18.404417309057898</c:v>
                </c:pt>
                <c:pt idx="33">
                  <c:v>18.598667167874741</c:v>
                </c:pt>
                <c:pt idx="34">
                  <c:v>18.437737812931132</c:v>
                </c:pt>
                <c:pt idx="35">
                  <c:v>18.653103017400962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A0-481F-840A-410DE07A5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MEDLINE Abstracts With P Values,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6.22049410573777E-2"/>
          <c:y val="0.19974541421305406"/>
          <c:w val="0.18039800897916622"/>
          <c:h val="0.2279673665267728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379185</xdr:colOff>
      <xdr:row>9</xdr:row>
      <xdr:rowOff>47172</xdr:rowOff>
    </xdr:from>
    <xdr:to>
      <xdr:col>21</xdr:col>
      <xdr:colOff>226785</xdr:colOff>
      <xdr:row>36</xdr:row>
      <xdr:rowOff>117022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DB2DC92-6EFB-46A1-ABD6-C2F7F7B3E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K40"/>
  <sheetViews>
    <sheetView zoomScale="70" zoomScaleNormal="70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6146</v>
      </c>
      <c r="C2">
        <v>2091</v>
      </c>
      <c r="D2">
        <v>2005</v>
      </c>
      <c r="E2">
        <v>1328</v>
      </c>
      <c r="F2">
        <v>870</v>
      </c>
      <c r="G2">
        <v>690</v>
      </c>
      <c r="I2">
        <f>C2/B2</f>
        <v>0.34022128213472175</v>
      </c>
      <c r="J2">
        <f>IF(C2=0, 0, _xlfn.BETA.INV(0.025, C2, B2-C2+1))</f>
        <v>0.3283731579874562</v>
      </c>
      <c r="K2">
        <f>IF(C2=B2, 1, _xlfn.BETA.INV(0.975, C2+1, B2-C2))</f>
        <v>0.35222122507051989</v>
      </c>
    </row>
    <row r="3" spans="1:11" x14ac:dyDescent="0.3">
      <c r="A3">
        <v>1991</v>
      </c>
      <c r="B3">
        <v>6643</v>
      </c>
      <c r="C3">
        <v>2478</v>
      </c>
      <c r="D3">
        <v>2359</v>
      </c>
      <c r="E3">
        <v>1616</v>
      </c>
      <c r="F3">
        <v>1058</v>
      </c>
      <c r="G3">
        <v>839</v>
      </c>
      <c r="I3">
        <f t="shared" ref="I3:I37" si="0">C3/B3</f>
        <v>0.37302423603793466</v>
      </c>
      <c r="J3">
        <f t="shared" ref="J3:J37" si="1">IF(C3=0, 0, _xlfn.BETA.INV(0.025, C3, B3-C3+1))</f>
        <v>0.36137735737213283</v>
      </c>
      <c r="K3">
        <f t="shared" ref="K3:K37" si="2">IF(C3=B3, 1, _xlfn.BETA.INV(0.975, C3+1, B3-C3))</f>
        <v>0.38478268245742608</v>
      </c>
    </row>
    <row r="4" spans="1:11" x14ac:dyDescent="0.3">
      <c r="A4">
        <v>1992</v>
      </c>
      <c r="B4">
        <v>7131</v>
      </c>
      <c r="C4">
        <v>2721</v>
      </c>
      <c r="D4">
        <v>2587</v>
      </c>
      <c r="E4">
        <v>1775</v>
      </c>
      <c r="F4">
        <v>1171</v>
      </c>
      <c r="G4">
        <v>923</v>
      </c>
      <c r="I4">
        <f t="shared" si="0"/>
        <v>0.38157341186369376</v>
      </c>
      <c r="J4">
        <f t="shared" si="1"/>
        <v>0.37027890250296425</v>
      </c>
      <c r="K4">
        <f t="shared" si="2"/>
        <v>0.39296482564863022</v>
      </c>
    </row>
    <row r="5" spans="1:11" x14ac:dyDescent="0.3">
      <c r="A5">
        <v>1993</v>
      </c>
      <c r="B5">
        <v>7747</v>
      </c>
      <c r="C5">
        <v>3054</v>
      </c>
      <c r="D5">
        <v>2902</v>
      </c>
      <c r="E5">
        <v>1948</v>
      </c>
      <c r="F5">
        <v>1347</v>
      </c>
      <c r="G5">
        <v>1081</v>
      </c>
      <c r="I5">
        <f t="shared" si="0"/>
        <v>0.39421711630308509</v>
      </c>
      <c r="J5">
        <f t="shared" si="1"/>
        <v>0.3833121094901516</v>
      </c>
      <c r="K5">
        <f t="shared" si="2"/>
        <v>0.40520177024508475</v>
      </c>
    </row>
    <row r="6" spans="1:11" x14ac:dyDescent="0.3">
      <c r="A6">
        <v>1994</v>
      </c>
      <c r="B6">
        <v>8930</v>
      </c>
      <c r="C6">
        <v>3609</v>
      </c>
      <c r="D6">
        <v>3407</v>
      </c>
      <c r="E6">
        <v>2273</v>
      </c>
      <c r="F6">
        <v>1533</v>
      </c>
      <c r="G6">
        <v>1204</v>
      </c>
      <c r="I6">
        <f t="shared" si="0"/>
        <v>0.40414333706606942</v>
      </c>
      <c r="J6">
        <f t="shared" si="1"/>
        <v>0.39394203914519249</v>
      </c>
      <c r="K6">
        <f t="shared" si="2"/>
        <v>0.41440721353287879</v>
      </c>
    </row>
    <row r="7" spans="1:11" x14ac:dyDescent="0.3">
      <c r="A7">
        <v>1995</v>
      </c>
      <c r="B7">
        <v>9770</v>
      </c>
      <c r="C7">
        <v>4066</v>
      </c>
      <c r="D7">
        <v>3854</v>
      </c>
      <c r="E7">
        <v>2575</v>
      </c>
      <c r="F7">
        <v>1781</v>
      </c>
      <c r="G7">
        <v>1413</v>
      </c>
      <c r="I7">
        <f t="shared" si="0"/>
        <v>0.41617195496417603</v>
      </c>
      <c r="J7">
        <f t="shared" si="1"/>
        <v>0.4063728214860915</v>
      </c>
      <c r="K7">
        <f t="shared" si="2"/>
        <v>0.42602109241279074</v>
      </c>
    </row>
    <row r="8" spans="1:11" x14ac:dyDescent="0.3">
      <c r="A8">
        <v>1996</v>
      </c>
      <c r="B8">
        <v>9611</v>
      </c>
      <c r="C8">
        <v>4165</v>
      </c>
      <c r="D8">
        <v>3974</v>
      </c>
      <c r="E8">
        <v>2727</v>
      </c>
      <c r="F8">
        <v>1935</v>
      </c>
      <c r="G8">
        <v>1549</v>
      </c>
      <c r="I8">
        <f t="shared" si="0"/>
        <v>0.43335761107064824</v>
      </c>
      <c r="J8">
        <f t="shared" si="1"/>
        <v>0.42342005800403093</v>
      </c>
      <c r="K8">
        <f t="shared" si="2"/>
        <v>0.44333557511225052</v>
      </c>
    </row>
    <row r="9" spans="1:11" x14ac:dyDescent="0.3">
      <c r="A9">
        <v>1997</v>
      </c>
      <c r="B9">
        <v>9844</v>
      </c>
      <c r="C9">
        <v>4454</v>
      </c>
      <c r="D9">
        <v>4201</v>
      </c>
      <c r="E9">
        <v>2858</v>
      </c>
      <c r="F9">
        <v>2071</v>
      </c>
      <c r="G9">
        <v>1670</v>
      </c>
      <c r="I9">
        <f t="shared" si="0"/>
        <v>0.45245835026412029</v>
      </c>
      <c r="J9">
        <f t="shared" si="1"/>
        <v>0.44259043298816009</v>
      </c>
      <c r="K9">
        <f t="shared" si="2"/>
        <v>0.46235441070386507</v>
      </c>
    </row>
    <row r="10" spans="1:11" x14ac:dyDescent="0.3">
      <c r="A10">
        <v>1998</v>
      </c>
      <c r="B10">
        <v>10236</v>
      </c>
      <c r="C10">
        <v>4745</v>
      </c>
      <c r="D10">
        <v>4472</v>
      </c>
      <c r="E10">
        <v>3077</v>
      </c>
      <c r="F10">
        <v>2187</v>
      </c>
      <c r="G10">
        <v>1791</v>
      </c>
      <c r="I10">
        <f t="shared" si="0"/>
        <v>0.46355998436889412</v>
      </c>
      <c r="J10">
        <f t="shared" si="1"/>
        <v>0.45386223005816262</v>
      </c>
      <c r="K10">
        <f t="shared" si="2"/>
        <v>0.47327848106528714</v>
      </c>
    </row>
    <row r="11" spans="1:11" x14ac:dyDescent="0.3">
      <c r="A11">
        <v>1999</v>
      </c>
      <c r="B11">
        <v>10976</v>
      </c>
      <c r="C11">
        <v>5240</v>
      </c>
      <c r="D11">
        <v>4919</v>
      </c>
      <c r="E11">
        <v>3380</v>
      </c>
      <c r="F11">
        <v>2496</v>
      </c>
      <c r="G11">
        <v>2023</v>
      </c>
      <c r="I11">
        <f t="shared" si="0"/>
        <v>0.47740524781341109</v>
      </c>
      <c r="J11">
        <f t="shared" si="1"/>
        <v>0.46802231502539016</v>
      </c>
      <c r="K11">
        <f t="shared" si="2"/>
        <v>0.48680017213403337</v>
      </c>
    </row>
    <row r="12" spans="1:11" x14ac:dyDescent="0.3">
      <c r="A12">
        <v>2000</v>
      </c>
      <c r="B12">
        <v>10684</v>
      </c>
      <c r="C12">
        <v>5102</v>
      </c>
      <c r="D12">
        <v>4779</v>
      </c>
      <c r="E12">
        <v>3272</v>
      </c>
      <c r="F12">
        <v>2386</v>
      </c>
      <c r="G12">
        <v>1936</v>
      </c>
      <c r="I12">
        <f t="shared" si="0"/>
        <v>0.47753650318232871</v>
      </c>
      <c r="J12">
        <f t="shared" si="1"/>
        <v>0.46802555146481883</v>
      </c>
      <c r="K12">
        <f t="shared" si="2"/>
        <v>0.48705970362231599</v>
      </c>
    </row>
    <row r="13" spans="1:11" x14ac:dyDescent="0.3">
      <c r="A13">
        <v>2001</v>
      </c>
      <c r="B13">
        <v>11580</v>
      </c>
      <c r="C13">
        <v>5603</v>
      </c>
      <c r="D13">
        <v>5230</v>
      </c>
      <c r="E13">
        <v>3579</v>
      </c>
      <c r="F13">
        <v>2656</v>
      </c>
      <c r="G13">
        <v>2136</v>
      </c>
      <c r="I13">
        <f t="shared" si="0"/>
        <v>0.48385146804835927</v>
      </c>
      <c r="J13">
        <f t="shared" si="1"/>
        <v>0.47471130517488191</v>
      </c>
      <c r="K13">
        <f t="shared" si="2"/>
        <v>0.492999752939004</v>
      </c>
    </row>
    <row r="14" spans="1:11" x14ac:dyDescent="0.3">
      <c r="A14">
        <v>2002</v>
      </c>
      <c r="B14">
        <v>11717</v>
      </c>
      <c r="C14">
        <v>5900</v>
      </c>
      <c r="D14">
        <v>5504</v>
      </c>
      <c r="E14">
        <v>3789</v>
      </c>
      <c r="F14">
        <v>2829</v>
      </c>
      <c r="G14">
        <v>2313</v>
      </c>
      <c r="I14">
        <f t="shared" si="0"/>
        <v>0.5035418622514295</v>
      </c>
      <c r="J14">
        <f t="shared" si="1"/>
        <v>0.49444611986385628</v>
      </c>
      <c r="K14">
        <f t="shared" si="2"/>
        <v>0.5126358441306198</v>
      </c>
    </row>
    <row r="15" spans="1:11" x14ac:dyDescent="0.3">
      <c r="A15">
        <v>2003</v>
      </c>
      <c r="B15">
        <v>12990</v>
      </c>
      <c r="C15">
        <v>6740</v>
      </c>
      <c r="D15">
        <v>6266</v>
      </c>
      <c r="E15">
        <v>4302</v>
      </c>
      <c r="F15">
        <v>3216</v>
      </c>
      <c r="G15">
        <v>2611</v>
      </c>
      <c r="I15">
        <f t="shared" si="0"/>
        <v>0.51886066204772907</v>
      </c>
      <c r="J15">
        <f t="shared" si="1"/>
        <v>0.51022655371140313</v>
      </c>
      <c r="K15">
        <f t="shared" si="2"/>
        <v>0.52748631676719882</v>
      </c>
    </row>
    <row r="16" spans="1:11" x14ac:dyDescent="0.3">
      <c r="A16">
        <v>2004</v>
      </c>
      <c r="B16">
        <v>14793</v>
      </c>
      <c r="C16">
        <v>7545</v>
      </c>
      <c r="D16">
        <v>7014</v>
      </c>
      <c r="E16">
        <v>4824</v>
      </c>
      <c r="F16">
        <v>3590</v>
      </c>
      <c r="G16">
        <v>2897</v>
      </c>
      <c r="I16">
        <f t="shared" si="0"/>
        <v>0.51003853173798419</v>
      </c>
      <c r="J16">
        <f t="shared" si="1"/>
        <v>0.50194773876490328</v>
      </c>
      <c r="K16">
        <f t="shared" si="2"/>
        <v>0.51812537511602663</v>
      </c>
    </row>
    <row r="17" spans="1:11" x14ac:dyDescent="0.3">
      <c r="A17">
        <v>2005</v>
      </c>
      <c r="B17">
        <v>15867</v>
      </c>
      <c r="C17">
        <v>8411</v>
      </c>
      <c r="D17">
        <v>7772</v>
      </c>
      <c r="E17">
        <v>5395</v>
      </c>
      <c r="F17">
        <v>4005</v>
      </c>
      <c r="G17">
        <v>3304</v>
      </c>
      <c r="I17">
        <f t="shared" si="0"/>
        <v>0.53009390559021874</v>
      </c>
      <c r="J17">
        <f t="shared" si="1"/>
        <v>0.52229173611510682</v>
      </c>
      <c r="K17">
        <f t="shared" si="2"/>
        <v>0.53788503818107536</v>
      </c>
    </row>
    <row r="18" spans="1:11" x14ac:dyDescent="0.3">
      <c r="A18">
        <v>2006</v>
      </c>
      <c r="B18">
        <v>16986</v>
      </c>
      <c r="C18">
        <v>8957</v>
      </c>
      <c r="D18">
        <v>8291</v>
      </c>
      <c r="E18">
        <v>5668</v>
      </c>
      <c r="F18">
        <v>4188</v>
      </c>
      <c r="G18">
        <v>3432</v>
      </c>
      <c r="I18">
        <f t="shared" si="0"/>
        <v>0.52731661368185567</v>
      </c>
      <c r="J18">
        <f t="shared" si="1"/>
        <v>0.51977505291170678</v>
      </c>
      <c r="K18">
        <f t="shared" si="2"/>
        <v>0.53484881775071824</v>
      </c>
    </row>
    <row r="19" spans="1:11" x14ac:dyDescent="0.3">
      <c r="A19">
        <v>2007</v>
      </c>
      <c r="B19">
        <v>18676</v>
      </c>
      <c r="C19">
        <v>9806</v>
      </c>
      <c r="D19">
        <v>9076</v>
      </c>
      <c r="E19">
        <v>6202</v>
      </c>
      <c r="F19">
        <v>4644</v>
      </c>
      <c r="G19">
        <v>3842</v>
      </c>
      <c r="I19">
        <f t="shared" si="0"/>
        <v>0.52505889912186765</v>
      </c>
      <c r="J19">
        <f t="shared" si="1"/>
        <v>0.51786676243165852</v>
      </c>
      <c r="K19">
        <f t="shared" si="2"/>
        <v>0.53224323096764981</v>
      </c>
    </row>
    <row r="20" spans="1:11" x14ac:dyDescent="0.3">
      <c r="A20">
        <v>2008</v>
      </c>
      <c r="B20">
        <v>19216</v>
      </c>
      <c r="C20">
        <v>10197</v>
      </c>
      <c r="D20">
        <v>9411</v>
      </c>
      <c r="E20">
        <v>6491</v>
      </c>
      <c r="F20">
        <v>4946</v>
      </c>
      <c r="G20">
        <v>4083</v>
      </c>
      <c r="I20">
        <f t="shared" si="0"/>
        <v>0.53065154038301421</v>
      </c>
      <c r="J20">
        <f t="shared" si="1"/>
        <v>0.52356515935336367</v>
      </c>
      <c r="K20">
        <f t="shared" si="2"/>
        <v>0.53772864355986205</v>
      </c>
    </row>
    <row r="21" spans="1:11" x14ac:dyDescent="0.3">
      <c r="A21">
        <v>2009</v>
      </c>
      <c r="B21">
        <v>20310</v>
      </c>
      <c r="C21">
        <v>10924</v>
      </c>
      <c r="D21">
        <v>10087</v>
      </c>
      <c r="E21">
        <v>6959</v>
      </c>
      <c r="F21">
        <v>5254</v>
      </c>
      <c r="G21">
        <v>4301</v>
      </c>
      <c r="I21">
        <f t="shared" si="0"/>
        <v>0.53786312161496797</v>
      </c>
      <c r="J21">
        <f t="shared" si="1"/>
        <v>0.53097680600419539</v>
      </c>
      <c r="K21">
        <f t="shared" si="2"/>
        <v>0.54473859518817092</v>
      </c>
    </row>
    <row r="22" spans="1:11" x14ac:dyDescent="0.3">
      <c r="A22">
        <v>2010</v>
      </c>
      <c r="B22">
        <v>22206</v>
      </c>
      <c r="C22">
        <v>11731</v>
      </c>
      <c r="D22">
        <v>10789</v>
      </c>
      <c r="E22">
        <v>7334</v>
      </c>
      <c r="F22">
        <v>5523</v>
      </c>
      <c r="G22">
        <v>4550</v>
      </c>
      <c r="I22">
        <f t="shared" si="0"/>
        <v>0.52828064487075566</v>
      </c>
      <c r="J22">
        <f t="shared" si="1"/>
        <v>0.52168899403194013</v>
      </c>
      <c r="K22">
        <f t="shared" si="2"/>
        <v>0.53486489055805142</v>
      </c>
    </row>
    <row r="23" spans="1:11" x14ac:dyDescent="0.3">
      <c r="A23">
        <v>2011</v>
      </c>
      <c r="B23">
        <v>24998</v>
      </c>
      <c r="C23">
        <v>12904</v>
      </c>
      <c r="D23">
        <v>11897</v>
      </c>
      <c r="E23">
        <v>8199</v>
      </c>
      <c r="F23">
        <v>6235</v>
      </c>
      <c r="G23">
        <v>5140</v>
      </c>
      <c r="I23">
        <f t="shared" si="0"/>
        <v>0.51620129610368826</v>
      </c>
      <c r="J23">
        <f t="shared" si="1"/>
        <v>0.50998476929336944</v>
      </c>
      <c r="K23">
        <f t="shared" si="2"/>
        <v>0.52241405546077502</v>
      </c>
    </row>
    <row r="24" spans="1:11" x14ac:dyDescent="0.3">
      <c r="A24">
        <v>2012</v>
      </c>
      <c r="B24">
        <v>27142</v>
      </c>
      <c r="C24">
        <v>14212</v>
      </c>
      <c r="D24">
        <v>13087</v>
      </c>
      <c r="E24">
        <v>9005</v>
      </c>
      <c r="F24">
        <v>6894</v>
      </c>
      <c r="G24">
        <v>5694</v>
      </c>
      <c r="I24">
        <f t="shared" si="0"/>
        <v>0.5236165352590082</v>
      </c>
      <c r="J24">
        <f t="shared" si="1"/>
        <v>0.51765413162872953</v>
      </c>
      <c r="K24">
        <f t="shared" si="2"/>
        <v>0.5295738817340796</v>
      </c>
    </row>
    <row r="25" spans="1:11" x14ac:dyDescent="0.3">
      <c r="A25">
        <v>2013</v>
      </c>
      <c r="B25">
        <v>29398</v>
      </c>
      <c r="C25">
        <v>15050</v>
      </c>
      <c r="D25">
        <v>13813</v>
      </c>
      <c r="E25">
        <v>9416</v>
      </c>
      <c r="F25">
        <v>7255</v>
      </c>
      <c r="G25">
        <v>5947</v>
      </c>
      <c r="I25">
        <f t="shared" si="0"/>
        <v>0.51193958772705628</v>
      </c>
      <c r="J25">
        <f t="shared" si="1"/>
        <v>0.50620770088434819</v>
      </c>
      <c r="K25">
        <f t="shared" si="2"/>
        <v>0.51766911444801966</v>
      </c>
    </row>
    <row r="26" spans="1:11" x14ac:dyDescent="0.3">
      <c r="A26">
        <v>2014</v>
      </c>
      <c r="B26">
        <v>29674</v>
      </c>
      <c r="C26">
        <v>15445</v>
      </c>
      <c r="D26">
        <v>14161</v>
      </c>
      <c r="E26">
        <v>9669</v>
      </c>
      <c r="F26">
        <v>7419</v>
      </c>
      <c r="G26">
        <v>6069</v>
      </c>
      <c r="I26">
        <f t="shared" si="0"/>
        <v>0.52048931724742198</v>
      </c>
      <c r="J26">
        <f t="shared" si="1"/>
        <v>0.51478655019085418</v>
      </c>
      <c r="K26">
        <f t="shared" si="2"/>
        <v>0.52618807187413319</v>
      </c>
    </row>
    <row r="27" spans="1:11" x14ac:dyDescent="0.3">
      <c r="A27">
        <v>2015</v>
      </c>
      <c r="B27">
        <v>29395</v>
      </c>
      <c r="C27">
        <v>15469</v>
      </c>
      <c r="D27">
        <v>14117</v>
      </c>
      <c r="E27">
        <v>9634</v>
      </c>
      <c r="F27">
        <v>7451</v>
      </c>
      <c r="G27">
        <v>6096</v>
      </c>
      <c r="I27">
        <f t="shared" si="0"/>
        <v>0.52624596019731251</v>
      </c>
      <c r="J27">
        <f t="shared" si="1"/>
        <v>0.52051861559838475</v>
      </c>
      <c r="K27">
        <f t="shared" si="2"/>
        <v>0.53196811615297979</v>
      </c>
    </row>
    <row r="28" spans="1:11" x14ac:dyDescent="0.3">
      <c r="A28">
        <v>2016</v>
      </c>
      <c r="B28">
        <v>28269</v>
      </c>
      <c r="C28">
        <v>14963</v>
      </c>
      <c r="D28">
        <v>13582</v>
      </c>
      <c r="E28">
        <v>9319</v>
      </c>
      <c r="F28">
        <v>7253</v>
      </c>
      <c r="G28">
        <v>5957</v>
      </c>
      <c r="I28">
        <f t="shared" si="0"/>
        <v>0.52930772223990941</v>
      </c>
      <c r="J28">
        <f t="shared" si="1"/>
        <v>0.52346871286622088</v>
      </c>
      <c r="K28">
        <f t="shared" si="2"/>
        <v>0.53514070643656797</v>
      </c>
    </row>
    <row r="29" spans="1:11" x14ac:dyDescent="0.3">
      <c r="A29">
        <v>2017</v>
      </c>
      <c r="B29">
        <v>28112</v>
      </c>
      <c r="C29">
        <v>15028</v>
      </c>
      <c r="D29">
        <v>13622</v>
      </c>
      <c r="E29">
        <v>9301</v>
      </c>
      <c r="F29">
        <v>7212</v>
      </c>
      <c r="G29">
        <v>5988</v>
      </c>
      <c r="I29">
        <f t="shared" si="0"/>
        <v>0.53457598178713717</v>
      </c>
      <c r="J29">
        <f t="shared" si="1"/>
        <v>0.52872403115696576</v>
      </c>
      <c r="K29">
        <f t="shared" si="2"/>
        <v>0.54042078437896257</v>
      </c>
    </row>
    <row r="30" spans="1:11" x14ac:dyDescent="0.3">
      <c r="A30">
        <v>2018</v>
      </c>
      <c r="B30">
        <v>26683</v>
      </c>
      <c r="C30">
        <v>14714</v>
      </c>
      <c r="D30">
        <v>13278</v>
      </c>
      <c r="E30">
        <v>9105</v>
      </c>
      <c r="F30">
        <v>7144</v>
      </c>
      <c r="G30">
        <v>5873</v>
      </c>
      <c r="I30">
        <f t="shared" si="0"/>
        <v>0.55143724468762878</v>
      </c>
      <c r="J30">
        <f t="shared" si="1"/>
        <v>0.54544570265568904</v>
      </c>
      <c r="K30">
        <f t="shared" si="2"/>
        <v>0.55741758209483216</v>
      </c>
    </row>
    <row r="31" spans="1:11" x14ac:dyDescent="0.3">
      <c r="A31">
        <v>2019</v>
      </c>
      <c r="B31">
        <v>26493</v>
      </c>
      <c r="C31">
        <v>14642</v>
      </c>
      <c r="D31">
        <v>13207</v>
      </c>
      <c r="E31">
        <v>9069</v>
      </c>
      <c r="F31">
        <v>7148</v>
      </c>
      <c r="G31">
        <v>5951</v>
      </c>
      <c r="I31">
        <f t="shared" si="0"/>
        <v>0.55267429132223611</v>
      </c>
      <c r="J31">
        <f t="shared" si="1"/>
        <v>0.54666264078494065</v>
      </c>
      <c r="K31">
        <f t="shared" si="2"/>
        <v>0.55867438529978841</v>
      </c>
    </row>
    <row r="32" spans="1:11" x14ac:dyDescent="0.3">
      <c r="A32">
        <v>2020</v>
      </c>
      <c r="B32">
        <v>28524</v>
      </c>
      <c r="C32">
        <v>15990</v>
      </c>
      <c r="D32">
        <v>14346</v>
      </c>
      <c r="E32">
        <v>9840</v>
      </c>
      <c r="F32">
        <v>7761</v>
      </c>
      <c r="G32">
        <v>6396</v>
      </c>
      <c r="I32">
        <f t="shared" si="0"/>
        <v>0.56058056373580145</v>
      </c>
      <c r="J32">
        <f t="shared" si="1"/>
        <v>0.55479738526729649</v>
      </c>
      <c r="K32">
        <f t="shared" si="2"/>
        <v>0.56635139913040378</v>
      </c>
    </row>
    <row r="33" spans="1:11" x14ac:dyDescent="0.3">
      <c r="A33">
        <v>2021</v>
      </c>
      <c r="B33">
        <v>29569</v>
      </c>
      <c r="C33">
        <v>16539</v>
      </c>
      <c r="D33">
        <v>14876</v>
      </c>
      <c r="E33">
        <v>10056</v>
      </c>
      <c r="F33">
        <v>8001</v>
      </c>
      <c r="G33">
        <v>6638</v>
      </c>
      <c r="I33">
        <f t="shared" si="0"/>
        <v>0.55933579086205143</v>
      </c>
      <c r="J33">
        <f t="shared" si="1"/>
        <v>0.55365453912933149</v>
      </c>
      <c r="K33">
        <f t="shared" si="2"/>
        <v>0.56500538122013588</v>
      </c>
    </row>
    <row r="34" spans="1:11" x14ac:dyDescent="0.3">
      <c r="A34">
        <v>2022</v>
      </c>
      <c r="B34">
        <v>28591</v>
      </c>
      <c r="C34">
        <v>15884</v>
      </c>
      <c r="D34">
        <v>14286</v>
      </c>
      <c r="E34">
        <v>9553</v>
      </c>
      <c r="F34">
        <v>7697</v>
      </c>
      <c r="G34">
        <v>6453</v>
      </c>
      <c r="I34">
        <f t="shared" si="0"/>
        <v>0.55555944178237904</v>
      </c>
      <c r="J34">
        <f t="shared" si="1"/>
        <v>0.54977677590916307</v>
      </c>
      <c r="K34">
        <f t="shared" si="2"/>
        <v>0.56133081424990994</v>
      </c>
    </row>
    <row r="35" spans="1:11" x14ac:dyDescent="0.3">
      <c r="A35">
        <v>2023</v>
      </c>
      <c r="B35">
        <v>25344</v>
      </c>
      <c r="C35">
        <v>14066</v>
      </c>
      <c r="D35">
        <v>12622</v>
      </c>
      <c r="E35">
        <v>8507</v>
      </c>
      <c r="F35">
        <v>6979</v>
      </c>
      <c r="G35">
        <v>5764</v>
      </c>
      <c r="I35">
        <f t="shared" si="0"/>
        <v>0.55500315656565657</v>
      </c>
      <c r="J35">
        <f t="shared" si="1"/>
        <v>0.54885902905926709</v>
      </c>
      <c r="K35">
        <f t="shared" si="2"/>
        <v>0.56113466830245939</v>
      </c>
    </row>
    <row r="36" spans="1:11" x14ac:dyDescent="0.3">
      <c r="A36">
        <v>2024</v>
      </c>
      <c r="B36">
        <v>27230</v>
      </c>
      <c r="C36">
        <v>15733</v>
      </c>
      <c r="D36">
        <v>14263</v>
      </c>
      <c r="E36">
        <v>9629</v>
      </c>
      <c r="F36">
        <v>7915</v>
      </c>
      <c r="G36">
        <v>6623</v>
      </c>
      <c r="I36">
        <f t="shared" si="0"/>
        <v>0.57778185824458317</v>
      </c>
      <c r="J36">
        <f t="shared" si="1"/>
        <v>0.5718890135710728</v>
      </c>
      <c r="K36">
        <f t="shared" si="2"/>
        <v>0.58365810018271302</v>
      </c>
    </row>
    <row r="37" spans="1:11" x14ac:dyDescent="0.3">
      <c r="A37">
        <v>2025</v>
      </c>
      <c r="B37">
        <v>17160</v>
      </c>
      <c r="C37">
        <v>10002</v>
      </c>
      <c r="D37">
        <v>9038</v>
      </c>
      <c r="E37">
        <v>6171</v>
      </c>
      <c r="F37">
        <v>5063</v>
      </c>
      <c r="G37">
        <v>4288</v>
      </c>
      <c r="I37">
        <f t="shared" si="0"/>
        <v>0.58286713286713288</v>
      </c>
      <c r="J37">
        <f t="shared" si="1"/>
        <v>0.57544692621958171</v>
      </c>
      <c r="K37">
        <f t="shared" si="2"/>
        <v>0.59025924193554413</v>
      </c>
    </row>
    <row r="38" spans="1:11" x14ac:dyDescent="0.3">
      <c r="A38" t="s">
        <v>7</v>
      </c>
      <c r="B38">
        <f t="shared" ref="B38:G38" si="3">SUM(B2:B37)</f>
        <v>668641</v>
      </c>
      <c r="C38">
        <f t="shared" si="3"/>
        <v>348180</v>
      </c>
      <c r="D38">
        <f t="shared" si="3"/>
        <v>319094</v>
      </c>
      <c r="E38">
        <f t="shared" si="3"/>
        <v>217845</v>
      </c>
      <c r="F38">
        <f t="shared" si="3"/>
        <v>167113</v>
      </c>
      <c r="G38">
        <f t="shared" si="3"/>
        <v>137465</v>
      </c>
    </row>
    <row r="39" spans="1:11" x14ac:dyDescent="0.3">
      <c r="A39" t="s">
        <v>8</v>
      </c>
      <c r="B39">
        <f>MAX(B2:B37)</f>
        <v>29674</v>
      </c>
      <c r="C39">
        <f t="shared" ref="C39:G39" si="4">MAX(C2:C37)</f>
        <v>16539</v>
      </c>
      <c r="D39">
        <f t="shared" si="4"/>
        <v>14876</v>
      </c>
      <c r="E39">
        <f t="shared" si="4"/>
        <v>10056</v>
      </c>
      <c r="F39">
        <f t="shared" si="4"/>
        <v>8001</v>
      </c>
      <c r="G39">
        <f t="shared" si="4"/>
        <v>6638</v>
      </c>
    </row>
    <row r="40" spans="1:11" x14ac:dyDescent="0.3">
      <c r="A40" t="s">
        <v>9</v>
      </c>
      <c r="B40">
        <f>MIN(B2:B37)</f>
        <v>6146</v>
      </c>
      <c r="C40">
        <f t="shared" ref="C40:G40" si="5">MIN(C2:C37)</f>
        <v>2091</v>
      </c>
      <c r="D40">
        <f t="shared" si="5"/>
        <v>2005</v>
      </c>
      <c r="E40">
        <f t="shared" si="5"/>
        <v>1328</v>
      </c>
      <c r="F40">
        <f t="shared" si="5"/>
        <v>870</v>
      </c>
      <c r="G40">
        <f t="shared" si="5"/>
        <v>690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K40"/>
  <sheetViews>
    <sheetView zoomScale="55" zoomScaleNormal="55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4068</v>
      </c>
      <c r="C2">
        <v>746</v>
      </c>
      <c r="D2">
        <v>731</v>
      </c>
      <c r="E2">
        <v>519</v>
      </c>
      <c r="F2">
        <v>351</v>
      </c>
      <c r="G2">
        <v>295</v>
      </c>
      <c r="I2">
        <f t="shared" ref="I2:I37" si="0">C2/B2</f>
        <v>0.18338249754178959</v>
      </c>
      <c r="J2">
        <f t="shared" ref="J2:J37" si="1">IF(C2=0, 0, _xlfn.BETA.INV(0.025, C2, B2-C2+1))</f>
        <v>0.17159844812847855</v>
      </c>
      <c r="K2">
        <f t="shared" ref="K2:K37" si="2">IF(C2=B2, 1, _xlfn.BETA.INV(0.975, C2+1, B2-C2))</f>
        <v>0.19562306495407966</v>
      </c>
    </row>
    <row r="3" spans="1:11" x14ac:dyDescent="0.3">
      <c r="A3">
        <v>1991</v>
      </c>
      <c r="B3">
        <v>4160</v>
      </c>
      <c r="C3">
        <v>857</v>
      </c>
      <c r="D3">
        <v>843</v>
      </c>
      <c r="E3">
        <v>634</v>
      </c>
      <c r="F3">
        <v>436</v>
      </c>
      <c r="G3">
        <v>377</v>
      </c>
      <c r="I3">
        <f t="shared" si="0"/>
        <v>0.20600961538461537</v>
      </c>
      <c r="J3">
        <f t="shared" si="1"/>
        <v>0.19380915516547495</v>
      </c>
      <c r="K3">
        <f t="shared" si="2"/>
        <v>0.21862429887501822</v>
      </c>
    </row>
    <row r="4" spans="1:11" x14ac:dyDescent="0.3">
      <c r="A4">
        <v>1992</v>
      </c>
      <c r="B4">
        <v>3780</v>
      </c>
      <c r="C4">
        <v>783</v>
      </c>
      <c r="D4">
        <v>767</v>
      </c>
      <c r="E4">
        <v>549</v>
      </c>
      <c r="F4">
        <v>381</v>
      </c>
      <c r="G4">
        <v>309</v>
      </c>
      <c r="I4">
        <f t="shared" si="0"/>
        <v>0.20714285714285716</v>
      </c>
      <c r="J4">
        <f t="shared" si="1"/>
        <v>0.19432167151690349</v>
      </c>
      <c r="K4">
        <f t="shared" si="2"/>
        <v>0.2204184044895231</v>
      </c>
    </row>
    <row r="5" spans="1:11" x14ac:dyDescent="0.3">
      <c r="A5">
        <v>1993</v>
      </c>
      <c r="B5">
        <v>3701</v>
      </c>
      <c r="C5">
        <v>864</v>
      </c>
      <c r="D5">
        <v>837</v>
      </c>
      <c r="E5">
        <v>595</v>
      </c>
      <c r="F5">
        <v>431</v>
      </c>
      <c r="G5">
        <v>334</v>
      </c>
      <c r="I5">
        <f t="shared" si="0"/>
        <v>0.23345041880572817</v>
      </c>
      <c r="J5">
        <f t="shared" si="1"/>
        <v>0.21990128039173479</v>
      </c>
      <c r="K5">
        <f t="shared" si="2"/>
        <v>0.24742174914675152</v>
      </c>
    </row>
    <row r="6" spans="1:11" x14ac:dyDescent="0.3">
      <c r="A6">
        <v>1994</v>
      </c>
      <c r="B6">
        <v>8513</v>
      </c>
      <c r="C6">
        <v>2145</v>
      </c>
      <c r="D6">
        <v>2089</v>
      </c>
      <c r="E6">
        <v>1502</v>
      </c>
      <c r="F6">
        <v>1055</v>
      </c>
      <c r="G6">
        <v>868</v>
      </c>
      <c r="I6">
        <f t="shared" si="0"/>
        <v>0.25196757899682837</v>
      </c>
      <c r="J6">
        <f t="shared" si="1"/>
        <v>0.2427726690761349</v>
      </c>
      <c r="K6">
        <f t="shared" si="2"/>
        <v>0.26133253623643315</v>
      </c>
    </row>
    <row r="7" spans="1:11" x14ac:dyDescent="0.3">
      <c r="A7">
        <v>1995</v>
      </c>
      <c r="B7">
        <v>9318</v>
      </c>
      <c r="C7">
        <v>2290</v>
      </c>
      <c r="D7">
        <v>2222</v>
      </c>
      <c r="E7">
        <v>1615</v>
      </c>
      <c r="F7">
        <v>1156</v>
      </c>
      <c r="G7">
        <v>990</v>
      </c>
      <c r="I7">
        <f t="shared" si="0"/>
        <v>0.24576089289547112</v>
      </c>
      <c r="J7">
        <f t="shared" si="1"/>
        <v>0.23704603716039196</v>
      </c>
      <c r="K7">
        <f t="shared" si="2"/>
        <v>0.25463494720968327</v>
      </c>
    </row>
    <row r="8" spans="1:11" x14ac:dyDescent="0.3">
      <c r="A8">
        <v>1996</v>
      </c>
      <c r="B8">
        <v>8830</v>
      </c>
      <c r="C8">
        <v>2245</v>
      </c>
      <c r="D8">
        <v>2166</v>
      </c>
      <c r="E8">
        <v>1549</v>
      </c>
      <c r="F8">
        <v>1134</v>
      </c>
      <c r="G8">
        <v>928</v>
      </c>
      <c r="I8">
        <f t="shared" si="0"/>
        <v>0.25424688561721404</v>
      </c>
      <c r="J8">
        <f t="shared" si="1"/>
        <v>0.24519027296646281</v>
      </c>
      <c r="K8">
        <f t="shared" si="2"/>
        <v>0.26346590682107052</v>
      </c>
    </row>
    <row r="9" spans="1:11" x14ac:dyDescent="0.3">
      <c r="A9">
        <v>1997</v>
      </c>
      <c r="B9">
        <v>10309</v>
      </c>
      <c r="C9">
        <v>2581</v>
      </c>
      <c r="D9">
        <v>2502</v>
      </c>
      <c r="E9">
        <v>1810</v>
      </c>
      <c r="F9">
        <v>1328</v>
      </c>
      <c r="G9">
        <v>1105</v>
      </c>
      <c r="I9">
        <f t="shared" si="0"/>
        <v>0.25036375982151521</v>
      </c>
      <c r="J9">
        <f t="shared" si="1"/>
        <v>0.24202391051743261</v>
      </c>
      <c r="K9">
        <f t="shared" si="2"/>
        <v>0.25884483838571271</v>
      </c>
    </row>
    <row r="10" spans="1:11" x14ac:dyDescent="0.3">
      <c r="A10">
        <v>1998</v>
      </c>
      <c r="B10">
        <v>10351</v>
      </c>
      <c r="C10">
        <v>2676</v>
      </c>
      <c r="D10">
        <v>2589</v>
      </c>
      <c r="E10">
        <v>1876</v>
      </c>
      <c r="F10">
        <v>1345</v>
      </c>
      <c r="G10">
        <v>1137</v>
      </c>
      <c r="I10">
        <f t="shared" si="0"/>
        <v>0.25852574630470487</v>
      </c>
      <c r="J10">
        <f t="shared" si="1"/>
        <v>0.25011185084006682</v>
      </c>
      <c r="K10">
        <f t="shared" si="2"/>
        <v>0.26707568630205658</v>
      </c>
    </row>
    <row r="11" spans="1:11" x14ac:dyDescent="0.3">
      <c r="A11">
        <v>1999</v>
      </c>
      <c r="B11">
        <v>11277</v>
      </c>
      <c r="C11">
        <v>3059</v>
      </c>
      <c r="D11">
        <v>2962</v>
      </c>
      <c r="E11">
        <v>2161</v>
      </c>
      <c r="F11">
        <v>1598</v>
      </c>
      <c r="G11">
        <v>1322</v>
      </c>
      <c r="I11">
        <f t="shared" si="0"/>
        <v>0.27126008690254499</v>
      </c>
      <c r="J11">
        <f t="shared" si="1"/>
        <v>0.26306965420527945</v>
      </c>
      <c r="K11">
        <f t="shared" si="2"/>
        <v>0.27956875885936261</v>
      </c>
    </row>
    <row r="12" spans="1:11" x14ac:dyDescent="0.3">
      <c r="A12">
        <v>2000</v>
      </c>
      <c r="B12">
        <v>10709</v>
      </c>
      <c r="C12">
        <v>3132</v>
      </c>
      <c r="D12">
        <v>3020</v>
      </c>
      <c r="E12">
        <v>2219</v>
      </c>
      <c r="F12">
        <v>1676</v>
      </c>
      <c r="G12">
        <v>1385</v>
      </c>
      <c r="I12">
        <f t="shared" si="0"/>
        <v>0.29246428237930711</v>
      </c>
      <c r="J12">
        <f t="shared" si="1"/>
        <v>0.28385938104314418</v>
      </c>
      <c r="K12">
        <f t="shared" si="2"/>
        <v>0.30118215380914759</v>
      </c>
    </row>
    <row r="13" spans="1:11" x14ac:dyDescent="0.3">
      <c r="A13">
        <v>2001</v>
      </c>
      <c r="B13">
        <v>8921</v>
      </c>
      <c r="C13">
        <v>2620</v>
      </c>
      <c r="D13">
        <v>2543</v>
      </c>
      <c r="E13">
        <v>1892</v>
      </c>
      <c r="F13">
        <v>1417</v>
      </c>
      <c r="G13">
        <v>1144</v>
      </c>
      <c r="I13">
        <f t="shared" si="0"/>
        <v>0.29368904831296938</v>
      </c>
      <c r="J13">
        <f t="shared" si="1"/>
        <v>0.28425049173716815</v>
      </c>
      <c r="K13">
        <f t="shared" si="2"/>
        <v>0.30326250339783567</v>
      </c>
    </row>
    <row r="14" spans="1:11" x14ac:dyDescent="0.3">
      <c r="A14">
        <v>2002</v>
      </c>
      <c r="B14">
        <v>9296</v>
      </c>
      <c r="C14">
        <v>2826</v>
      </c>
      <c r="D14">
        <v>2704</v>
      </c>
      <c r="E14">
        <v>1986</v>
      </c>
      <c r="F14">
        <v>1502</v>
      </c>
      <c r="G14">
        <v>1255</v>
      </c>
      <c r="I14">
        <f t="shared" si="0"/>
        <v>0.30400172117039587</v>
      </c>
      <c r="J14">
        <f t="shared" si="1"/>
        <v>0.29465987189310194</v>
      </c>
      <c r="K14">
        <f t="shared" si="2"/>
        <v>0.31346652827364008</v>
      </c>
    </row>
    <row r="15" spans="1:11" x14ac:dyDescent="0.3">
      <c r="A15">
        <v>2003</v>
      </c>
      <c r="B15">
        <v>11233</v>
      </c>
      <c r="C15">
        <v>3577</v>
      </c>
      <c r="D15">
        <v>3458</v>
      </c>
      <c r="E15">
        <v>2525</v>
      </c>
      <c r="F15">
        <v>1913</v>
      </c>
      <c r="G15">
        <v>1601</v>
      </c>
      <c r="I15">
        <f t="shared" si="0"/>
        <v>0.31843674886495149</v>
      </c>
      <c r="J15">
        <f t="shared" si="1"/>
        <v>0.3098250064073419</v>
      </c>
      <c r="K15">
        <f t="shared" si="2"/>
        <v>0.32714268261445434</v>
      </c>
    </row>
    <row r="16" spans="1:11" x14ac:dyDescent="0.3">
      <c r="A16">
        <v>2004</v>
      </c>
      <c r="B16">
        <v>12339</v>
      </c>
      <c r="C16">
        <v>3841</v>
      </c>
      <c r="D16">
        <v>3702</v>
      </c>
      <c r="E16">
        <v>2685</v>
      </c>
      <c r="F16">
        <v>2021</v>
      </c>
      <c r="G16">
        <v>1674</v>
      </c>
      <c r="I16">
        <f t="shared" si="0"/>
        <v>0.31128940756949508</v>
      </c>
      <c r="J16">
        <f t="shared" si="1"/>
        <v>0.30312442756594971</v>
      </c>
      <c r="K16">
        <f t="shared" si="2"/>
        <v>0.3195434884924907</v>
      </c>
    </row>
    <row r="17" spans="1:11" x14ac:dyDescent="0.3">
      <c r="A17">
        <v>2005</v>
      </c>
      <c r="B17">
        <v>13858</v>
      </c>
      <c r="C17">
        <v>4328</v>
      </c>
      <c r="D17">
        <v>4154</v>
      </c>
      <c r="E17">
        <v>2999</v>
      </c>
      <c r="F17">
        <v>2288</v>
      </c>
      <c r="G17">
        <v>1899</v>
      </c>
      <c r="I17">
        <f t="shared" si="0"/>
        <v>0.31231057872708906</v>
      </c>
      <c r="J17">
        <f t="shared" si="1"/>
        <v>0.30459864582232937</v>
      </c>
      <c r="K17">
        <f t="shared" si="2"/>
        <v>0.32010138836232882</v>
      </c>
    </row>
    <row r="18" spans="1:11" x14ac:dyDescent="0.3">
      <c r="A18">
        <v>2006</v>
      </c>
      <c r="B18">
        <v>12375</v>
      </c>
      <c r="C18">
        <v>4111</v>
      </c>
      <c r="D18">
        <v>3917</v>
      </c>
      <c r="E18">
        <v>2891</v>
      </c>
      <c r="F18">
        <v>2197</v>
      </c>
      <c r="G18">
        <v>1820</v>
      </c>
      <c r="I18">
        <f t="shared" si="0"/>
        <v>0.33220202020202022</v>
      </c>
      <c r="J18">
        <f t="shared" si="1"/>
        <v>0.32390338362467797</v>
      </c>
      <c r="K18">
        <f t="shared" si="2"/>
        <v>0.34057964378051009</v>
      </c>
    </row>
    <row r="19" spans="1:11" x14ac:dyDescent="0.3">
      <c r="A19">
        <v>2007</v>
      </c>
      <c r="B19">
        <v>11756</v>
      </c>
      <c r="C19">
        <v>4113</v>
      </c>
      <c r="D19">
        <v>3908</v>
      </c>
      <c r="E19">
        <v>2837</v>
      </c>
      <c r="F19">
        <v>2186</v>
      </c>
      <c r="G19">
        <v>1789</v>
      </c>
      <c r="I19">
        <f t="shared" si="0"/>
        <v>0.34986389928547124</v>
      </c>
      <c r="J19">
        <f t="shared" si="1"/>
        <v>0.3412381733096353</v>
      </c>
      <c r="K19">
        <f t="shared" si="2"/>
        <v>0.35856402540012744</v>
      </c>
    </row>
    <row r="20" spans="1:11" x14ac:dyDescent="0.3">
      <c r="A20">
        <v>2008</v>
      </c>
      <c r="B20">
        <v>10830</v>
      </c>
      <c r="C20">
        <v>3866</v>
      </c>
      <c r="D20">
        <v>3674</v>
      </c>
      <c r="E20">
        <v>2652</v>
      </c>
      <c r="F20">
        <v>2057</v>
      </c>
      <c r="G20">
        <v>1708</v>
      </c>
      <c r="I20">
        <f t="shared" si="0"/>
        <v>0.35697137580794092</v>
      </c>
      <c r="J20">
        <f t="shared" si="1"/>
        <v>0.34794135173079555</v>
      </c>
      <c r="K20">
        <f t="shared" si="2"/>
        <v>0.36607835588413962</v>
      </c>
    </row>
    <row r="21" spans="1:11" x14ac:dyDescent="0.3">
      <c r="A21">
        <v>2009</v>
      </c>
      <c r="B21">
        <v>10579</v>
      </c>
      <c r="C21">
        <v>3724</v>
      </c>
      <c r="D21">
        <v>3553</v>
      </c>
      <c r="E21">
        <v>2553</v>
      </c>
      <c r="F21">
        <v>2010</v>
      </c>
      <c r="G21">
        <v>1662</v>
      </c>
      <c r="I21">
        <f t="shared" si="0"/>
        <v>0.35201814916343699</v>
      </c>
      <c r="J21">
        <f t="shared" si="1"/>
        <v>0.34291163237273237</v>
      </c>
      <c r="K21">
        <f t="shared" si="2"/>
        <v>0.36120618406226146</v>
      </c>
    </row>
    <row r="22" spans="1:11" x14ac:dyDescent="0.3">
      <c r="A22">
        <v>2010</v>
      </c>
      <c r="B22">
        <v>10737</v>
      </c>
      <c r="C22">
        <v>3910</v>
      </c>
      <c r="D22">
        <v>3733</v>
      </c>
      <c r="E22">
        <v>2685</v>
      </c>
      <c r="F22">
        <v>2078</v>
      </c>
      <c r="G22">
        <v>1741</v>
      </c>
      <c r="I22">
        <f t="shared" si="0"/>
        <v>0.36416131135326441</v>
      </c>
      <c r="J22">
        <f t="shared" si="1"/>
        <v>0.35505080452023369</v>
      </c>
      <c r="K22">
        <f t="shared" si="2"/>
        <v>0.37334553862323783</v>
      </c>
    </row>
    <row r="23" spans="1:11" x14ac:dyDescent="0.3">
      <c r="A23">
        <v>2011</v>
      </c>
      <c r="B23">
        <v>12198</v>
      </c>
      <c r="C23">
        <v>4521</v>
      </c>
      <c r="D23">
        <v>4316</v>
      </c>
      <c r="E23">
        <v>3119</v>
      </c>
      <c r="F23">
        <v>2414</v>
      </c>
      <c r="G23">
        <v>2026</v>
      </c>
      <c r="I23">
        <f t="shared" si="0"/>
        <v>0.37063453025086079</v>
      </c>
      <c r="J23">
        <f t="shared" si="1"/>
        <v>0.36205431910344216</v>
      </c>
      <c r="K23">
        <f t="shared" si="2"/>
        <v>0.3792765137199372</v>
      </c>
    </row>
    <row r="24" spans="1:11" x14ac:dyDescent="0.3">
      <c r="A24">
        <v>2012</v>
      </c>
      <c r="B24">
        <v>13483</v>
      </c>
      <c r="C24">
        <v>5008</v>
      </c>
      <c r="D24">
        <v>4763</v>
      </c>
      <c r="E24">
        <v>3463</v>
      </c>
      <c r="F24">
        <v>2682</v>
      </c>
      <c r="G24">
        <v>2258</v>
      </c>
      <c r="I24">
        <f t="shared" si="0"/>
        <v>0.37143069049914706</v>
      </c>
      <c r="J24">
        <f t="shared" si="1"/>
        <v>0.36326621119572061</v>
      </c>
      <c r="K24">
        <f t="shared" si="2"/>
        <v>0.37965069441736055</v>
      </c>
    </row>
    <row r="25" spans="1:11" x14ac:dyDescent="0.3">
      <c r="A25">
        <v>2013</v>
      </c>
      <c r="B25">
        <v>13984</v>
      </c>
      <c r="C25">
        <v>5380</v>
      </c>
      <c r="D25">
        <v>5141</v>
      </c>
      <c r="E25">
        <v>3768</v>
      </c>
      <c r="F25">
        <v>2981</v>
      </c>
      <c r="G25">
        <v>2492</v>
      </c>
      <c r="I25">
        <f t="shared" si="0"/>
        <v>0.3847254004576659</v>
      </c>
      <c r="J25">
        <f t="shared" si="1"/>
        <v>0.3766504784033442</v>
      </c>
      <c r="K25">
        <f t="shared" si="2"/>
        <v>0.39284831511293961</v>
      </c>
    </row>
    <row r="26" spans="1:11" x14ac:dyDescent="0.3">
      <c r="A26">
        <v>2014</v>
      </c>
      <c r="B26">
        <v>12927</v>
      </c>
      <c r="C26">
        <v>4993</v>
      </c>
      <c r="D26">
        <v>4769</v>
      </c>
      <c r="E26">
        <v>3511</v>
      </c>
      <c r="F26">
        <v>2809</v>
      </c>
      <c r="G26">
        <v>2356</v>
      </c>
      <c r="I26">
        <f t="shared" si="0"/>
        <v>0.38624584203604856</v>
      </c>
      <c r="J26">
        <f t="shared" si="1"/>
        <v>0.37784034142817213</v>
      </c>
      <c r="K26">
        <f t="shared" si="2"/>
        <v>0.39470258597531105</v>
      </c>
    </row>
    <row r="27" spans="1:11" x14ac:dyDescent="0.3">
      <c r="A27">
        <v>2015</v>
      </c>
      <c r="B27">
        <v>11502</v>
      </c>
      <c r="C27">
        <v>4590</v>
      </c>
      <c r="D27">
        <v>4376</v>
      </c>
      <c r="E27">
        <v>3261</v>
      </c>
      <c r="F27">
        <v>2614</v>
      </c>
      <c r="G27">
        <v>2213</v>
      </c>
      <c r="I27">
        <f t="shared" si="0"/>
        <v>0.39906103286384975</v>
      </c>
      <c r="J27">
        <f t="shared" si="1"/>
        <v>0.39009460515265976</v>
      </c>
      <c r="K27">
        <f t="shared" si="2"/>
        <v>0.40807858038717981</v>
      </c>
    </row>
    <row r="28" spans="1:11" x14ac:dyDescent="0.3">
      <c r="A28">
        <v>2016</v>
      </c>
      <c r="B28">
        <v>9988</v>
      </c>
      <c r="C28">
        <v>4000</v>
      </c>
      <c r="D28">
        <v>3809</v>
      </c>
      <c r="E28">
        <v>2820</v>
      </c>
      <c r="F28">
        <v>2262</v>
      </c>
      <c r="G28">
        <v>1895</v>
      </c>
      <c r="I28">
        <f t="shared" si="0"/>
        <v>0.40048057669203041</v>
      </c>
      <c r="J28">
        <f t="shared" si="1"/>
        <v>0.39085119435860116</v>
      </c>
      <c r="K28">
        <f t="shared" si="2"/>
        <v>0.41016802548257891</v>
      </c>
    </row>
    <row r="29" spans="1:11" x14ac:dyDescent="0.3">
      <c r="A29">
        <v>2017</v>
      </c>
      <c r="B29">
        <v>9482</v>
      </c>
      <c r="C29">
        <v>3747</v>
      </c>
      <c r="D29">
        <v>3536</v>
      </c>
      <c r="E29">
        <v>2580</v>
      </c>
      <c r="F29">
        <v>2103</v>
      </c>
      <c r="G29">
        <v>1722</v>
      </c>
      <c r="I29">
        <f t="shared" si="0"/>
        <v>0.39516979540181396</v>
      </c>
      <c r="J29">
        <f t="shared" si="1"/>
        <v>0.38531026230502713</v>
      </c>
      <c r="K29">
        <f t="shared" si="2"/>
        <v>0.40509376977463452</v>
      </c>
    </row>
    <row r="30" spans="1:11" x14ac:dyDescent="0.3">
      <c r="A30">
        <v>2018</v>
      </c>
      <c r="B30">
        <v>9557</v>
      </c>
      <c r="C30">
        <v>3708</v>
      </c>
      <c r="D30">
        <v>3503</v>
      </c>
      <c r="E30">
        <v>2607</v>
      </c>
      <c r="F30">
        <v>2109</v>
      </c>
      <c r="G30">
        <v>1746</v>
      </c>
      <c r="I30">
        <f t="shared" si="0"/>
        <v>0.38798786229988491</v>
      </c>
      <c r="J30">
        <f t="shared" si="1"/>
        <v>0.37820132932200656</v>
      </c>
      <c r="K30">
        <f t="shared" si="2"/>
        <v>0.39784271083560174</v>
      </c>
    </row>
    <row r="31" spans="1:11" x14ac:dyDescent="0.3">
      <c r="A31">
        <v>2019</v>
      </c>
      <c r="B31">
        <v>9701</v>
      </c>
      <c r="C31">
        <v>3660</v>
      </c>
      <c r="D31">
        <v>3478</v>
      </c>
      <c r="E31">
        <v>2580</v>
      </c>
      <c r="F31">
        <v>2079</v>
      </c>
      <c r="G31">
        <v>1726</v>
      </c>
      <c r="I31">
        <f t="shared" si="0"/>
        <v>0.37728069271209153</v>
      </c>
      <c r="J31">
        <f t="shared" si="1"/>
        <v>0.36762183916922025</v>
      </c>
      <c r="K31">
        <f t="shared" si="2"/>
        <v>0.38701328010487412</v>
      </c>
    </row>
    <row r="32" spans="1:11" x14ac:dyDescent="0.3">
      <c r="A32">
        <v>2020</v>
      </c>
      <c r="B32">
        <v>8039</v>
      </c>
      <c r="C32">
        <v>2855</v>
      </c>
      <c r="D32">
        <v>2736</v>
      </c>
      <c r="E32">
        <v>2013</v>
      </c>
      <c r="F32">
        <v>1625</v>
      </c>
      <c r="G32">
        <v>1348</v>
      </c>
      <c r="I32">
        <f t="shared" si="0"/>
        <v>0.35514367458639134</v>
      </c>
      <c r="J32">
        <f t="shared" si="1"/>
        <v>0.34467437339480178</v>
      </c>
      <c r="K32">
        <f t="shared" si="2"/>
        <v>0.36571808355495716</v>
      </c>
    </row>
    <row r="33" spans="1:11" x14ac:dyDescent="0.3">
      <c r="A33">
        <v>2021</v>
      </c>
      <c r="B33">
        <v>7713</v>
      </c>
      <c r="C33">
        <v>2678</v>
      </c>
      <c r="D33">
        <v>2545</v>
      </c>
      <c r="E33">
        <v>1882</v>
      </c>
      <c r="F33">
        <v>1531</v>
      </c>
      <c r="G33">
        <v>1268</v>
      </c>
      <c r="I33">
        <f t="shared" si="0"/>
        <v>0.34720601581745103</v>
      </c>
      <c r="J33">
        <f t="shared" si="1"/>
        <v>0.33657584230379223</v>
      </c>
      <c r="K33">
        <f t="shared" si="2"/>
        <v>0.3579517653180434</v>
      </c>
    </row>
    <row r="34" spans="1:11" x14ac:dyDescent="0.3">
      <c r="A34">
        <v>2022</v>
      </c>
      <c r="B34">
        <v>5699</v>
      </c>
      <c r="C34">
        <v>2016</v>
      </c>
      <c r="D34">
        <v>1905</v>
      </c>
      <c r="E34">
        <v>1420</v>
      </c>
      <c r="F34">
        <v>1210</v>
      </c>
      <c r="G34">
        <v>1017</v>
      </c>
      <c r="I34">
        <f t="shared" si="0"/>
        <v>0.35374627127566238</v>
      </c>
      <c r="J34">
        <f t="shared" si="1"/>
        <v>0.3413224802330283</v>
      </c>
      <c r="K34">
        <f t="shared" si="2"/>
        <v>0.36631996606190032</v>
      </c>
    </row>
    <row r="35" spans="1:11" x14ac:dyDescent="0.3">
      <c r="A35">
        <v>2023</v>
      </c>
      <c r="B35">
        <v>4691</v>
      </c>
      <c r="C35">
        <v>1640</v>
      </c>
      <c r="D35">
        <v>1550</v>
      </c>
      <c r="E35">
        <v>1150</v>
      </c>
      <c r="F35">
        <v>954</v>
      </c>
      <c r="G35">
        <v>789</v>
      </c>
      <c r="I35">
        <f t="shared" si="0"/>
        <v>0.34960562779791088</v>
      </c>
      <c r="J35">
        <f t="shared" si="1"/>
        <v>0.33595054967368138</v>
      </c>
      <c r="K35">
        <f t="shared" si="2"/>
        <v>0.36344814821995519</v>
      </c>
    </row>
    <row r="36" spans="1:11" x14ac:dyDescent="0.3">
      <c r="A36">
        <v>2024</v>
      </c>
      <c r="B36">
        <v>4351</v>
      </c>
      <c r="C36">
        <v>1351</v>
      </c>
      <c r="D36">
        <v>1258</v>
      </c>
      <c r="E36">
        <v>921</v>
      </c>
      <c r="F36">
        <v>775</v>
      </c>
      <c r="G36">
        <v>638</v>
      </c>
      <c r="I36">
        <f t="shared" si="0"/>
        <v>0.3105033325672259</v>
      </c>
      <c r="J36">
        <f t="shared" si="1"/>
        <v>0.29677095761165967</v>
      </c>
      <c r="K36">
        <f t="shared" si="2"/>
        <v>0.32449051539789731</v>
      </c>
    </row>
    <row r="37" spans="1:11" x14ac:dyDescent="0.3">
      <c r="A37">
        <v>2025</v>
      </c>
      <c r="B37">
        <v>2848</v>
      </c>
      <c r="C37">
        <v>869</v>
      </c>
      <c r="D37">
        <v>832</v>
      </c>
      <c r="E37">
        <v>614</v>
      </c>
      <c r="F37">
        <v>517</v>
      </c>
      <c r="G37">
        <v>442</v>
      </c>
      <c r="I37">
        <f t="shared" si="0"/>
        <v>0.305126404494382</v>
      </c>
      <c r="J37">
        <f t="shared" si="1"/>
        <v>0.28824710736303694</v>
      </c>
      <c r="K37">
        <f t="shared" si="2"/>
        <v>0.32240700892148733</v>
      </c>
    </row>
    <row r="38" spans="1:11" x14ac:dyDescent="0.3">
      <c r="A38" t="s">
        <v>7</v>
      </c>
      <c r="B38">
        <f t="shared" ref="B38:G38" si="3">SUM(B2:B37)</f>
        <v>333103</v>
      </c>
      <c r="C38">
        <f t="shared" si="3"/>
        <v>109310</v>
      </c>
      <c r="D38">
        <f t="shared" si="3"/>
        <v>104591</v>
      </c>
      <c r="E38">
        <f t="shared" si="3"/>
        <v>76443</v>
      </c>
      <c r="F38">
        <f t="shared" si="3"/>
        <v>59225</v>
      </c>
      <c r="G38">
        <f t="shared" si="3"/>
        <v>49279</v>
      </c>
    </row>
    <row r="39" spans="1:11" x14ac:dyDescent="0.3">
      <c r="A39" t="s">
        <v>8</v>
      </c>
      <c r="B39">
        <f>MAX(B2:B37)</f>
        <v>13984</v>
      </c>
      <c r="C39">
        <f t="shared" ref="C39:G39" si="4">MAX(C2:C37)</f>
        <v>5380</v>
      </c>
      <c r="D39">
        <f t="shared" si="4"/>
        <v>5141</v>
      </c>
      <c r="E39">
        <f t="shared" si="4"/>
        <v>3768</v>
      </c>
      <c r="F39">
        <f t="shared" si="4"/>
        <v>2981</v>
      </c>
      <c r="G39">
        <f t="shared" si="4"/>
        <v>2492</v>
      </c>
    </row>
    <row r="40" spans="1:11" x14ac:dyDescent="0.3">
      <c r="A40" t="s">
        <v>9</v>
      </c>
      <c r="B40">
        <f>MIN(B2:B37)</f>
        <v>2848</v>
      </c>
      <c r="C40">
        <f t="shared" ref="C40:G40" si="5">MIN(C2:C37)</f>
        <v>746</v>
      </c>
      <c r="D40">
        <f t="shared" si="5"/>
        <v>731</v>
      </c>
      <c r="E40">
        <f t="shared" si="5"/>
        <v>519</v>
      </c>
      <c r="F40">
        <f t="shared" si="5"/>
        <v>351</v>
      </c>
      <c r="G40">
        <f t="shared" si="5"/>
        <v>295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K40"/>
  <sheetViews>
    <sheetView zoomScale="70" zoomScaleNormal="70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214</v>
      </c>
      <c r="C2">
        <v>30</v>
      </c>
      <c r="D2">
        <v>27</v>
      </c>
      <c r="E2">
        <v>21</v>
      </c>
      <c r="F2">
        <v>17</v>
      </c>
      <c r="G2">
        <v>11</v>
      </c>
      <c r="I2">
        <f t="shared" ref="I2:I37" si="0">C2/B2</f>
        <v>0.14018691588785046</v>
      </c>
      <c r="J2">
        <f t="shared" ref="J2:J37" si="1">IF(C2=0, 0, _xlfn.BETA.INV(0.025, C2, B2-C2+1))</f>
        <v>9.6623902504791623E-2</v>
      </c>
      <c r="K2">
        <f t="shared" ref="K2:K37" si="2">IF(C2=B2, 1, _xlfn.BETA.INV(0.975, C2+1, B2-C2))</f>
        <v>0.19403966711469078</v>
      </c>
    </row>
    <row r="3" spans="1:11" x14ac:dyDescent="0.3">
      <c r="A3">
        <v>1991</v>
      </c>
      <c r="B3">
        <v>268</v>
      </c>
      <c r="C3">
        <v>35</v>
      </c>
      <c r="D3">
        <v>31</v>
      </c>
      <c r="E3">
        <v>26</v>
      </c>
      <c r="F3">
        <v>19</v>
      </c>
      <c r="G3">
        <v>18</v>
      </c>
      <c r="I3">
        <f t="shared" si="0"/>
        <v>0.13059701492537312</v>
      </c>
      <c r="J3">
        <f t="shared" si="1"/>
        <v>9.2678865549099071E-2</v>
      </c>
      <c r="K3">
        <f t="shared" si="2"/>
        <v>0.1769231631655751</v>
      </c>
    </row>
    <row r="4" spans="1:11" x14ac:dyDescent="0.3">
      <c r="A4">
        <v>1992</v>
      </c>
      <c r="B4">
        <v>304</v>
      </c>
      <c r="C4">
        <v>41</v>
      </c>
      <c r="D4">
        <v>36</v>
      </c>
      <c r="E4">
        <v>30</v>
      </c>
      <c r="F4">
        <v>26</v>
      </c>
      <c r="G4">
        <v>22</v>
      </c>
      <c r="I4">
        <f t="shared" si="0"/>
        <v>0.13486842105263158</v>
      </c>
      <c r="J4">
        <f t="shared" si="1"/>
        <v>9.8552070742216086E-2</v>
      </c>
      <c r="K4">
        <f t="shared" si="2"/>
        <v>0.17848675863583063</v>
      </c>
    </row>
    <row r="5" spans="1:11" x14ac:dyDescent="0.3">
      <c r="A5">
        <v>1993</v>
      </c>
      <c r="B5">
        <v>274</v>
      </c>
      <c r="C5">
        <v>59</v>
      </c>
      <c r="D5">
        <v>57</v>
      </c>
      <c r="E5">
        <v>45</v>
      </c>
      <c r="F5">
        <v>35</v>
      </c>
      <c r="G5">
        <v>31</v>
      </c>
      <c r="I5">
        <f t="shared" si="0"/>
        <v>0.21532846715328466</v>
      </c>
      <c r="J5">
        <f t="shared" si="1"/>
        <v>0.16814823025179487</v>
      </c>
      <c r="K5">
        <f t="shared" si="2"/>
        <v>0.26878166800352632</v>
      </c>
    </row>
    <row r="6" spans="1:11" x14ac:dyDescent="0.3">
      <c r="A6">
        <v>1994</v>
      </c>
      <c r="B6">
        <v>348</v>
      </c>
      <c r="C6">
        <v>62</v>
      </c>
      <c r="D6">
        <v>57</v>
      </c>
      <c r="E6">
        <v>46</v>
      </c>
      <c r="F6">
        <v>39</v>
      </c>
      <c r="G6">
        <v>35</v>
      </c>
      <c r="I6">
        <f t="shared" si="0"/>
        <v>0.17816091954022989</v>
      </c>
      <c r="J6">
        <f t="shared" si="1"/>
        <v>0.13940916115482527</v>
      </c>
      <c r="K6">
        <f t="shared" si="2"/>
        <v>0.22249108048928279</v>
      </c>
    </row>
    <row r="7" spans="1:11" x14ac:dyDescent="0.3">
      <c r="A7">
        <v>1995</v>
      </c>
      <c r="B7">
        <v>395</v>
      </c>
      <c r="C7">
        <v>87</v>
      </c>
      <c r="D7">
        <v>80</v>
      </c>
      <c r="E7">
        <v>60</v>
      </c>
      <c r="F7">
        <v>48</v>
      </c>
      <c r="G7">
        <v>37</v>
      </c>
      <c r="I7">
        <f t="shared" si="0"/>
        <v>0.22025316455696203</v>
      </c>
      <c r="J7">
        <f t="shared" si="1"/>
        <v>0.18034745291766788</v>
      </c>
      <c r="K7">
        <f t="shared" si="2"/>
        <v>0.26440820851002211</v>
      </c>
    </row>
    <row r="8" spans="1:11" x14ac:dyDescent="0.3">
      <c r="A8">
        <v>1996</v>
      </c>
      <c r="B8">
        <v>445</v>
      </c>
      <c r="C8">
        <v>93</v>
      </c>
      <c r="D8">
        <v>88</v>
      </c>
      <c r="E8">
        <v>62</v>
      </c>
      <c r="F8">
        <v>48</v>
      </c>
      <c r="G8">
        <v>42</v>
      </c>
      <c r="I8">
        <f t="shared" si="0"/>
        <v>0.20898876404494382</v>
      </c>
      <c r="J8">
        <f t="shared" si="1"/>
        <v>0.17213026810113091</v>
      </c>
      <c r="K8">
        <f t="shared" si="2"/>
        <v>0.24976672307667713</v>
      </c>
    </row>
    <row r="9" spans="1:11" x14ac:dyDescent="0.3">
      <c r="A9">
        <v>1997</v>
      </c>
      <c r="B9">
        <v>548</v>
      </c>
      <c r="C9">
        <v>116</v>
      </c>
      <c r="D9">
        <v>110</v>
      </c>
      <c r="E9">
        <v>79</v>
      </c>
      <c r="F9">
        <v>70</v>
      </c>
      <c r="G9">
        <v>58</v>
      </c>
      <c r="I9">
        <f t="shared" si="0"/>
        <v>0.21167883211678831</v>
      </c>
      <c r="J9">
        <f t="shared" si="1"/>
        <v>0.17819653704329938</v>
      </c>
      <c r="K9">
        <f t="shared" si="2"/>
        <v>0.24830450561585682</v>
      </c>
    </row>
    <row r="10" spans="1:11" x14ac:dyDescent="0.3">
      <c r="A10">
        <v>1998</v>
      </c>
      <c r="B10">
        <v>588</v>
      </c>
      <c r="C10">
        <v>108</v>
      </c>
      <c r="D10">
        <v>93</v>
      </c>
      <c r="E10">
        <v>73</v>
      </c>
      <c r="F10">
        <v>63</v>
      </c>
      <c r="G10">
        <v>57</v>
      </c>
      <c r="I10">
        <f t="shared" si="0"/>
        <v>0.18367346938775511</v>
      </c>
      <c r="J10">
        <f t="shared" si="1"/>
        <v>0.15317915427431136</v>
      </c>
      <c r="K10">
        <f t="shared" si="2"/>
        <v>0.2173844135251275</v>
      </c>
    </row>
    <row r="11" spans="1:11" x14ac:dyDescent="0.3">
      <c r="A11">
        <v>1999</v>
      </c>
      <c r="B11">
        <v>681</v>
      </c>
      <c r="C11">
        <v>124</v>
      </c>
      <c r="D11">
        <v>120</v>
      </c>
      <c r="E11">
        <v>94</v>
      </c>
      <c r="F11">
        <v>78</v>
      </c>
      <c r="G11">
        <v>72</v>
      </c>
      <c r="I11">
        <f t="shared" si="0"/>
        <v>0.18208516886930984</v>
      </c>
      <c r="J11">
        <f t="shared" si="1"/>
        <v>0.15379529101678349</v>
      </c>
      <c r="K11">
        <f t="shared" si="2"/>
        <v>0.21316092816491239</v>
      </c>
    </row>
    <row r="12" spans="1:11" x14ac:dyDescent="0.3">
      <c r="A12">
        <v>2000</v>
      </c>
      <c r="B12">
        <v>793</v>
      </c>
      <c r="C12">
        <v>173</v>
      </c>
      <c r="D12">
        <v>160</v>
      </c>
      <c r="E12">
        <v>130</v>
      </c>
      <c r="F12">
        <v>112</v>
      </c>
      <c r="G12">
        <v>94</v>
      </c>
      <c r="I12">
        <f t="shared" si="0"/>
        <v>0.21815889029003782</v>
      </c>
      <c r="J12">
        <f t="shared" si="1"/>
        <v>0.1898752224063221</v>
      </c>
      <c r="K12">
        <f t="shared" si="2"/>
        <v>0.24855516555470492</v>
      </c>
    </row>
    <row r="13" spans="1:11" x14ac:dyDescent="0.3">
      <c r="A13">
        <v>2001</v>
      </c>
      <c r="B13">
        <v>861</v>
      </c>
      <c r="C13">
        <v>163</v>
      </c>
      <c r="D13">
        <v>140</v>
      </c>
      <c r="E13">
        <v>118</v>
      </c>
      <c r="F13">
        <v>95</v>
      </c>
      <c r="G13">
        <v>85</v>
      </c>
      <c r="I13">
        <f t="shared" si="0"/>
        <v>0.18931475029036005</v>
      </c>
      <c r="J13">
        <f t="shared" si="1"/>
        <v>0.16366565032226715</v>
      </c>
      <c r="K13">
        <f t="shared" si="2"/>
        <v>0.21710974000366956</v>
      </c>
    </row>
    <row r="14" spans="1:11" x14ac:dyDescent="0.3">
      <c r="A14">
        <v>2002</v>
      </c>
      <c r="B14">
        <v>1011</v>
      </c>
      <c r="C14">
        <v>209</v>
      </c>
      <c r="D14">
        <v>191</v>
      </c>
      <c r="E14">
        <v>151</v>
      </c>
      <c r="F14">
        <v>126</v>
      </c>
      <c r="G14">
        <v>111</v>
      </c>
      <c r="I14">
        <f t="shared" si="0"/>
        <v>0.20672601384767555</v>
      </c>
      <c r="J14">
        <f t="shared" si="1"/>
        <v>0.18215239662426061</v>
      </c>
      <c r="K14">
        <f t="shared" si="2"/>
        <v>0.23301999557920283</v>
      </c>
    </row>
    <row r="15" spans="1:11" x14ac:dyDescent="0.3">
      <c r="A15">
        <v>2003</v>
      </c>
      <c r="B15">
        <v>1234</v>
      </c>
      <c r="C15">
        <v>310</v>
      </c>
      <c r="D15">
        <v>268</v>
      </c>
      <c r="E15">
        <v>205</v>
      </c>
      <c r="F15">
        <v>168</v>
      </c>
      <c r="G15">
        <v>138</v>
      </c>
      <c r="I15">
        <f t="shared" si="0"/>
        <v>0.25121555915721233</v>
      </c>
      <c r="J15">
        <f t="shared" si="1"/>
        <v>0.22722781699218106</v>
      </c>
      <c r="K15">
        <f t="shared" si="2"/>
        <v>0.27639462544724125</v>
      </c>
    </row>
    <row r="16" spans="1:11" x14ac:dyDescent="0.3">
      <c r="A16">
        <v>2004</v>
      </c>
      <c r="B16">
        <v>1533</v>
      </c>
      <c r="C16">
        <v>340</v>
      </c>
      <c r="D16">
        <v>291</v>
      </c>
      <c r="E16">
        <v>228</v>
      </c>
      <c r="F16">
        <v>197</v>
      </c>
      <c r="G16">
        <v>156</v>
      </c>
      <c r="I16">
        <f t="shared" si="0"/>
        <v>0.2217873450750163</v>
      </c>
      <c r="J16">
        <f t="shared" si="1"/>
        <v>0.20121316407909706</v>
      </c>
      <c r="K16">
        <f t="shared" si="2"/>
        <v>0.24343272059445109</v>
      </c>
    </row>
    <row r="17" spans="1:11" x14ac:dyDescent="0.3">
      <c r="A17">
        <v>2005</v>
      </c>
      <c r="B17">
        <v>2041</v>
      </c>
      <c r="C17">
        <v>485</v>
      </c>
      <c r="D17">
        <v>429</v>
      </c>
      <c r="E17">
        <v>350</v>
      </c>
      <c r="F17">
        <v>300</v>
      </c>
      <c r="G17">
        <v>248</v>
      </c>
      <c r="I17">
        <f t="shared" si="0"/>
        <v>0.23762861342479177</v>
      </c>
      <c r="J17">
        <f t="shared" si="1"/>
        <v>0.21930557731661871</v>
      </c>
      <c r="K17">
        <f t="shared" si="2"/>
        <v>0.25670824820887395</v>
      </c>
    </row>
    <row r="18" spans="1:11" x14ac:dyDescent="0.3">
      <c r="A18">
        <v>2006</v>
      </c>
      <c r="B18">
        <v>2432</v>
      </c>
      <c r="C18">
        <v>573</v>
      </c>
      <c r="D18">
        <v>511</v>
      </c>
      <c r="E18">
        <v>402</v>
      </c>
      <c r="F18">
        <v>332</v>
      </c>
      <c r="G18">
        <v>282</v>
      </c>
      <c r="I18">
        <f t="shared" si="0"/>
        <v>0.23560855263157895</v>
      </c>
      <c r="J18">
        <f t="shared" si="1"/>
        <v>0.218863071071421</v>
      </c>
      <c r="K18">
        <f t="shared" si="2"/>
        <v>0.25299306766005758</v>
      </c>
    </row>
    <row r="19" spans="1:11" x14ac:dyDescent="0.3">
      <c r="A19">
        <v>2007</v>
      </c>
      <c r="B19">
        <v>2742</v>
      </c>
      <c r="C19">
        <v>736</v>
      </c>
      <c r="D19">
        <v>649</v>
      </c>
      <c r="E19">
        <v>533</v>
      </c>
      <c r="F19">
        <v>469</v>
      </c>
      <c r="G19">
        <v>404</v>
      </c>
      <c r="I19">
        <f t="shared" si="0"/>
        <v>0.26841721371261851</v>
      </c>
      <c r="J19">
        <f t="shared" si="1"/>
        <v>0.25190279894976236</v>
      </c>
      <c r="K19">
        <f t="shared" si="2"/>
        <v>0.28542735037741562</v>
      </c>
    </row>
    <row r="20" spans="1:11" x14ac:dyDescent="0.3">
      <c r="A20">
        <v>2008</v>
      </c>
      <c r="B20">
        <v>3057</v>
      </c>
      <c r="C20">
        <v>855</v>
      </c>
      <c r="D20">
        <v>752</v>
      </c>
      <c r="E20">
        <v>622</v>
      </c>
      <c r="F20">
        <v>534</v>
      </c>
      <c r="G20">
        <v>453</v>
      </c>
      <c r="I20">
        <f t="shared" si="0"/>
        <v>0.27968596663395484</v>
      </c>
      <c r="J20">
        <f t="shared" si="1"/>
        <v>0.26382839654291351</v>
      </c>
      <c r="K20">
        <f t="shared" si="2"/>
        <v>0.29596617468827369</v>
      </c>
    </row>
    <row r="21" spans="1:11" x14ac:dyDescent="0.3">
      <c r="A21">
        <v>2009</v>
      </c>
      <c r="B21">
        <v>3648</v>
      </c>
      <c r="C21">
        <v>1091</v>
      </c>
      <c r="D21">
        <v>967</v>
      </c>
      <c r="E21">
        <v>790</v>
      </c>
      <c r="F21">
        <v>684</v>
      </c>
      <c r="G21">
        <v>576</v>
      </c>
      <c r="I21">
        <f t="shared" si="0"/>
        <v>0.29906798245614036</v>
      </c>
      <c r="J21">
        <f t="shared" si="1"/>
        <v>0.28423931995794177</v>
      </c>
      <c r="K21">
        <f t="shared" si="2"/>
        <v>0.31421923862301115</v>
      </c>
    </row>
    <row r="22" spans="1:11" x14ac:dyDescent="0.3">
      <c r="A22">
        <v>2010</v>
      </c>
      <c r="B22">
        <v>4510</v>
      </c>
      <c r="C22">
        <v>1430</v>
      </c>
      <c r="D22">
        <v>1257</v>
      </c>
      <c r="E22">
        <v>1023</v>
      </c>
      <c r="F22">
        <v>879</v>
      </c>
      <c r="G22">
        <v>752</v>
      </c>
      <c r="I22">
        <f t="shared" si="0"/>
        <v>0.31707317073170732</v>
      </c>
      <c r="J22">
        <f t="shared" si="1"/>
        <v>0.30350350087761635</v>
      </c>
      <c r="K22">
        <f t="shared" si="2"/>
        <v>0.33088008502340738</v>
      </c>
    </row>
    <row r="23" spans="1:11" x14ac:dyDescent="0.3">
      <c r="A23">
        <v>2011</v>
      </c>
      <c r="B23">
        <v>5800</v>
      </c>
      <c r="C23">
        <v>1902</v>
      </c>
      <c r="D23">
        <v>1694</v>
      </c>
      <c r="E23">
        <v>1383</v>
      </c>
      <c r="F23">
        <v>1167</v>
      </c>
      <c r="G23">
        <v>1005</v>
      </c>
      <c r="I23">
        <f t="shared" si="0"/>
        <v>0.32793103448275862</v>
      </c>
      <c r="J23">
        <f t="shared" si="1"/>
        <v>0.31585204645948034</v>
      </c>
      <c r="K23">
        <f t="shared" si="2"/>
        <v>0.34018333063521344</v>
      </c>
    </row>
    <row r="24" spans="1:11" x14ac:dyDescent="0.3">
      <c r="A24">
        <v>2012</v>
      </c>
      <c r="B24">
        <v>7729</v>
      </c>
      <c r="C24">
        <v>2628</v>
      </c>
      <c r="D24">
        <v>2333</v>
      </c>
      <c r="E24">
        <v>1913</v>
      </c>
      <c r="F24">
        <v>1626</v>
      </c>
      <c r="G24">
        <v>1401</v>
      </c>
      <c r="I24">
        <f t="shared" si="0"/>
        <v>0.34001811359813688</v>
      </c>
      <c r="J24">
        <f t="shared" si="1"/>
        <v>0.32945442034369149</v>
      </c>
      <c r="K24">
        <f t="shared" si="2"/>
        <v>0.35070257323698162</v>
      </c>
    </row>
    <row r="25" spans="1:11" x14ac:dyDescent="0.3">
      <c r="A25">
        <v>2013</v>
      </c>
      <c r="B25">
        <v>9546</v>
      </c>
      <c r="C25">
        <v>3439</v>
      </c>
      <c r="D25">
        <v>3048</v>
      </c>
      <c r="E25">
        <v>2501</v>
      </c>
      <c r="F25">
        <v>2157</v>
      </c>
      <c r="G25">
        <v>1834</v>
      </c>
      <c r="I25">
        <f t="shared" si="0"/>
        <v>0.36025560444165095</v>
      </c>
      <c r="J25">
        <f t="shared" si="1"/>
        <v>0.35061663930178438</v>
      </c>
      <c r="K25">
        <f t="shared" si="2"/>
        <v>0.36997990642775724</v>
      </c>
    </row>
    <row r="26" spans="1:11" x14ac:dyDescent="0.3">
      <c r="A26">
        <v>2014</v>
      </c>
      <c r="B26">
        <v>11132</v>
      </c>
      <c r="C26">
        <v>4122</v>
      </c>
      <c r="D26">
        <v>3678</v>
      </c>
      <c r="E26">
        <v>3021</v>
      </c>
      <c r="F26">
        <v>2558</v>
      </c>
      <c r="G26">
        <v>2209</v>
      </c>
      <c r="I26">
        <f t="shared" si="0"/>
        <v>0.37028386633129717</v>
      </c>
      <c r="J26">
        <f t="shared" si="1"/>
        <v>0.36130366226250621</v>
      </c>
      <c r="K26">
        <f t="shared" si="2"/>
        <v>0.37933196075696307</v>
      </c>
    </row>
    <row r="27" spans="1:11" x14ac:dyDescent="0.3">
      <c r="A27">
        <v>2015</v>
      </c>
      <c r="B27">
        <v>12379</v>
      </c>
      <c r="C27">
        <v>4709</v>
      </c>
      <c r="D27">
        <v>4200</v>
      </c>
      <c r="E27">
        <v>3470</v>
      </c>
      <c r="F27">
        <v>2932</v>
      </c>
      <c r="G27">
        <v>2548</v>
      </c>
      <c r="I27">
        <f t="shared" si="0"/>
        <v>0.38040229420793281</v>
      </c>
      <c r="J27">
        <f t="shared" si="1"/>
        <v>0.37183857875279069</v>
      </c>
      <c r="K27">
        <f t="shared" si="2"/>
        <v>0.38902227853797566</v>
      </c>
    </row>
    <row r="28" spans="1:11" x14ac:dyDescent="0.3">
      <c r="A28">
        <v>2016</v>
      </c>
      <c r="B28">
        <v>12998</v>
      </c>
      <c r="C28">
        <v>4834</v>
      </c>
      <c r="D28">
        <v>4358</v>
      </c>
      <c r="E28">
        <v>3634</v>
      </c>
      <c r="F28">
        <v>3137</v>
      </c>
      <c r="G28">
        <v>2749</v>
      </c>
      <c r="I28">
        <f t="shared" si="0"/>
        <v>0.37190336974919219</v>
      </c>
      <c r="J28">
        <f t="shared" si="1"/>
        <v>0.36358555440234974</v>
      </c>
      <c r="K28">
        <f t="shared" si="2"/>
        <v>0.38027857578682145</v>
      </c>
    </row>
    <row r="29" spans="1:11" x14ac:dyDescent="0.3">
      <c r="A29">
        <v>2017</v>
      </c>
      <c r="B29">
        <v>13709</v>
      </c>
      <c r="C29">
        <v>5184</v>
      </c>
      <c r="D29">
        <v>4655</v>
      </c>
      <c r="E29">
        <v>3866</v>
      </c>
      <c r="F29">
        <v>3327</v>
      </c>
      <c r="G29">
        <v>2887</v>
      </c>
      <c r="I29">
        <f t="shared" si="0"/>
        <v>0.37814574367204029</v>
      </c>
      <c r="J29">
        <f t="shared" si="1"/>
        <v>0.37001840756917231</v>
      </c>
      <c r="K29">
        <f t="shared" si="2"/>
        <v>0.38632483328403655</v>
      </c>
    </row>
    <row r="30" spans="1:11" x14ac:dyDescent="0.3">
      <c r="A30">
        <v>2018</v>
      </c>
      <c r="B30">
        <v>14548</v>
      </c>
      <c r="C30">
        <v>5559</v>
      </c>
      <c r="D30">
        <v>4970</v>
      </c>
      <c r="E30">
        <v>4055</v>
      </c>
      <c r="F30">
        <v>3475</v>
      </c>
      <c r="G30">
        <v>3059</v>
      </c>
      <c r="I30">
        <f t="shared" si="0"/>
        <v>0.38211437998350289</v>
      </c>
      <c r="J30">
        <f t="shared" si="1"/>
        <v>0.37420842110870239</v>
      </c>
      <c r="K30">
        <f t="shared" si="2"/>
        <v>0.39006751093974856</v>
      </c>
    </row>
    <row r="31" spans="1:11" x14ac:dyDescent="0.3">
      <c r="A31">
        <v>2019</v>
      </c>
      <c r="B31">
        <v>16283</v>
      </c>
      <c r="C31">
        <v>6204</v>
      </c>
      <c r="D31">
        <v>5593</v>
      </c>
      <c r="E31">
        <v>4599</v>
      </c>
      <c r="F31">
        <v>3907</v>
      </c>
      <c r="G31">
        <v>3491</v>
      </c>
      <c r="I31">
        <f t="shared" si="0"/>
        <v>0.38101087023275809</v>
      </c>
      <c r="J31">
        <f t="shared" si="1"/>
        <v>0.37354278940715863</v>
      </c>
      <c r="K31">
        <f t="shared" si="2"/>
        <v>0.38852147859211916</v>
      </c>
    </row>
    <row r="32" spans="1:11" x14ac:dyDescent="0.3">
      <c r="A32">
        <v>2020</v>
      </c>
      <c r="B32">
        <v>19660</v>
      </c>
      <c r="C32">
        <v>7517</v>
      </c>
      <c r="D32">
        <v>6773</v>
      </c>
      <c r="E32">
        <v>5602</v>
      </c>
      <c r="F32">
        <v>4744</v>
      </c>
      <c r="G32">
        <v>4200</v>
      </c>
      <c r="I32">
        <f t="shared" si="0"/>
        <v>0.38234994913530013</v>
      </c>
      <c r="J32">
        <f t="shared" si="1"/>
        <v>0.37554938547987515</v>
      </c>
      <c r="K32">
        <f t="shared" si="2"/>
        <v>0.38918532244468518</v>
      </c>
    </row>
    <row r="33" spans="1:11" x14ac:dyDescent="0.3">
      <c r="A33">
        <v>2021</v>
      </c>
      <c r="B33">
        <v>22723</v>
      </c>
      <c r="C33">
        <v>8675</v>
      </c>
      <c r="D33">
        <v>7836</v>
      </c>
      <c r="E33">
        <v>6459</v>
      </c>
      <c r="F33">
        <v>5489</v>
      </c>
      <c r="G33">
        <v>4861</v>
      </c>
      <c r="I33">
        <f t="shared" si="0"/>
        <v>0.38177177309334154</v>
      </c>
      <c r="J33">
        <f t="shared" si="1"/>
        <v>0.37544850588590434</v>
      </c>
      <c r="K33">
        <f t="shared" si="2"/>
        <v>0.38812529564187825</v>
      </c>
    </row>
    <row r="34" spans="1:11" x14ac:dyDescent="0.3">
      <c r="A34">
        <v>2022</v>
      </c>
      <c r="B34">
        <v>23300</v>
      </c>
      <c r="C34">
        <v>9009</v>
      </c>
      <c r="D34">
        <v>8171</v>
      </c>
      <c r="E34">
        <v>6714</v>
      </c>
      <c r="F34">
        <v>5659</v>
      </c>
      <c r="G34">
        <v>5039</v>
      </c>
      <c r="I34">
        <f t="shared" si="0"/>
        <v>0.38665236051502144</v>
      </c>
      <c r="J34">
        <f t="shared" si="1"/>
        <v>0.3803924288802783</v>
      </c>
      <c r="K34">
        <f t="shared" si="2"/>
        <v>0.39294057832861917</v>
      </c>
    </row>
    <row r="35" spans="1:11" x14ac:dyDescent="0.3">
      <c r="A35">
        <v>2023</v>
      </c>
      <c r="B35">
        <v>22483</v>
      </c>
      <c r="C35">
        <v>8737</v>
      </c>
      <c r="D35">
        <v>7956</v>
      </c>
      <c r="E35">
        <v>6550</v>
      </c>
      <c r="F35">
        <v>5431</v>
      </c>
      <c r="G35">
        <v>4862</v>
      </c>
      <c r="I35">
        <f t="shared" si="0"/>
        <v>0.38860472356891873</v>
      </c>
      <c r="J35">
        <f t="shared" si="1"/>
        <v>0.38222580932165834</v>
      </c>
      <c r="K35">
        <f t="shared" si="2"/>
        <v>0.39501244910905231</v>
      </c>
    </row>
    <row r="36" spans="1:11" x14ac:dyDescent="0.3">
      <c r="A36">
        <v>2024</v>
      </c>
      <c r="B36">
        <v>23544</v>
      </c>
      <c r="C36">
        <v>9418</v>
      </c>
      <c r="D36">
        <v>8653</v>
      </c>
      <c r="E36">
        <v>7166</v>
      </c>
      <c r="F36">
        <v>5814</v>
      </c>
      <c r="G36">
        <v>5190</v>
      </c>
      <c r="I36">
        <f t="shared" si="0"/>
        <v>0.40001698946653075</v>
      </c>
      <c r="J36">
        <f t="shared" si="1"/>
        <v>0.39375068764612875</v>
      </c>
      <c r="K36">
        <f t="shared" si="2"/>
        <v>0.40630798248381039</v>
      </c>
    </row>
    <row r="37" spans="1:11" x14ac:dyDescent="0.3">
      <c r="A37">
        <v>2025</v>
      </c>
      <c r="B37">
        <v>14518</v>
      </c>
      <c r="C37">
        <v>5955</v>
      </c>
      <c r="D37">
        <v>5445</v>
      </c>
      <c r="E37">
        <v>4464</v>
      </c>
      <c r="F37">
        <v>3573</v>
      </c>
      <c r="G37">
        <v>3200</v>
      </c>
      <c r="I37">
        <f t="shared" si="0"/>
        <v>0.4101804656288745</v>
      </c>
      <c r="J37">
        <f t="shared" si="1"/>
        <v>0.40216374054403786</v>
      </c>
      <c r="K37">
        <f t="shared" si="2"/>
        <v>0.4182332040917861</v>
      </c>
    </row>
    <row r="38" spans="1:11" x14ac:dyDescent="0.3">
      <c r="A38" t="s">
        <v>7</v>
      </c>
      <c r="B38">
        <f t="shared" ref="B38:G38" si="3">SUM(B2:B37)</f>
        <v>258279</v>
      </c>
      <c r="C38">
        <f t="shared" si="3"/>
        <v>95012</v>
      </c>
      <c r="D38">
        <f t="shared" si="3"/>
        <v>85677</v>
      </c>
      <c r="E38">
        <f t="shared" si="3"/>
        <v>70485</v>
      </c>
      <c r="F38">
        <f t="shared" si="3"/>
        <v>59335</v>
      </c>
      <c r="G38">
        <f t="shared" si="3"/>
        <v>52217</v>
      </c>
    </row>
    <row r="39" spans="1:11" x14ac:dyDescent="0.3">
      <c r="A39" t="s">
        <v>8</v>
      </c>
      <c r="B39">
        <f>MAX(B2:B37)</f>
        <v>23544</v>
      </c>
      <c r="C39">
        <f t="shared" ref="C39:G39" si="4">MAX(C2:C37)</f>
        <v>9418</v>
      </c>
      <c r="D39">
        <f t="shared" si="4"/>
        <v>8653</v>
      </c>
      <c r="E39">
        <f t="shared" si="4"/>
        <v>7166</v>
      </c>
      <c r="F39">
        <f t="shared" si="4"/>
        <v>5814</v>
      </c>
      <c r="G39">
        <f t="shared" si="4"/>
        <v>5190</v>
      </c>
    </row>
    <row r="40" spans="1:11" x14ac:dyDescent="0.3">
      <c r="A40" t="s">
        <v>9</v>
      </c>
      <c r="B40">
        <f>MIN(B2:B37)</f>
        <v>214</v>
      </c>
      <c r="C40">
        <f t="shared" ref="C40:G40" si="5">MIN(C2:C37)</f>
        <v>30</v>
      </c>
      <c r="D40">
        <f t="shared" si="5"/>
        <v>27</v>
      </c>
      <c r="E40">
        <f t="shared" si="5"/>
        <v>21</v>
      </c>
      <c r="F40">
        <f t="shared" si="5"/>
        <v>17</v>
      </c>
      <c r="G40">
        <f t="shared" si="5"/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K40"/>
  <sheetViews>
    <sheetView zoomScale="70" zoomScaleNormal="70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24277</v>
      </c>
      <c r="C2">
        <v>181</v>
      </c>
      <c r="D2">
        <v>179</v>
      </c>
      <c r="E2">
        <v>130</v>
      </c>
      <c r="F2">
        <v>92</v>
      </c>
      <c r="G2">
        <v>74</v>
      </c>
      <c r="I2">
        <f t="shared" ref="I2:I37" si="0">C2/B2</f>
        <v>7.4556164270708899E-3</v>
      </c>
      <c r="J2">
        <f t="shared" ref="J2:J37" si="1">IF(C2=0, 0, _xlfn.BETA.INV(0.025, C2, B2-C2+1))</f>
        <v>6.4122140102710569E-3</v>
      </c>
      <c r="K2">
        <f t="shared" ref="K2:K37" si="2">IF(C2=B2, 1, _xlfn.BETA.INV(0.975, C2+1, B2-C2))</f>
        <v>8.6193874262812109E-3</v>
      </c>
    </row>
    <row r="3" spans="1:11" x14ac:dyDescent="0.3">
      <c r="A3">
        <v>1991</v>
      </c>
      <c r="B3">
        <v>26350</v>
      </c>
      <c r="C3">
        <v>197</v>
      </c>
      <c r="D3">
        <v>192</v>
      </c>
      <c r="E3">
        <v>146</v>
      </c>
      <c r="F3">
        <v>106</v>
      </c>
      <c r="G3">
        <v>87</v>
      </c>
      <c r="I3">
        <f t="shared" si="0"/>
        <v>7.4762808349146106E-3</v>
      </c>
      <c r="J3">
        <f t="shared" si="1"/>
        <v>6.4718202688490651E-3</v>
      </c>
      <c r="K3">
        <f t="shared" si="2"/>
        <v>8.5915255256021617E-3</v>
      </c>
    </row>
    <row r="4" spans="1:11" x14ac:dyDescent="0.3">
      <c r="A4">
        <v>1992</v>
      </c>
      <c r="B4">
        <v>27779</v>
      </c>
      <c r="C4">
        <v>220</v>
      </c>
      <c r="D4">
        <v>216</v>
      </c>
      <c r="E4">
        <v>156</v>
      </c>
      <c r="F4">
        <v>115</v>
      </c>
      <c r="G4">
        <v>96</v>
      </c>
      <c r="I4">
        <f t="shared" si="0"/>
        <v>7.9196515353324448E-3</v>
      </c>
      <c r="J4">
        <f t="shared" si="1"/>
        <v>6.9110235949280579E-3</v>
      </c>
      <c r="K4">
        <f t="shared" si="2"/>
        <v>9.0331404118005887E-3</v>
      </c>
    </row>
    <row r="5" spans="1:11" x14ac:dyDescent="0.3">
      <c r="A5">
        <v>1993</v>
      </c>
      <c r="B5">
        <v>29002</v>
      </c>
      <c r="C5">
        <v>207</v>
      </c>
      <c r="D5">
        <v>197</v>
      </c>
      <c r="E5">
        <v>134</v>
      </c>
      <c r="F5">
        <v>97</v>
      </c>
      <c r="G5">
        <v>85</v>
      </c>
      <c r="I5">
        <f t="shared" si="0"/>
        <v>7.1374387973243223E-3</v>
      </c>
      <c r="J5">
        <f t="shared" si="1"/>
        <v>6.2009960297994288E-3</v>
      </c>
      <c r="K5">
        <f t="shared" si="2"/>
        <v>8.1745477714146864E-3</v>
      </c>
    </row>
    <row r="6" spans="1:11" x14ac:dyDescent="0.3">
      <c r="A6">
        <v>1994</v>
      </c>
      <c r="B6">
        <v>30760</v>
      </c>
      <c r="C6">
        <v>208</v>
      </c>
      <c r="D6">
        <v>198</v>
      </c>
      <c r="E6">
        <v>152</v>
      </c>
      <c r="F6">
        <v>113</v>
      </c>
      <c r="G6">
        <v>94</v>
      </c>
      <c r="I6">
        <f t="shared" si="0"/>
        <v>6.7620286085825747E-3</v>
      </c>
      <c r="J6">
        <f t="shared" si="1"/>
        <v>5.8767607521760775E-3</v>
      </c>
      <c r="K6">
        <f t="shared" si="2"/>
        <v>7.7422763798656868E-3</v>
      </c>
    </row>
    <row r="7" spans="1:11" x14ac:dyDescent="0.3">
      <c r="A7">
        <v>1995</v>
      </c>
      <c r="B7">
        <v>33077</v>
      </c>
      <c r="C7">
        <v>258</v>
      </c>
      <c r="D7">
        <v>241</v>
      </c>
      <c r="E7">
        <v>180</v>
      </c>
      <c r="F7">
        <v>131</v>
      </c>
      <c r="G7">
        <v>110</v>
      </c>
      <c r="I7">
        <f t="shared" si="0"/>
        <v>7.7999818605073009E-3</v>
      </c>
      <c r="J7">
        <f t="shared" si="1"/>
        <v>6.8802387391397246E-3</v>
      </c>
      <c r="K7">
        <f t="shared" si="2"/>
        <v>8.80766408225786E-3</v>
      </c>
    </row>
    <row r="8" spans="1:11" x14ac:dyDescent="0.3">
      <c r="A8">
        <v>1996</v>
      </c>
      <c r="B8">
        <v>35582</v>
      </c>
      <c r="C8">
        <v>309</v>
      </c>
      <c r="D8">
        <v>296</v>
      </c>
      <c r="E8">
        <v>214</v>
      </c>
      <c r="F8">
        <v>160</v>
      </c>
      <c r="G8">
        <v>134</v>
      </c>
      <c r="I8">
        <f t="shared" si="0"/>
        <v>8.684166151424878E-3</v>
      </c>
      <c r="J8">
        <f t="shared" si="1"/>
        <v>7.7463270543146829E-3</v>
      </c>
      <c r="K8">
        <f t="shared" si="2"/>
        <v>9.7034642489046696E-3</v>
      </c>
    </row>
    <row r="9" spans="1:11" x14ac:dyDescent="0.3">
      <c r="A9">
        <v>1997</v>
      </c>
      <c r="B9">
        <v>37858</v>
      </c>
      <c r="C9">
        <v>306</v>
      </c>
      <c r="D9">
        <v>295</v>
      </c>
      <c r="E9">
        <v>209</v>
      </c>
      <c r="F9">
        <v>150</v>
      </c>
      <c r="G9">
        <v>120</v>
      </c>
      <c r="I9">
        <f t="shared" si="0"/>
        <v>8.0828358603201433E-3</v>
      </c>
      <c r="J9">
        <f t="shared" si="1"/>
        <v>7.2055598181219854E-3</v>
      </c>
      <c r="K9">
        <f t="shared" si="2"/>
        <v>9.0367740836172494E-3</v>
      </c>
    </row>
    <row r="10" spans="1:11" x14ac:dyDescent="0.3">
      <c r="A10">
        <v>1998</v>
      </c>
      <c r="B10">
        <v>41132</v>
      </c>
      <c r="C10">
        <v>299</v>
      </c>
      <c r="D10">
        <v>286</v>
      </c>
      <c r="E10">
        <v>209</v>
      </c>
      <c r="F10">
        <v>166</v>
      </c>
      <c r="G10">
        <v>141</v>
      </c>
      <c r="I10">
        <f t="shared" si="0"/>
        <v>7.2692793931731989E-3</v>
      </c>
      <c r="J10">
        <f t="shared" si="1"/>
        <v>6.4711032831852823E-3</v>
      </c>
      <c r="K10">
        <f t="shared" si="2"/>
        <v>8.1381473411166194E-3</v>
      </c>
    </row>
    <row r="11" spans="1:11" x14ac:dyDescent="0.3">
      <c r="A11">
        <v>1999</v>
      </c>
      <c r="B11">
        <v>42494</v>
      </c>
      <c r="C11">
        <v>246</v>
      </c>
      <c r="D11">
        <v>238</v>
      </c>
      <c r="E11">
        <v>166</v>
      </c>
      <c r="F11">
        <v>127</v>
      </c>
      <c r="G11">
        <v>103</v>
      </c>
      <c r="I11">
        <f t="shared" si="0"/>
        <v>5.7890525721278297E-3</v>
      </c>
      <c r="J11">
        <f t="shared" si="1"/>
        <v>5.0899032366158335E-3</v>
      </c>
      <c r="K11">
        <f t="shared" si="2"/>
        <v>6.5569655630123291E-3</v>
      </c>
    </row>
    <row r="12" spans="1:11" x14ac:dyDescent="0.3">
      <c r="A12">
        <v>2000</v>
      </c>
      <c r="B12">
        <v>48551</v>
      </c>
      <c r="C12">
        <v>286</v>
      </c>
      <c r="D12">
        <v>261</v>
      </c>
      <c r="E12">
        <v>184</v>
      </c>
      <c r="F12">
        <v>151</v>
      </c>
      <c r="G12">
        <v>125</v>
      </c>
      <c r="I12">
        <f t="shared" si="0"/>
        <v>5.8907128586434881E-3</v>
      </c>
      <c r="J12">
        <f t="shared" si="1"/>
        <v>5.2294029100275856E-3</v>
      </c>
      <c r="K12">
        <f t="shared" si="2"/>
        <v>6.612104965078025E-3</v>
      </c>
    </row>
    <row r="13" spans="1:11" x14ac:dyDescent="0.3">
      <c r="A13">
        <v>2001</v>
      </c>
      <c r="B13">
        <v>50445</v>
      </c>
      <c r="C13">
        <v>309</v>
      </c>
      <c r="D13">
        <v>293</v>
      </c>
      <c r="E13">
        <v>213</v>
      </c>
      <c r="F13">
        <v>158</v>
      </c>
      <c r="G13">
        <v>126</v>
      </c>
      <c r="I13">
        <f t="shared" si="0"/>
        <v>6.1254831995242341E-3</v>
      </c>
      <c r="J13">
        <f t="shared" si="1"/>
        <v>5.4632289091562465E-3</v>
      </c>
      <c r="K13">
        <f t="shared" si="2"/>
        <v>6.8454941264211033E-3</v>
      </c>
    </row>
    <row r="14" spans="1:11" x14ac:dyDescent="0.3">
      <c r="A14">
        <v>2002</v>
      </c>
      <c r="B14">
        <v>55064</v>
      </c>
      <c r="C14">
        <v>335</v>
      </c>
      <c r="D14">
        <v>294</v>
      </c>
      <c r="E14">
        <v>216</v>
      </c>
      <c r="F14">
        <v>175</v>
      </c>
      <c r="G14">
        <v>141</v>
      </c>
      <c r="I14">
        <f t="shared" si="0"/>
        <v>6.0838297254104312E-3</v>
      </c>
      <c r="J14">
        <f t="shared" si="1"/>
        <v>5.4513963593452609E-3</v>
      </c>
      <c r="K14">
        <f t="shared" si="2"/>
        <v>6.7691403897698343E-3</v>
      </c>
    </row>
    <row r="15" spans="1:11" x14ac:dyDescent="0.3">
      <c r="A15">
        <v>2003</v>
      </c>
      <c r="B15">
        <v>59729</v>
      </c>
      <c r="C15">
        <v>495</v>
      </c>
      <c r="D15">
        <v>467</v>
      </c>
      <c r="E15">
        <v>321</v>
      </c>
      <c r="F15">
        <v>251</v>
      </c>
      <c r="G15">
        <v>203</v>
      </c>
      <c r="I15">
        <f t="shared" si="0"/>
        <v>8.2874315659060092E-3</v>
      </c>
      <c r="J15">
        <f t="shared" si="1"/>
        <v>7.57599133298622E-3</v>
      </c>
      <c r="K15">
        <f t="shared" si="2"/>
        <v>9.0472482001561216E-3</v>
      </c>
    </row>
    <row r="16" spans="1:11" x14ac:dyDescent="0.3">
      <c r="A16">
        <v>2004</v>
      </c>
      <c r="B16">
        <v>64980</v>
      </c>
      <c r="C16">
        <v>553</v>
      </c>
      <c r="D16">
        <v>519</v>
      </c>
      <c r="E16">
        <v>377</v>
      </c>
      <c r="F16">
        <v>299</v>
      </c>
      <c r="G16">
        <v>247</v>
      </c>
      <c r="I16">
        <f t="shared" si="0"/>
        <v>8.5103108648815016E-3</v>
      </c>
      <c r="J16">
        <f t="shared" si="1"/>
        <v>7.8183565760382451E-3</v>
      </c>
      <c r="K16">
        <f t="shared" si="2"/>
        <v>9.2466766990692006E-3</v>
      </c>
    </row>
    <row r="17" spans="1:11" x14ac:dyDescent="0.3">
      <c r="A17">
        <v>2005</v>
      </c>
      <c r="B17">
        <v>68723</v>
      </c>
      <c r="C17">
        <v>454</v>
      </c>
      <c r="D17">
        <v>413</v>
      </c>
      <c r="E17">
        <v>310</v>
      </c>
      <c r="F17">
        <v>260</v>
      </c>
      <c r="G17">
        <v>224</v>
      </c>
      <c r="I17">
        <f t="shared" si="0"/>
        <v>6.6062308106456351E-3</v>
      </c>
      <c r="J17">
        <f t="shared" si="1"/>
        <v>6.014194202193816E-3</v>
      </c>
      <c r="K17">
        <f t="shared" si="2"/>
        <v>7.2404836484550872E-3</v>
      </c>
    </row>
    <row r="18" spans="1:11" x14ac:dyDescent="0.3">
      <c r="A18">
        <v>2006</v>
      </c>
      <c r="B18">
        <v>73521</v>
      </c>
      <c r="C18">
        <v>424</v>
      </c>
      <c r="D18">
        <v>398</v>
      </c>
      <c r="E18">
        <v>292</v>
      </c>
      <c r="F18">
        <v>231</v>
      </c>
      <c r="G18">
        <v>192</v>
      </c>
      <c r="I18">
        <f t="shared" si="0"/>
        <v>5.7670597516355868E-3</v>
      </c>
      <c r="J18">
        <f t="shared" si="1"/>
        <v>5.2324889577255711E-3</v>
      </c>
      <c r="K18">
        <f t="shared" si="2"/>
        <v>6.3411798972444755E-3</v>
      </c>
    </row>
    <row r="19" spans="1:11" x14ac:dyDescent="0.3">
      <c r="A19">
        <v>2007</v>
      </c>
      <c r="B19">
        <v>76879</v>
      </c>
      <c r="C19">
        <v>487</v>
      </c>
      <c r="D19">
        <v>454</v>
      </c>
      <c r="E19">
        <v>336</v>
      </c>
      <c r="F19">
        <v>262</v>
      </c>
      <c r="G19">
        <v>225</v>
      </c>
      <c r="I19">
        <f t="shared" si="0"/>
        <v>6.334629742842649E-3</v>
      </c>
      <c r="J19">
        <f t="shared" si="1"/>
        <v>5.7859990811201713E-3</v>
      </c>
      <c r="K19">
        <f t="shared" si="2"/>
        <v>6.9209985987427336E-3</v>
      </c>
    </row>
    <row r="20" spans="1:11" x14ac:dyDescent="0.3">
      <c r="A20">
        <v>2008</v>
      </c>
      <c r="B20">
        <v>78184</v>
      </c>
      <c r="C20">
        <v>472</v>
      </c>
      <c r="D20">
        <v>430</v>
      </c>
      <c r="E20">
        <v>314</v>
      </c>
      <c r="F20">
        <v>262</v>
      </c>
      <c r="G20">
        <v>227</v>
      </c>
      <c r="I20">
        <f t="shared" si="0"/>
        <v>6.0370408267676253E-3</v>
      </c>
      <c r="J20">
        <f t="shared" si="1"/>
        <v>5.5060576455638367E-3</v>
      </c>
      <c r="K20">
        <f t="shared" si="2"/>
        <v>6.6051633480214145E-3</v>
      </c>
    </row>
    <row r="21" spans="1:11" x14ac:dyDescent="0.3">
      <c r="A21">
        <v>2009</v>
      </c>
      <c r="B21">
        <v>79782</v>
      </c>
      <c r="C21">
        <v>528</v>
      </c>
      <c r="D21">
        <v>486</v>
      </c>
      <c r="E21">
        <v>355</v>
      </c>
      <c r="F21">
        <v>285</v>
      </c>
      <c r="G21">
        <v>249</v>
      </c>
      <c r="I21">
        <f t="shared" si="0"/>
        <v>6.6180341430397832E-3</v>
      </c>
      <c r="J21">
        <f t="shared" si="1"/>
        <v>6.0671437377682966E-3</v>
      </c>
      <c r="K21">
        <f t="shared" si="2"/>
        <v>7.2052472655500521E-3</v>
      </c>
    </row>
    <row r="22" spans="1:11" x14ac:dyDescent="0.3">
      <c r="A22">
        <v>2010</v>
      </c>
      <c r="B22">
        <v>84163</v>
      </c>
      <c r="C22">
        <v>616</v>
      </c>
      <c r="D22">
        <v>571</v>
      </c>
      <c r="E22">
        <v>436</v>
      </c>
      <c r="F22">
        <v>353</v>
      </c>
      <c r="G22">
        <v>300</v>
      </c>
      <c r="I22">
        <f t="shared" si="0"/>
        <v>7.3191307344082314E-3</v>
      </c>
      <c r="J22">
        <f t="shared" si="1"/>
        <v>6.754356480117101E-3</v>
      </c>
      <c r="K22">
        <f t="shared" si="2"/>
        <v>7.9182515427511646E-3</v>
      </c>
    </row>
    <row r="23" spans="1:11" x14ac:dyDescent="0.3">
      <c r="A23">
        <v>2011</v>
      </c>
      <c r="B23">
        <v>89325</v>
      </c>
      <c r="C23">
        <v>698</v>
      </c>
      <c r="D23">
        <v>645</v>
      </c>
      <c r="E23">
        <v>486</v>
      </c>
      <c r="F23">
        <v>415</v>
      </c>
      <c r="G23">
        <v>359</v>
      </c>
      <c r="I23">
        <f t="shared" si="0"/>
        <v>7.8141617688217181E-3</v>
      </c>
      <c r="J23">
        <f t="shared" si="1"/>
        <v>7.2471628293568737E-3</v>
      </c>
      <c r="K23">
        <f t="shared" si="2"/>
        <v>8.4134638816079077E-3</v>
      </c>
    </row>
    <row r="24" spans="1:11" x14ac:dyDescent="0.3">
      <c r="A24">
        <v>2012</v>
      </c>
      <c r="B24">
        <v>94776</v>
      </c>
      <c r="C24">
        <v>809</v>
      </c>
      <c r="D24">
        <v>740</v>
      </c>
      <c r="E24">
        <v>563</v>
      </c>
      <c r="F24">
        <v>463</v>
      </c>
      <c r="G24">
        <v>398</v>
      </c>
      <c r="I24">
        <f t="shared" si="0"/>
        <v>8.5359162657212793E-3</v>
      </c>
      <c r="J24">
        <f t="shared" si="1"/>
        <v>7.9600378641122103E-3</v>
      </c>
      <c r="K24">
        <f t="shared" si="2"/>
        <v>9.1421682756115397E-3</v>
      </c>
    </row>
    <row r="25" spans="1:11" x14ac:dyDescent="0.3">
      <c r="A25">
        <v>2013</v>
      </c>
      <c r="B25">
        <v>99025</v>
      </c>
      <c r="C25">
        <v>939</v>
      </c>
      <c r="D25">
        <v>868</v>
      </c>
      <c r="E25">
        <v>635</v>
      </c>
      <c r="F25">
        <v>510</v>
      </c>
      <c r="G25">
        <v>432</v>
      </c>
      <c r="I25">
        <f t="shared" si="0"/>
        <v>9.4824539257763185E-3</v>
      </c>
      <c r="J25">
        <f t="shared" si="1"/>
        <v>8.8881810915269477E-3</v>
      </c>
      <c r="K25">
        <f t="shared" si="2"/>
        <v>1.0105716901728901E-2</v>
      </c>
    </row>
    <row r="26" spans="1:11" x14ac:dyDescent="0.3">
      <c r="A26">
        <v>2014</v>
      </c>
      <c r="B26">
        <v>103221</v>
      </c>
      <c r="C26">
        <v>1001</v>
      </c>
      <c r="D26">
        <v>922</v>
      </c>
      <c r="E26">
        <v>657</v>
      </c>
      <c r="F26">
        <v>545</v>
      </c>
      <c r="G26">
        <v>457</v>
      </c>
      <c r="I26">
        <f t="shared" si="0"/>
        <v>9.6976390463180944E-3</v>
      </c>
      <c r="J26">
        <f t="shared" si="1"/>
        <v>9.1087686348264932E-3</v>
      </c>
      <c r="K26">
        <f t="shared" si="2"/>
        <v>1.031429946533402E-2</v>
      </c>
    </row>
    <row r="27" spans="1:11" x14ac:dyDescent="0.3">
      <c r="A27">
        <v>2015</v>
      </c>
      <c r="B27">
        <v>105352</v>
      </c>
      <c r="C27">
        <v>1092</v>
      </c>
      <c r="D27">
        <v>1001</v>
      </c>
      <c r="E27">
        <v>718</v>
      </c>
      <c r="F27">
        <v>599</v>
      </c>
      <c r="G27">
        <v>517</v>
      </c>
      <c r="I27">
        <f t="shared" si="0"/>
        <v>1.0365251727541954E-2</v>
      </c>
      <c r="J27">
        <f t="shared" si="1"/>
        <v>9.7624330433699891E-3</v>
      </c>
      <c r="K27">
        <f t="shared" si="2"/>
        <v>1.0995249119915562E-2</v>
      </c>
    </row>
    <row r="28" spans="1:11" x14ac:dyDescent="0.3">
      <c r="A28">
        <v>2016</v>
      </c>
      <c r="B28">
        <v>108365</v>
      </c>
      <c r="C28">
        <v>1198</v>
      </c>
      <c r="D28">
        <v>1092</v>
      </c>
      <c r="E28">
        <v>815</v>
      </c>
      <c r="F28">
        <v>661</v>
      </c>
      <c r="G28">
        <v>568</v>
      </c>
      <c r="I28">
        <f t="shared" si="0"/>
        <v>1.1055230009689476E-2</v>
      </c>
      <c r="J28">
        <f t="shared" si="1"/>
        <v>1.0441179517085774E-2</v>
      </c>
      <c r="K28">
        <f t="shared" si="2"/>
        <v>1.1695654322372739E-2</v>
      </c>
    </row>
    <row r="29" spans="1:11" x14ac:dyDescent="0.3">
      <c r="A29">
        <v>2017</v>
      </c>
      <c r="B29">
        <v>109867</v>
      </c>
      <c r="C29">
        <v>1204</v>
      </c>
      <c r="D29">
        <v>1084</v>
      </c>
      <c r="E29">
        <v>793</v>
      </c>
      <c r="F29">
        <v>640</v>
      </c>
      <c r="G29">
        <v>540</v>
      </c>
      <c r="I29">
        <f t="shared" si="0"/>
        <v>1.0958704615580657E-2</v>
      </c>
      <c r="J29">
        <f t="shared" si="1"/>
        <v>1.0351485420469975E-2</v>
      </c>
      <c r="K29">
        <f t="shared" si="2"/>
        <v>1.1591941573224185E-2</v>
      </c>
    </row>
    <row r="30" spans="1:11" x14ac:dyDescent="0.3">
      <c r="A30">
        <v>2018</v>
      </c>
      <c r="B30">
        <v>111873</v>
      </c>
      <c r="C30">
        <v>1212</v>
      </c>
      <c r="D30">
        <v>1082</v>
      </c>
      <c r="E30">
        <v>780</v>
      </c>
      <c r="F30">
        <v>637</v>
      </c>
      <c r="G30">
        <v>531</v>
      </c>
      <c r="I30">
        <f t="shared" si="0"/>
        <v>1.0833713228392911E-2</v>
      </c>
      <c r="J30">
        <f t="shared" si="1"/>
        <v>1.0235341564061907E-2</v>
      </c>
      <c r="K30">
        <f t="shared" si="2"/>
        <v>1.1457641836470578E-2</v>
      </c>
    </row>
    <row r="31" spans="1:11" x14ac:dyDescent="0.3">
      <c r="A31">
        <v>2019</v>
      </c>
      <c r="B31">
        <v>114998</v>
      </c>
      <c r="C31">
        <v>1275</v>
      </c>
      <c r="D31">
        <v>1158</v>
      </c>
      <c r="E31">
        <v>840</v>
      </c>
      <c r="F31">
        <v>686</v>
      </c>
      <c r="G31">
        <v>586</v>
      </c>
      <c r="I31">
        <f t="shared" si="0"/>
        <v>1.1087149341727682E-2</v>
      </c>
      <c r="J31">
        <f t="shared" si="1"/>
        <v>1.0489965052025546E-2</v>
      </c>
      <c r="K31">
        <f t="shared" si="2"/>
        <v>1.1709177267377524E-2</v>
      </c>
    </row>
    <row r="32" spans="1:11" x14ac:dyDescent="0.3">
      <c r="A32">
        <v>2020</v>
      </c>
      <c r="B32">
        <v>131987</v>
      </c>
      <c r="C32">
        <v>1552</v>
      </c>
      <c r="D32">
        <v>1413</v>
      </c>
      <c r="E32">
        <v>986</v>
      </c>
      <c r="F32">
        <v>783</v>
      </c>
      <c r="G32">
        <v>648</v>
      </c>
      <c r="I32">
        <f t="shared" si="0"/>
        <v>1.1758733814693872E-2</v>
      </c>
      <c r="J32">
        <f t="shared" si="1"/>
        <v>1.1184131260012942E-2</v>
      </c>
      <c r="K32">
        <f t="shared" si="2"/>
        <v>1.2354933598853757E-2</v>
      </c>
    </row>
    <row r="33" spans="1:11" x14ac:dyDescent="0.3">
      <c r="A33">
        <v>2021</v>
      </c>
      <c r="B33">
        <v>142452</v>
      </c>
      <c r="C33">
        <v>1971</v>
      </c>
      <c r="D33">
        <v>1817</v>
      </c>
      <c r="E33">
        <v>1242</v>
      </c>
      <c r="F33">
        <v>1003</v>
      </c>
      <c r="G33">
        <v>848</v>
      </c>
      <c r="I33">
        <f t="shared" si="0"/>
        <v>1.3836239575435937E-2</v>
      </c>
      <c r="J33">
        <f t="shared" si="1"/>
        <v>1.3236047282127865E-2</v>
      </c>
      <c r="K33">
        <f t="shared" si="2"/>
        <v>1.4456338417832892E-2</v>
      </c>
    </row>
    <row r="34" spans="1:11" x14ac:dyDescent="0.3">
      <c r="A34">
        <v>2022</v>
      </c>
      <c r="B34">
        <v>136747</v>
      </c>
      <c r="C34">
        <v>2504</v>
      </c>
      <c r="D34">
        <v>2311</v>
      </c>
      <c r="E34">
        <v>1651</v>
      </c>
      <c r="F34">
        <v>1357</v>
      </c>
      <c r="G34">
        <v>1163</v>
      </c>
      <c r="I34">
        <f t="shared" si="0"/>
        <v>1.8311187813992262E-2</v>
      </c>
      <c r="J34">
        <f t="shared" si="1"/>
        <v>1.7607143725326988E-2</v>
      </c>
      <c r="K34">
        <f t="shared" si="2"/>
        <v>1.9035760816868641E-2</v>
      </c>
    </row>
    <row r="35" spans="1:11" x14ac:dyDescent="0.3">
      <c r="A35">
        <v>2023</v>
      </c>
      <c r="B35">
        <v>128108</v>
      </c>
      <c r="C35">
        <v>2402</v>
      </c>
      <c r="D35">
        <v>2218</v>
      </c>
      <c r="E35">
        <v>1639</v>
      </c>
      <c r="F35">
        <v>1334</v>
      </c>
      <c r="G35">
        <v>1132</v>
      </c>
      <c r="I35">
        <f t="shared" si="0"/>
        <v>1.8749804852155993E-2</v>
      </c>
      <c r="J35">
        <f t="shared" si="1"/>
        <v>1.8014050352690627E-2</v>
      </c>
      <c r="K35">
        <f t="shared" si="2"/>
        <v>1.9507455805444107E-2</v>
      </c>
    </row>
    <row r="36" spans="1:11" x14ac:dyDescent="0.3">
      <c r="A36">
        <v>2024</v>
      </c>
      <c r="B36">
        <v>137297</v>
      </c>
      <c r="C36">
        <v>1713</v>
      </c>
      <c r="D36">
        <v>1589</v>
      </c>
      <c r="E36">
        <v>1146</v>
      </c>
      <c r="F36">
        <v>951</v>
      </c>
      <c r="G36">
        <v>804</v>
      </c>
      <c r="I36">
        <f t="shared" si="0"/>
        <v>1.2476601819413388E-2</v>
      </c>
      <c r="J36">
        <f t="shared" si="1"/>
        <v>1.1896136330419353E-2</v>
      </c>
      <c r="K36">
        <f t="shared" si="2"/>
        <v>1.3077790306959991E-2</v>
      </c>
    </row>
    <row r="37" spans="1:11" x14ac:dyDescent="0.3">
      <c r="A37">
        <v>2025</v>
      </c>
      <c r="B37">
        <v>84526</v>
      </c>
      <c r="C37">
        <v>835</v>
      </c>
      <c r="D37">
        <v>781</v>
      </c>
      <c r="E37">
        <v>522</v>
      </c>
      <c r="F37">
        <v>431</v>
      </c>
      <c r="G37">
        <v>362</v>
      </c>
      <c r="I37">
        <f t="shared" si="0"/>
        <v>9.878617230201359E-3</v>
      </c>
      <c r="J37">
        <f t="shared" si="1"/>
        <v>9.2228421322548184E-3</v>
      </c>
      <c r="K37">
        <f t="shared" si="2"/>
        <v>1.056835010196433E-2</v>
      </c>
    </row>
    <row r="38" spans="1:11" x14ac:dyDescent="0.3">
      <c r="A38" t="s">
        <v>7</v>
      </c>
      <c r="B38">
        <f t="shared" ref="B38:G38" si="3">SUM(B2:B37)</f>
        <v>2766251</v>
      </c>
      <c r="C38">
        <f t="shared" si="3"/>
        <v>27795</v>
      </c>
      <c r="D38">
        <f t="shared" si="3"/>
        <v>25645</v>
      </c>
      <c r="E38">
        <f t="shared" si="3"/>
        <v>18523</v>
      </c>
      <c r="F38">
        <f t="shared" si="3"/>
        <v>14959</v>
      </c>
      <c r="G38">
        <f t="shared" si="3"/>
        <v>12648</v>
      </c>
    </row>
    <row r="39" spans="1:11" x14ac:dyDescent="0.3">
      <c r="A39" t="s">
        <v>8</v>
      </c>
      <c r="B39">
        <f>MAX(B2:B37)</f>
        <v>142452</v>
      </c>
      <c r="C39">
        <f t="shared" ref="C39:G39" si="4">MAX(C2:C37)</f>
        <v>2504</v>
      </c>
      <c r="D39">
        <f t="shared" si="4"/>
        <v>2311</v>
      </c>
      <c r="E39">
        <f t="shared" si="4"/>
        <v>1651</v>
      </c>
      <c r="F39">
        <f t="shared" si="4"/>
        <v>1357</v>
      </c>
      <c r="G39">
        <f t="shared" si="4"/>
        <v>1163</v>
      </c>
    </row>
    <row r="40" spans="1:11" x14ac:dyDescent="0.3">
      <c r="A40" t="s">
        <v>9</v>
      </c>
      <c r="B40">
        <f>MIN(B2:B37)</f>
        <v>24277</v>
      </c>
      <c r="C40">
        <f t="shared" ref="C40:G40" si="5">MIN(C2:C37)</f>
        <v>181</v>
      </c>
      <c r="D40">
        <f t="shared" si="5"/>
        <v>179</v>
      </c>
      <c r="E40">
        <f t="shared" si="5"/>
        <v>130</v>
      </c>
      <c r="F40">
        <f t="shared" si="5"/>
        <v>92</v>
      </c>
      <c r="G40">
        <f t="shared" si="5"/>
        <v>74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K40"/>
  <sheetViews>
    <sheetView zoomScale="70" zoomScaleNormal="70" workbookViewId="0">
      <selection activeCell="D24" sqref="D24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31431</v>
      </c>
      <c r="C2">
        <v>5369</v>
      </c>
      <c r="D2">
        <v>5225</v>
      </c>
      <c r="E2">
        <v>3917</v>
      </c>
      <c r="F2">
        <v>2796</v>
      </c>
      <c r="G2">
        <v>2337</v>
      </c>
      <c r="I2">
        <f t="shared" ref="I2:I37" si="0">C2/B2</f>
        <v>0.17081861856129299</v>
      </c>
      <c r="J2">
        <f t="shared" ref="J2:J37" si="1">IF(C2=0, 0, _xlfn.BETA.INV(0.025, C2, B2-C2+1))</f>
        <v>0.16667261951203807</v>
      </c>
      <c r="K2">
        <f t="shared" ref="K2:K37" si="2">IF(C2=B2, 1, _xlfn.BETA.INV(0.975, C2+1, B2-C2))</f>
        <v>0.17502554679722748</v>
      </c>
    </row>
    <row r="3" spans="1:11" x14ac:dyDescent="0.3">
      <c r="A3">
        <v>1991</v>
      </c>
      <c r="B3">
        <v>32930</v>
      </c>
      <c r="C3">
        <v>6086</v>
      </c>
      <c r="D3">
        <v>5942</v>
      </c>
      <c r="E3">
        <v>4444</v>
      </c>
      <c r="F3">
        <v>3194</v>
      </c>
      <c r="G3">
        <v>2660</v>
      </c>
      <c r="I3">
        <f t="shared" si="0"/>
        <v>0.18481627695110842</v>
      </c>
      <c r="J3">
        <f t="shared" si="1"/>
        <v>0.18063675010581398</v>
      </c>
      <c r="K3">
        <f t="shared" si="2"/>
        <v>0.18905147186163385</v>
      </c>
    </row>
    <row r="4" spans="1:11" x14ac:dyDescent="0.3">
      <c r="A4">
        <v>1992</v>
      </c>
      <c r="B4">
        <v>34868</v>
      </c>
      <c r="C4">
        <v>6945</v>
      </c>
      <c r="D4">
        <v>6763</v>
      </c>
      <c r="E4">
        <v>5134</v>
      </c>
      <c r="F4">
        <v>3679</v>
      </c>
      <c r="G4">
        <v>2998</v>
      </c>
      <c r="I4">
        <f t="shared" si="0"/>
        <v>0.19917976368016518</v>
      </c>
      <c r="J4">
        <f t="shared" si="1"/>
        <v>0.1949985757341185</v>
      </c>
      <c r="K4">
        <f t="shared" si="2"/>
        <v>0.20341111655598298</v>
      </c>
    </row>
    <row r="5" spans="1:11" x14ac:dyDescent="0.3">
      <c r="A5">
        <v>1993</v>
      </c>
      <c r="B5">
        <v>36976</v>
      </c>
      <c r="C5">
        <v>7542</v>
      </c>
      <c r="D5">
        <v>7305</v>
      </c>
      <c r="E5">
        <v>5447</v>
      </c>
      <c r="F5">
        <v>4034</v>
      </c>
      <c r="G5">
        <v>3333</v>
      </c>
      <c r="I5">
        <f t="shared" si="0"/>
        <v>0.20397014279532669</v>
      </c>
      <c r="J5">
        <f t="shared" si="1"/>
        <v>0.19987288125132191</v>
      </c>
      <c r="K5">
        <f t="shared" si="2"/>
        <v>0.20811394831119145</v>
      </c>
    </row>
    <row r="6" spans="1:11" x14ac:dyDescent="0.3">
      <c r="A6">
        <v>1994</v>
      </c>
      <c r="B6">
        <v>38717</v>
      </c>
      <c r="C6">
        <v>8529</v>
      </c>
      <c r="D6">
        <v>8242</v>
      </c>
      <c r="E6">
        <v>6227</v>
      </c>
      <c r="F6">
        <v>4562</v>
      </c>
      <c r="G6">
        <v>3704</v>
      </c>
      <c r="I6">
        <f t="shared" si="0"/>
        <v>0.22029082831830979</v>
      </c>
      <c r="J6">
        <f t="shared" si="1"/>
        <v>0.21617079836180939</v>
      </c>
      <c r="K6">
        <f t="shared" si="2"/>
        <v>0.22445284961661516</v>
      </c>
    </row>
    <row r="7" spans="1:11" x14ac:dyDescent="0.3">
      <c r="A7">
        <v>1995</v>
      </c>
      <c r="B7">
        <v>40660</v>
      </c>
      <c r="C7">
        <v>9266</v>
      </c>
      <c r="D7">
        <v>8944</v>
      </c>
      <c r="E7">
        <v>6768</v>
      </c>
      <c r="F7">
        <v>4966</v>
      </c>
      <c r="G7">
        <v>4101</v>
      </c>
      <c r="I7">
        <f t="shared" si="0"/>
        <v>0.2278898180029513</v>
      </c>
      <c r="J7">
        <f t="shared" si="1"/>
        <v>0.22381981999758091</v>
      </c>
      <c r="K7">
        <f t="shared" si="2"/>
        <v>0.23199870876326545</v>
      </c>
    </row>
    <row r="8" spans="1:11" x14ac:dyDescent="0.3">
      <c r="A8">
        <v>1996</v>
      </c>
      <c r="B8">
        <v>41001</v>
      </c>
      <c r="C8">
        <v>9631</v>
      </c>
      <c r="D8">
        <v>9323</v>
      </c>
      <c r="E8">
        <v>7067</v>
      </c>
      <c r="F8">
        <v>5280</v>
      </c>
      <c r="G8">
        <v>4350</v>
      </c>
      <c r="I8">
        <f t="shared" si="0"/>
        <v>0.23489670983634545</v>
      </c>
      <c r="J8">
        <f t="shared" si="1"/>
        <v>0.23079994647945862</v>
      </c>
      <c r="K8">
        <f t="shared" si="2"/>
        <v>0.23903104713854961</v>
      </c>
    </row>
    <row r="9" spans="1:11" x14ac:dyDescent="0.3">
      <c r="A9">
        <v>1997</v>
      </c>
      <c r="B9">
        <v>42522</v>
      </c>
      <c r="C9">
        <v>10353</v>
      </c>
      <c r="D9">
        <v>10022</v>
      </c>
      <c r="E9">
        <v>7517</v>
      </c>
      <c r="F9">
        <v>5795</v>
      </c>
      <c r="G9">
        <v>4762</v>
      </c>
      <c r="I9">
        <f t="shared" si="0"/>
        <v>0.24347396641738395</v>
      </c>
      <c r="J9">
        <f t="shared" si="1"/>
        <v>0.23940058745279441</v>
      </c>
      <c r="K9">
        <f t="shared" si="2"/>
        <v>0.2475823990387549</v>
      </c>
    </row>
    <row r="10" spans="1:11" x14ac:dyDescent="0.3">
      <c r="A10">
        <v>1998</v>
      </c>
      <c r="B10">
        <v>43762</v>
      </c>
      <c r="C10">
        <v>10832</v>
      </c>
      <c r="D10">
        <v>10445</v>
      </c>
      <c r="E10">
        <v>7936</v>
      </c>
      <c r="F10">
        <v>6141</v>
      </c>
      <c r="G10">
        <v>5057</v>
      </c>
      <c r="I10">
        <f t="shared" si="0"/>
        <v>0.24752068004204561</v>
      </c>
      <c r="J10">
        <f t="shared" si="1"/>
        <v>0.24348265267546523</v>
      </c>
      <c r="K10">
        <f t="shared" si="2"/>
        <v>0.2515922280305205</v>
      </c>
    </row>
    <row r="11" spans="1:11" x14ac:dyDescent="0.3">
      <c r="A11">
        <v>1999</v>
      </c>
      <c r="B11">
        <v>45760</v>
      </c>
      <c r="C11">
        <v>11497</v>
      </c>
      <c r="D11">
        <v>11013</v>
      </c>
      <c r="E11">
        <v>8385</v>
      </c>
      <c r="F11">
        <v>6538</v>
      </c>
      <c r="G11">
        <v>5496</v>
      </c>
      <c r="I11">
        <f t="shared" si="0"/>
        <v>0.25124562937062939</v>
      </c>
      <c r="J11">
        <f t="shared" si="1"/>
        <v>0.24727661564026998</v>
      </c>
      <c r="K11">
        <f t="shared" si="2"/>
        <v>0.2552462240487775</v>
      </c>
    </row>
    <row r="12" spans="1:11" x14ac:dyDescent="0.3">
      <c r="A12">
        <v>2000</v>
      </c>
      <c r="B12">
        <v>47381</v>
      </c>
      <c r="C12">
        <v>11678</v>
      </c>
      <c r="D12">
        <v>11181</v>
      </c>
      <c r="E12">
        <v>8449</v>
      </c>
      <c r="F12">
        <v>6664</v>
      </c>
      <c r="G12">
        <v>5506</v>
      </c>
      <c r="I12">
        <f t="shared" si="0"/>
        <v>0.24647010405014669</v>
      </c>
      <c r="J12">
        <f t="shared" si="1"/>
        <v>0.24259475854611715</v>
      </c>
      <c r="K12">
        <f t="shared" si="2"/>
        <v>0.25037653439652718</v>
      </c>
    </row>
    <row r="13" spans="1:11" x14ac:dyDescent="0.3">
      <c r="A13">
        <v>2001</v>
      </c>
      <c r="B13">
        <v>47703</v>
      </c>
      <c r="C13">
        <v>12573</v>
      </c>
      <c r="D13">
        <v>12057</v>
      </c>
      <c r="E13">
        <v>9254</v>
      </c>
      <c r="F13">
        <v>7234</v>
      </c>
      <c r="G13">
        <v>5982</v>
      </c>
      <c r="I13">
        <f t="shared" si="0"/>
        <v>0.26356832903590971</v>
      </c>
      <c r="J13">
        <f t="shared" si="1"/>
        <v>0.25961877033535635</v>
      </c>
      <c r="K13">
        <f t="shared" si="2"/>
        <v>0.26754667793320885</v>
      </c>
    </row>
    <row r="14" spans="1:11" x14ac:dyDescent="0.3">
      <c r="A14">
        <v>2002</v>
      </c>
      <c r="B14">
        <v>48987</v>
      </c>
      <c r="C14">
        <v>12945</v>
      </c>
      <c r="D14">
        <v>12384</v>
      </c>
      <c r="E14">
        <v>9539</v>
      </c>
      <c r="F14">
        <v>7552</v>
      </c>
      <c r="G14">
        <v>6277</v>
      </c>
      <c r="I14">
        <f t="shared" si="0"/>
        <v>0.26425378161553065</v>
      </c>
      <c r="J14">
        <f t="shared" si="1"/>
        <v>0.26035298194716799</v>
      </c>
      <c r="K14">
        <f t="shared" si="2"/>
        <v>0.26818253423253113</v>
      </c>
    </row>
    <row r="15" spans="1:11" x14ac:dyDescent="0.3">
      <c r="A15">
        <v>2003</v>
      </c>
      <c r="B15">
        <v>52486</v>
      </c>
      <c r="C15">
        <v>14028</v>
      </c>
      <c r="D15">
        <v>13383</v>
      </c>
      <c r="E15">
        <v>10297</v>
      </c>
      <c r="F15">
        <v>8142</v>
      </c>
      <c r="G15">
        <v>6771</v>
      </c>
      <c r="I15">
        <f t="shared" si="0"/>
        <v>0.26727127233929049</v>
      </c>
      <c r="J15">
        <f t="shared" si="1"/>
        <v>0.26348875371629638</v>
      </c>
      <c r="K15">
        <f t="shared" si="2"/>
        <v>0.27107954320735661</v>
      </c>
    </row>
    <row r="16" spans="1:11" x14ac:dyDescent="0.3">
      <c r="A16">
        <v>2004</v>
      </c>
      <c r="B16">
        <v>55694</v>
      </c>
      <c r="C16">
        <v>15339</v>
      </c>
      <c r="D16">
        <v>14588</v>
      </c>
      <c r="E16">
        <v>11377</v>
      </c>
      <c r="F16">
        <v>9158</v>
      </c>
      <c r="G16">
        <v>7693</v>
      </c>
      <c r="I16">
        <f t="shared" si="0"/>
        <v>0.27541566416490104</v>
      </c>
      <c r="J16">
        <f t="shared" si="1"/>
        <v>0.27170839015832632</v>
      </c>
      <c r="K16">
        <f t="shared" si="2"/>
        <v>0.27914635483691208</v>
      </c>
    </row>
    <row r="17" spans="1:11" x14ac:dyDescent="0.3">
      <c r="A17">
        <v>2005</v>
      </c>
      <c r="B17">
        <v>61604</v>
      </c>
      <c r="C17">
        <v>17287</v>
      </c>
      <c r="D17">
        <v>16412</v>
      </c>
      <c r="E17">
        <v>12767</v>
      </c>
      <c r="F17">
        <v>10369</v>
      </c>
      <c r="G17">
        <v>8698</v>
      </c>
      <c r="I17">
        <f t="shared" si="0"/>
        <v>0.28061489513667942</v>
      </c>
      <c r="J17">
        <f t="shared" si="1"/>
        <v>0.27706921004558061</v>
      </c>
      <c r="K17">
        <f t="shared" si="2"/>
        <v>0.28418125675193862</v>
      </c>
    </row>
    <row r="18" spans="1:11" x14ac:dyDescent="0.3">
      <c r="A18">
        <v>2006</v>
      </c>
      <c r="B18">
        <v>64262</v>
      </c>
      <c r="C18">
        <v>17802</v>
      </c>
      <c r="D18">
        <v>16936</v>
      </c>
      <c r="E18">
        <v>13176</v>
      </c>
      <c r="F18">
        <v>10637</v>
      </c>
      <c r="G18">
        <v>8914</v>
      </c>
      <c r="I18">
        <f t="shared" si="0"/>
        <v>0.27702219040801718</v>
      </c>
      <c r="J18">
        <f t="shared" si="1"/>
        <v>0.27356442243701623</v>
      </c>
      <c r="K18">
        <f t="shared" si="2"/>
        <v>0.28050010326478847</v>
      </c>
    </row>
    <row r="19" spans="1:11" x14ac:dyDescent="0.3">
      <c r="A19">
        <v>2007</v>
      </c>
      <c r="B19">
        <v>66637</v>
      </c>
      <c r="C19">
        <v>18661</v>
      </c>
      <c r="D19">
        <v>17760</v>
      </c>
      <c r="E19">
        <v>13969</v>
      </c>
      <c r="F19">
        <v>11484</v>
      </c>
      <c r="G19">
        <v>9664</v>
      </c>
      <c r="I19">
        <f t="shared" si="0"/>
        <v>0.28003961762984531</v>
      </c>
      <c r="J19">
        <f t="shared" si="1"/>
        <v>0.27663253482799055</v>
      </c>
      <c r="K19">
        <f t="shared" si="2"/>
        <v>0.28346586325037892</v>
      </c>
    </row>
    <row r="20" spans="1:11" x14ac:dyDescent="0.3">
      <c r="A20">
        <v>2008</v>
      </c>
      <c r="B20">
        <v>68330</v>
      </c>
      <c r="C20">
        <v>19384</v>
      </c>
      <c r="D20">
        <v>18376</v>
      </c>
      <c r="E20">
        <v>14507</v>
      </c>
      <c r="F20">
        <v>11880</v>
      </c>
      <c r="G20">
        <v>10017</v>
      </c>
      <c r="I20">
        <f t="shared" si="0"/>
        <v>0.28368213083565053</v>
      </c>
      <c r="J20">
        <f t="shared" si="1"/>
        <v>0.28030409735189316</v>
      </c>
      <c r="K20">
        <f t="shared" si="2"/>
        <v>0.28707854201078598</v>
      </c>
    </row>
    <row r="21" spans="1:11" x14ac:dyDescent="0.3">
      <c r="A21">
        <v>2009</v>
      </c>
      <c r="B21">
        <v>68450</v>
      </c>
      <c r="C21">
        <v>20022</v>
      </c>
      <c r="D21">
        <v>18987</v>
      </c>
      <c r="E21">
        <v>14973</v>
      </c>
      <c r="F21">
        <v>12253</v>
      </c>
      <c r="G21">
        <v>10289</v>
      </c>
      <c r="I21">
        <f t="shared" si="0"/>
        <v>0.29250547845142438</v>
      </c>
      <c r="J21">
        <f t="shared" si="1"/>
        <v>0.28909910198506455</v>
      </c>
      <c r="K21">
        <f t="shared" si="2"/>
        <v>0.29592945160161632</v>
      </c>
    </row>
    <row r="22" spans="1:11" x14ac:dyDescent="0.3">
      <c r="A22">
        <v>2010</v>
      </c>
      <c r="B22">
        <v>70953</v>
      </c>
      <c r="C22">
        <v>21194</v>
      </c>
      <c r="D22">
        <v>20061</v>
      </c>
      <c r="E22">
        <v>15832</v>
      </c>
      <c r="F22">
        <v>13008</v>
      </c>
      <c r="G22">
        <v>10969</v>
      </c>
      <c r="I22">
        <f t="shared" si="0"/>
        <v>0.29870477640127974</v>
      </c>
      <c r="J22">
        <f t="shared" si="1"/>
        <v>0.29533830859291821</v>
      </c>
      <c r="K22">
        <f t="shared" si="2"/>
        <v>0.30208771185388072</v>
      </c>
    </row>
    <row r="23" spans="1:11" x14ac:dyDescent="0.3">
      <c r="A23">
        <v>2011</v>
      </c>
      <c r="B23">
        <v>74380</v>
      </c>
      <c r="C23">
        <v>22946</v>
      </c>
      <c r="D23">
        <v>21722</v>
      </c>
      <c r="E23">
        <v>17191</v>
      </c>
      <c r="F23">
        <v>14229</v>
      </c>
      <c r="G23">
        <v>12050</v>
      </c>
      <c r="I23">
        <f t="shared" si="0"/>
        <v>0.30849690777090616</v>
      </c>
      <c r="J23">
        <f t="shared" si="1"/>
        <v>0.30517843735165562</v>
      </c>
      <c r="K23">
        <f t="shared" si="2"/>
        <v>0.31183032161695323</v>
      </c>
    </row>
    <row r="24" spans="1:11" x14ac:dyDescent="0.3">
      <c r="A24">
        <v>2012</v>
      </c>
      <c r="B24">
        <v>74534</v>
      </c>
      <c r="C24">
        <v>23327</v>
      </c>
      <c r="D24">
        <v>22042</v>
      </c>
      <c r="E24">
        <v>17506</v>
      </c>
      <c r="F24">
        <v>14531</v>
      </c>
      <c r="G24">
        <v>12344</v>
      </c>
      <c r="I24">
        <f t="shared" si="0"/>
        <v>0.31297126143773313</v>
      </c>
      <c r="J24">
        <f t="shared" si="1"/>
        <v>0.30964290946947293</v>
      </c>
      <c r="K24">
        <f t="shared" si="2"/>
        <v>0.31631417734113954</v>
      </c>
    </row>
    <row r="25" spans="1:11" x14ac:dyDescent="0.3">
      <c r="A25">
        <v>2013</v>
      </c>
      <c r="B25">
        <v>75326</v>
      </c>
      <c r="C25">
        <v>24328</v>
      </c>
      <c r="D25">
        <v>22983</v>
      </c>
      <c r="E25">
        <v>18353</v>
      </c>
      <c r="F25">
        <v>15131</v>
      </c>
      <c r="G25">
        <v>12997</v>
      </c>
      <c r="I25">
        <f t="shared" si="0"/>
        <v>0.32296949260547486</v>
      </c>
      <c r="J25">
        <f t="shared" si="1"/>
        <v>0.3196303855609427</v>
      </c>
      <c r="K25">
        <f t="shared" si="2"/>
        <v>0.32632223958853368</v>
      </c>
    </row>
    <row r="26" spans="1:11" x14ac:dyDescent="0.3">
      <c r="A26">
        <v>2014</v>
      </c>
      <c r="B26">
        <v>72771</v>
      </c>
      <c r="C26">
        <v>23606</v>
      </c>
      <c r="D26">
        <v>22207</v>
      </c>
      <c r="E26">
        <v>17738</v>
      </c>
      <c r="F26">
        <v>14785</v>
      </c>
      <c r="G26">
        <v>12684</v>
      </c>
      <c r="I26">
        <f t="shared" si="0"/>
        <v>0.32438746203844937</v>
      </c>
      <c r="J26">
        <f t="shared" si="1"/>
        <v>0.32098630884722434</v>
      </c>
      <c r="K26">
        <f t="shared" si="2"/>
        <v>0.32780262156796836</v>
      </c>
    </row>
    <row r="27" spans="1:11" x14ac:dyDescent="0.3">
      <c r="A27">
        <v>2015</v>
      </c>
      <c r="B27">
        <v>73088</v>
      </c>
      <c r="C27">
        <v>24205</v>
      </c>
      <c r="D27">
        <v>22720</v>
      </c>
      <c r="E27">
        <v>18295</v>
      </c>
      <c r="F27">
        <v>15292</v>
      </c>
      <c r="G27">
        <v>13193</v>
      </c>
      <c r="I27">
        <f t="shared" si="0"/>
        <v>0.33117611646234674</v>
      </c>
      <c r="J27">
        <f t="shared" si="1"/>
        <v>0.32776402022246859</v>
      </c>
      <c r="K27">
        <f t="shared" si="2"/>
        <v>0.334601618931615</v>
      </c>
    </row>
    <row r="28" spans="1:11" x14ac:dyDescent="0.3">
      <c r="A28">
        <v>2016</v>
      </c>
      <c r="B28">
        <v>73888</v>
      </c>
      <c r="C28">
        <v>24735</v>
      </c>
      <c r="D28">
        <v>23243</v>
      </c>
      <c r="E28">
        <v>18679</v>
      </c>
      <c r="F28">
        <v>15542</v>
      </c>
      <c r="G28">
        <v>13338</v>
      </c>
      <c r="I28">
        <f t="shared" si="0"/>
        <v>0.33476342572542228</v>
      </c>
      <c r="J28">
        <f t="shared" si="1"/>
        <v>0.33136054339156518</v>
      </c>
      <c r="K28">
        <f t="shared" si="2"/>
        <v>0.33817928707851042</v>
      </c>
    </row>
    <row r="29" spans="1:11" x14ac:dyDescent="0.3">
      <c r="A29">
        <v>2017</v>
      </c>
      <c r="B29">
        <v>73771</v>
      </c>
      <c r="C29">
        <v>23964</v>
      </c>
      <c r="D29">
        <v>22417</v>
      </c>
      <c r="E29">
        <v>17948</v>
      </c>
      <c r="F29">
        <v>14833</v>
      </c>
      <c r="G29">
        <v>12661</v>
      </c>
      <c r="I29">
        <f t="shared" si="0"/>
        <v>0.32484309552534196</v>
      </c>
      <c r="J29">
        <f t="shared" si="1"/>
        <v>0.32146382192527645</v>
      </c>
      <c r="K29">
        <f t="shared" si="2"/>
        <v>0.32823614949425117</v>
      </c>
    </row>
    <row r="30" spans="1:11" x14ac:dyDescent="0.3">
      <c r="A30">
        <v>2018</v>
      </c>
      <c r="B30">
        <v>74580</v>
      </c>
      <c r="C30">
        <v>24167</v>
      </c>
      <c r="D30">
        <v>22629</v>
      </c>
      <c r="E30">
        <v>18182</v>
      </c>
      <c r="F30">
        <v>15091</v>
      </c>
      <c r="G30">
        <v>12950</v>
      </c>
      <c r="I30">
        <f t="shared" si="0"/>
        <v>0.32404129793510322</v>
      </c>
      <c r="J30">
        <f t="shared" si="1"/>
        <v>0.32068259022221574</v>
      </c>
      <c r="K30">
        <f t="shared" si="2"/>
        <v>0.32741369876097637</v>
      </c>
    </row>
    <row r="31" spans="1:11" x14ac:dyDescent="0.3">
      <c r="A31">
        <v>2019</v>
      </c>
      <c r="B31">
        <v>74905</v>
      </c>
      <c r="C31">
        <v>24210</v>
      </c>
      <c r="D31">
        <v>22621</v>
      </c>
      <c r="E31">
        <v>18072</v>
      </c>
      <c r="F31">
        <v>15088</v>
      </c>
      <c r="G31">
        <v>13002</v>
      </c>
      <c r="I31">
        <f t="shared" si="0"/>
        <v>0.32320939857152392</v>
      </c>
      <c r="J31">
        <f t="shared" si="1"/>
        <v>0.31986026267652812</v>
      </c>
      <c r="K31">
        <f t="shared" si="2"/>
        <v>0.32657223257185164</v>
      </c>
    </row>
    <row r="32" spans="1:11" x14ac:dyDescent="0.3">
      <c r="A32">
        <v>2020</v>
      </c>
      <c r="B32">
        <v>82212</v>
      </c>
      <c r="C32">
        <v>26155</v>
      </c>
      <c r="D32">
        <v>24490</v>
      </c>
      <c r="E32">
        <v>19669</v>
      </c>
      <c r="F32">
        <v>16323</v>
      </c>
      <c r="G32">
        <v>14068</v>
      </c>
      <c r="I32">
        <f t="shared" si="0"/>
        <v>0.31814090400428163</v>
      </c>
      <c r="J32">
        <f t="shared" si="1"/>
        <v>0.31495754420369626</v>
      </c>
      <c r="K32">
        <f t="shared" si="2"/>
        <v>0.32133710085562917</v>
      </c>
    </row>
    <row r="33" spans="1:11" x14ac:dyDescent="0.3">
      <c r="A33">
        <v>2021</v>
      </c>
      <c r="B33">
        <v>82375</v>
      </c>
      <c r="C33">
        <v>26185</v>
      </c>
      <c r="D33">
        <v>24520</v>
      </c>
      <c r="E33">
        <v>19727</v>
      </c>
      <c r="F33">
        <v>16490</v>
      </c>
      <c r="G33">
        <v>14271</v>
      </c>
      <c r="I33">
        <f t="shared" si="0"/>
        <v>0.31787556904400605</v>
      </c>
      <c r="J33">
        <f t="shared" si="1"/>
        <v>0.31469607733059335</v>
      </c>
      <c r="K33">
        <f t="shared" si="2"/>
        <v>0.32106789107476208</v>
      </c>
    </row>
    <row r="34" spans="1:11" x14ac:dyDescent="0.3">
      <c r="A34">
        <v>2022</v>
      </c>
      <c r="B34">
        <v>72683</v>
      </c>
      <c r="C34">
        <v>23109</v>
      </c>
      <c r="D34">
        <v>21616</v>
      </c>
      <c r="E34">
        <v>17288</v>
      </c>
      <c r="F34">
        <v>14560</v>
      </c>
      <c r="G34">
        <v>12588</v>
      </c>
      <c r="I34">
        <f t="shared" si="0"/>
        <v>0.31794229737352614</v>
      </c>
      <c r="J34">
        <f t="shared" si="1"/>
        <v>0.31455728948709039</v>
      </c>
      <c r="K34">
        <f t="shared" si="2"/>
        <v>0.32134184345481998</v>
      </c>
    </row>
    <row r="35" spans="1:11" x14ac:dyDescent="0.3">
      <c r="A35">
        <v>2023</v>
      </c>
      <c r="B35">
        <v>67683</v>
      </c>
      <c r="C35">
        <v>21184</v>
      </c>
      <c r="D35">
        <v>19812</v>
      </c>
      <c r="E35">
        <v>15903</v>
      </c>
      <c r="F35">
        <v>13365</v>
      </c>
      <c r="G35">
        <v>11647</v>
      </c>
      <c r="I35">
        <f t="shared" si="0"/>
        <v>0.31298849046289318</v>
      </c>
      <c r="J35">
        <f t="shared" si="1"/>
        <v>0.30949573019214027</v>
      </c>
      <c r="K35">
        <f t="shared" si="2"/>
        <v>0.31649728945633526</v>
      </c>
    </row>
    <row r="36" spans="1:11" x14ac:dyDescent="0.3">
      <c r="A36">
        <v>2024</v>
      </c>
      <c r="B36">
        <v>69046</v>
      </c>
      <c r="C36">
        <v>21495</v>
      </c>
      <c r="D36">
        <v>20145</v>
      </c>
      <c r="E36">
        <v>15873</v>
      </c>
      <c r="F36">
        <v>13302</v>
      </c>
      <c r="G36">
        <v>11514</v>
      </c>
      <c r="I36">
        <f t="shared" si="0"/>
        <v>0.31131419633287954</v>
      </c>
      <c r="J36">
        <f t="shared" si="1"/>
        <v>0.30786120771861369</v>
      </c>
      <c r="K36">
        <f t="shared" si="2"/>
        <v>0.31478304744794039</v>
      </c>
    </row>
    <row r="37" spans="1:11" x14ac:dyDescent="0.3">
      <c r="A37">
        <v>2025</v>
      </c>
      <c r="B37">
        <v>43477</v>
      </c>
      <c r="C37">
        <v>13782</v>
      </c>
      <c r="D37">
        <v>12881</v>
      </c>
      <c r="E37">
        <v>10156</v>
      </c>
      <c r="F37">
        <v>8566</v>
      </c>
      <c r="G37">
        <v>7473</v>
      </c>
      <c r="I37">
        <f t="shared" si="0"/>
        <v>0.31699519286059297</v>
      </c>
      <c r="J37">
        <f t="shared" si="1"/>
        <v>0.31262225393801402</v>
      </c>
      <c r="K37">
        <f t="shared" si="2"/>
        <v>0.32139258150173189</v>
      </c>
    </row>
    <row r="38" spans="1:11" x14ac:dyDescent="0.3">
      <c r="A38" t="s">
        <v>7</v>
      </c>
      <c r="B38">
        <f t="shared" ref="B38:G38" si="3">SUM(B2:B37)</f>
        <v>2125833</v>
      </c>
      <c r="C38">
        <f t="shared" si="3"/>
        <v>614361</v>
      </c>
      <c r="D38">
        <f t="shared" si="3"/>
        <v>581397</v>
      </c>
      <c r="E38">
        <f t="shared" si="3"/>
        <v>457562</v>
      </c>
      <c r="F38">
        <f t="shared" si="3"/>
        <v>372494</v>
      </c>
      <c r="G38">
        <f t="shared" si="3"/>
        <v>316358</v>
      </c>
    </row>
    <row r="39" spans="1:11" x14ac:dyDescent="0.3">
      <c r="A39" t="s">
        <v>8</v>
      </c>
      <c r="B39">
        <f>MAX(B2:B37)</f>
        <v>82375</v>
      </c>
      <c r="C39">
        <f t="shared" ref="C39:G39" si="4">MAX(C2:C37)</f>
        <v>26185</v>
      </c>
      <c r="D39">
        <f t="shared" si="4"/>
        <v>24520</v>
      </c>
      <c r="E39">
        <f t="shared" si="4"/>
        <v>19727</v>
      </c>
      <c r="F39">
        <f t="shared" si="4"/>
        <v>16490</v>
      </c>
      <c r="G39">
        <f t="shared" si="4"/>
        <v>14271</v>
      </c>
    </row>
    <row r="40" spans="1:11" x14ac:dyDescent="0.3">
      <c r="A40" t="s">
        <v>9</v>
      </c>
      <c r="B40">
        <f>MIN(B2:B37)</f>
        <v>31431</v>
      </c>
      <c r="C40">
        <f t="shared" ref="C40:G40" si="5">MIN(C2:C37)</f>
        <v>5369</v>
      </c>
      <c r="D40">
        <f t="shared" si="5"/>
        <v>5225</v>
      </c>
      <c r="E40">
        <f t="shared" si="5"/>
        <v>3917</v>
      </c>
      <c r="F40">
        <f t="shared" si="5"/>
        <v>2796</v>
      </c>
      <c r="G40">
        <f t="shared" si="5"/>
        <v>2337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K40"/>
  <sheetViews>
    <sheetView zoomScale="70" zoomScaleNormal="70" workbookViewId="0">
      <selection activeCell="I18" sqref="I18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278716</v>
      </c>
      <c r="C2">
        <v>20882</v>
      </c>
      <c r="D2">
        <v>20465</v>
      </c>
      <c r="E2">
        <v>14811</v>
      </c>
      <c r="F2">
        <v>9688</v>
      </c>
      <c r="G2">
        <v>8163</v>
      </c>
      <c r="I2">
        <f>C2/B2</f>
        <v>7.4922142969904848E-2</v>
      </c>
      <c r="J2">
        <f>IF(C2=0, 0, _xlfn.BETA.INV(0.025, C2, B2-C2+1))</f>
        <v>7.3947396924349651E-2</v>
      </c>
      <c r="K2">
        <f>IF(C2=B2, 1, _xlfn.BETA.INV(0.975, C2+1, B2-C2))</f>
        <v>7.5905738835107761E-2</v>
      </c>
    </row>
    <row r="3" spans="1:11" x14ac:dyDescent="0.3">
      <c r="A3">
        <v>1991</v>
      </c>
      <c r="B3">
        <v>281501</v>
      </c>
      <c r="C3">
        <v>22765</v>
      </c>
      <c r="D3">
        <v>22311</v>
      </c>
      <c r="E3">
        <v>16102</v>
      </c>
      <c r="F3">
        <v>10510</v>
      </c>
      <c r="G3">
        <v>8856</v>
      </c>
      <c r="I3">
        <f t="shared" ref="I3:I35" si="0">C3/B3</f>
        <v>8.0870050195203574E-2</v>
      </c>
    </row>
    <row r="4" spans="1:11" x14ac:dyDescent="0.3">
      <c r="A4">
        <v>1992</v>
      </c>
      <c r="B4">
        <v>287106</v>
      </c>
      <c r="C4">
        <v>25095</v>
      </c>
      <c r="D4">
        <v>24595</v>
      </c>
      <c r="E4">
        <v>17804</v>
      </c>
      <c r="F4">
        <v>11778</v>
      </c>
      <c r="G4">
        <v>9760</v>
      </c>
      <c r="I4">
        <f t="shared" si="0"/>
        <v>8.7406741760882742E-2</v>
      </c>
    </row>
    <row r="5" spans="1:11" x14ac:dyDescent="0.3">
      <c r="A5">
        <v>1993</v>
      </c>
      <c r="B5">
        <v>292438</v>
      </c>
      <c r="C5">
        <v>27237</v>
      </c>
      <c r="D5">
        <v>26549</v>
      </c>
      <c r="E5">
        <v>18984</v>
      </c>
      <c r="F5">
        <v>12941</v>
      </c>
      <c r="G5">
        <v>10847</v>
      </c>
      <c r="I5">
        <f t="shared" si="0"/>
        <v>9.3137690724187691E-2</v>
      </c>
    </row>
    <row r="6" spans="1:11" x14ac:dyDescent="0.3">
      <c r="A6">
        <v>1994</v>
      </c>
      <c r="B6">
        <v>300383</v>
      </c>
      <c r="C6">
        <v>29583</v>
      </c>
      <c r="D6">
        <v>28778</v>
      </c>
      <c r="E6">
        <v>20638</v>
      </c>
      <c r="F6">
        <v>14177</v>
      </c>
      <c r="G6">
        <v>11848</v>
      </c>
      <c r="I6">
        <f t="shared" si="0"/>
        <v>9.8484268417320553E-2</v>
      </c>
    </row>
    <row r="7" spans="1:11" x14ac:dyDescent="0.3">
      <c r="A7">
        <v>1995</v>
      </c>
      <c r="B7">
        <v>309682</v>
      </c>
      <c r="C7">
        <v>31986</v>
      </c>
      <c r="D7">
        <v>31046</v>
      </c>
      <c r="E7">
        <v>22162</v>
      </c>
      <c r="F7">
        <v>15332</v>
      </c>
      <c r="G7">
        <v>12815</v>
      </c>
      <c r="I7">
        <f t="shared" si="0"/>
        <v>0.1032865972190828</v>
      </c>
    </row>
    <row r="8" spans="1:11" x14ac:dyDescent="0.3">
      <c r="A8">
        <v>1996</v>
      </c>
      <c r="B8">
        <v>315735</v>
      </c>
      <c r="C8">
        <v>34368</v>
      </c>
      <c r="D8">
        <v>33365</v>
      </c>
      <c r="E8">
        <v>23873</v>
      </c>
      <c r="F8">
        <v>16727</v>
      </c>
      <c r="G8">
        <v>13919</v>
      </c>
      <c r="I8">
        <f t="shared" si="0"/>
        <v>0.10885077675899092</v>
      </c>
    </row>
    <row r="9" spans="1:11" x14ac:dyDescent="0.3">
      <c r="A9">
        <v>1997</v>
      </c>
      <c r="B9">
        <v>324663</v>
      </c>
      <c r="C9">
        <v>36618</v>
      </c>
      <c r="D9">
        <v>35482</v>
      </c>
      <c r="E9">
        <v>25218</v>
      </c>
      <c r="F9">
        <v>18079</v>
      </c>
      <c r="G9">
        <v>15109</v>
      </c>
      <c r="I9">
        <f t="shared" si="0"/>
        <v>0.11278772142190517</v>
      </c>
    </row>
    <row r="10" spans="1:11" x14ac:dyDescent="0.3">
      <c r="A10">
        <v>1998</v>
      </c>
      <c r="B10">
        <v>340071</v>
      </c>
      <c r="C10">
        <v>38557</v>
      </c>
      <c r="D10">
        <v>37285</v>
      </c>
      <c r="E10">
        <v>26461</v>
      </c>
      <c r="F10">
        <v>18960</v>
      </c>
      <c r="G10">
        <v>15866</v>
      </c>
      <c r="I10">
        <f t="shared" si="0"/>
        <v>0.11337926491820825</v>
      </c>
    </row>
    <row r="11" spans="1:11" x14ac:dyDescent="0.3">
      <c r="A11">
        <v>1999</v>
      </c>
      <c r="B11">
        <v>349352</v>
      </c>
      <c r="C11">
        <v>40973</v>
      </c>
      <c r="D11">
        <v>39613</v>
      </c>
      <c r="E11">
        <v>28166</v>
      </c>
      <c r="F11">
        <v>20422</v>
      </c>
      <c r="G11">
        <v>17086</v>
      </c>
      <c r="I11">
        <f t="shared" si="0"/>
        <v>0.1172828551146122</v>
      </c>
    </row>
    <row r="12" spans="1:11" x14ac:dyDescent="0.3">
      <c r="A12">
        <v>2000</v>
      </c>
      <c r="B12">
        <v>376786</v>
      </c>
      <c r="C12">
        <v>42661</v>
      </c>
      <c r="D12">
        <v>41120</v>
      </c>
      <c r="E12">
        <v>29205</v>
      </c>
      <c r="F12">
        <v>21319</v>
      </c>
      <c r="G12">
        <v>17758</v>
      </c>
      <c r="I12">
        <f t="shared" si="0"/>
        <v>0.11322342125238199</v>
      </c>
    </row>
    <row r="13" spans="1:11" x14ac:dyDescent="0.3">
      <c r="A13">
        <v>2001</v>
      </c>
      <c r="B13">
        <v>396538</v>
      </c>
      <c r="C13">
        <v>45978</v>
      </c>
      <c r="D13">
        <v>44383</v>
      </c>
      <c r="E13">
        <v>31599</v>
      </c>
      <c r="F13">
        <v>23019</v>
      </c>
      <c r="G13">
        <v>19202</v>
      </c>
      <c r="I13">
        <f t="shared" si="0"/>
        <v>0.11594853456667457</v>
      </c>
    </row>
    <row r="14" spans="1:11" x14ac:dyDescent="0.3">
      <c r="A14">
        <v>2002</v>
      </c>
      <c r="B14">
        <v>416028</v>
      </c>
      <c r="C14">
        <v>49350</v>
      </c>
      <c r="D14">
        <v>47529</v>
      </c>
      <c r="E14">
        <v>33789</v>
      </c>
      <c r="F14">
        <v>24677</v>
      </c>
      <c r="G14">
        <v>20648</v>
      </c>
      <c r="I14">
        <f t="shared" si="0"/>
        <v>0.11862182353110848</v>
      </c>
    </row>
    <row r="15" spans="1:11" x14ac:dyDescent="0.3">
      <c r="A15">
        <v>2003</v>
      </c>
      <c r="B15">
        <v>445521</v>
      </c>
      <c r="C15">
        <v>55143</v>
      </c>
      <c r="D15">
        <v>53026</v>
      </c>
      <c r="E15">
        <v>37528</v>
      </c>
      <c r="F15">
        <v>27474</v>
      </c>
      <c r="G15">
        <v>22987</v>
      </c>
      <c r="I15">
        <f t="shared" si="0"/>
        <v>0.12377194341007494</v>
      </c>
    </row>
    <row r="16" spans="1:11" x14ac:dyDescent="0.3">
      <c r="A16">
        <v>2004</v>
      </c>
      <c r="B16">
        <v>481295</v>
      </c>
      <c r="C16">
        <v>61013</v>
      </c>
      <c r="D16">
        <v>58568</v>
      </c>
      <c r="E16">
        <v>41400</v>
      </c>
      <c r="F16">
        <v>30558</v>
      </c>
      <c r="G16">
        <v>25598</v>
      </c>
      <c r="I16">
        <f t="shared" si="0"/>
        <v>0.12676840607112061</v>
      </c>
    </row>
    <row r="17" spans="1:9" x14ac:dyDescent="0.3">
      <c r="A17">
        <v>2005</v>
      </c>
      <c r="B17">
        <v>536057</v>
      </c>
      <c r="C17">
        <v>70238</v>
      </c>
      <c r="D17">
        <v>67396</v>
      </c>
      <c r="E17">
        <v>47622</v>
      </c>
      <c r="F17">
        <v>35274</v>
      </c>
      <c r="G17">
        <v>29556</v>
      </c>
      <c r="I17">
        <f t="shared" si="0"/>
        <v>0.13102711092290559</v>
      </c>
    </row>
    <row r="18" spans="1:9" x14ac:dyDescent="0.3">
      <c r="A18">
        <v>2006</v>
      </c>
      <c r="B18">
        <v>579809</v>
      </c>
      <c r="C18">
        <v>76101</v>
      </c>
      <c r="D18">
        <v>72948</v>
      </c>
      <c r="E18">
        <v>51619</v>
      </c>
      <c r="F18">
        <v>38375</v>
      </c>
      <c r="G18">
        <v>32084</v>
      </c>
      <c r="I18">
        <f t="shared" si="0"/>
        <v>0.13125184327942477</v>
      </c>
    </row>
    <row r="19" spans="1:9" x14ac:dyDescent="0.3">
      <c r="A19">
        <v>2007</v>
      </c>
      <c r="B19">
        <v>616538</v>
      </c>
      <c r="C19">
        <v>83458</v>
      </c>
      <c r="D19">
        <v>80020</v>
      </c>
      <c r="E19">
        <v>56748</v>
      </c>
      <c r="F19">
        <v>42653</v>
      </c>
      <c r="G19">
        <v>35846</v>
      </c>
      <c r="I19">
        <f t="shared" si="0"/>
        <v>0.13536554113452862</v>
      </c>
    </row>
    <row r="20" spans="1:9" x14ac:dyDescent="0.3">
      <c r="A20">
        <v>2008</v>
      </c>
      <c r="B20">
        <v>648270</v>
      </c>
      <c r="C20">
        <v>90623</v>
      </c>
      <c r="D20">
        <v>86796</v>
      </c>
      <c r="E20">
        <v>61577</v>
      </c>
      <c r="F20">
        <v>46324</v>
      </c>
      <c r="G20">
        <v>38857</v>
      </c>
      <c r="I20">
        <f t="shared" si="0"/>
        <v>0.13979206194949637</v>
      </c>
    </row>
    <row r="21" spans="1:9" x14ac:dyDescent="0.3">
      <c r="A21">
        <v>2009</v>
      </c>
      <c r="B21">
        <v>676468</v>
      </c>
      <c r="C21">
        <v>96924</v>
      </c>
      <c r="D21">
        <v>92765</v>
      </c>
      <c r="E21">
        <v>65488</v>
      </c>
      <c r="F21">
        <v>49591</v>
      </c>
      <c r="G21">
        <v>41533</v>
      </c>
      <c r="I21">
        <f t="shared" si="0"/>
        <v>0.1432795047215833</v>
      </c>
    </row>
    <row r="22" spans="1:9" x14ac:dyDescent="0.3">
      <c r="A22">
        <v>2010</v>
      </c>
      <c r="B22">
        <v>725028</v>
      </c>
      <c r="C22">
        <v>106185</v>
      </c>
      <c r="D22">
        <v>101466</v>
      </c>
      <c r="E22">
        <v>71570</v>
      </c>
      <c r="F22">
        <v>54669</v>
      </c>
      <c r="G22">
        <v>45951</v>
      </c>
      <c r="I22">
        <f t="shared" si="0"/>
        <v>0.14645641271785365</v>
      </c>
    </row>
    <row r="23" spans="1:9" x14ac:dyDescent="0.3">
      <c r="A23">
        <v>2011</v>
      </c>
      <c r="B23">
        <v>776404</v>
      </c>
      <c r="C23">
        <v>118039</v>
      </c>
      <c r="D23">
        <v>112812</v>
      </c>
      <c r="E23">
        <v>79922</v>
      </c>
      <c r="F23">
        <v>61583</v>
      </c>
      <c r="G23">
        <v>51907</v>
      </c>
      <c r="I23">
        <f t="shared" si="0"/>
        <v>0.15203296222069954</v>
      </c>
    </row>
    <row r="24" spans="1:9" x14ac:dyDescent="0.3">
      <c r="A24">
        <v>2012</v>
      </c>
      <c r="B24">
        <v>820315</v>
      </c>
      <c r="C24">
        <v>128508</v>
      </c>
      <c r="D24">
        <v>122788</v>
      </c>
      <c r="E24">
        <v>87028</v>
      </c>
      <c r="F24">
        <v>67308</v>
      </c>
      <c r="G24">
        <v>56892</v>
      </c>
      <c r="I24">
        <f t="shared" si="0"/>
        <v>0.15665689399803734</v>
      </c>
    </row>
    <row r="25" spans="1:9" x14ac:dyDescent="0.3">
      <c r="A25">
        <v>2013</v>
      </c>
      <c r="B25">
        <v>855653</v>
      </c>
      <c r="C25">
        <v>138951</v>
      </c>
      <c r="D25">
        <v>132568</v>
      </c>
      <c r="E25">
        <v>94486</v>
      </c>
      <c r="F25">
        <v>73721</v>
      </c>
      <c r="G25">
        <v>62217</v>
      </c>
      <c r="I25">
        <f t="shared" si="0"/>
        <v>0.16239176395104091</v>
      </c>
    </row>
    <row r="26" spans="1:9" x14ac:dyDescent="0.3">
      <c r="A26">
        <v>2014</v>
      </c>
      <c r="B26">
        <v>876761</v>
      </c>
      <c r="C26">
        <v>146519</v>
      </c>
      <c r="D26">
        <v>139747</v>
      </c>
      <c r="E26">
        <v>100124</v>
      </c>
      <c r="F26">
        <v>78580</v>
      </c>
      <c r="G26">
        <v>66535</v>
      </c>
      <c r="I26">
        <f t="shared" si="0"/>
        <v>0.16711395693923428</v>
      </c>
    </row>
    <row r="27" spans="1:9" x14ac:dyDescent="0.3">
      <c r="A27">
        <v>2015</v>
      </c>
      <c r="B27">
        <v>884808</v>
      </c>
      <c r="C27">
        <v>153235</v>
      </c>
      <c r="D27">
        <v>146037</v>
      </c>
      <c r="E27">
        <v>104560</v>
      </c>
      <c r="F27">
        <v>82658</v>
      </c>
      <c r="G27">
        <v>70259</v>
      </c>
      <c r="I27">
        <f t="shared" si="0"/>
        <v>0.17318446487825606</v>
      </c>
    </row>
    <row r="28" spans="1:9" x14ac:dyDescent="0.3">
      <c r="A28">
        <v>2016</v>
      </c>
      <c r="B28">
        <v>881192</v>
      </c>
      <c r="C28">
        <v>155077</v>
      </c>
      <c r="D28">
        <v>147549</v>
      </c>
      <c r="E28">
        <v>106446</v>
      </c>
      <c r="F28">
        <v>84458</v>
      </c>
      <c r="G28">
        <v>71734</v>
      </c>
      <c r="I28">
        <f t="shared" si="0"/>
        <v>0.17598548329989377</v>
      </c>
    </row>
    <row r="29" spans="1:9" x14ac:dyDescent="0.3">
      <c r="A29">
        <v>2017</v>
      </c>
      <c r="B29">
        <v>882495</v>
      </c>
      <c r="C29">
        <v>157484</v>
      </c>
      <c r="D29">
        <v>149644</v>
      </c>
      <c r="E29">
        <v>107556</v>
      </c>
      <c r="F29">
        <v>85771</v>
      </c>
      <c r="G29">
        <v>72724</v>
      </c>
      <c r="I29">
        <f t="shared" si="0"/>
        <v>0.17845313571181706</v>
      </c>
    </row>
    <row r="30" spans="1:9" x14ac:dyDescent="0.3">
      <c r="A30">
        <v>2018</v>
      </c>
      <c r="B30">
        <v>900568</v>
      </c>
      <c r="C30">
        <v>162452</v>
      </c>
      <c r="D30">
        <v>154150</v>
      </c>
      <c r="E30">
        <v>110928</v>
      </c>
      <c r="F30">
        <v>88544</v>
      </c>
      <c r="G30">
        <v>75345</v>
      </c>
      <c r="I30">
        <f t="shared" si="0"/>
        <v>0.18038837711311084</v>
      </c>
    </row>
    <row r="31" spans="1:9" x14ac:dyDescent="0.3">
      <c r="A31">
        <v>2019</v>
      </c>
      <c r="B31">
        <v>941231</v>
      </c>
      <c r="C31">
        <v>169776</v>
      </c>
      <c r="D31">
        <v>161183</v>
      </c>
      <c r="E31">
        <v>115974</v>
      </c>
      <c r="F31">
        <v>93186</v>
      </c>
      <c r="G31">
        <v>79696</v>
      </c>
      <c r="I31">
        <f t="shared" si="0"/>
        <v>0.18037654943366718</v>
      </c>
    </row>
    <row r="32" spans="1:9" x14ac:dyDescent="0.3">
      <c r="A32">
        <v>2020</v>
      </c>
      <c r="B32">
        <v>1043379</v>
      </c>
      <c r="C32">
        <v>191959</v>
      </c>
      <c r="D32">
        <v>182267</v>
      </c>
      <c r="E32">
        <v>131521</v>
      </c>
      <c r="F32">
        <v>106366</v>
      </c>
      <c r="G32">
        <v>90926</v>
      </c>
      <c r="I32">
        <f t="shared" si="0"/>
        <v>0.18397820926048924</v>
      </c>
    </row>
    <row r="33" spans="1:11" x14ac:dyDescent="0.3">
      <c r="A33">
        <v>2021</v>
      </c>
      <c r="B33">
        <v>1112394</v>
      </c>
      <c r="C33">
        <v>206278</v>
      </c>
      <c r="D33">
        <v>195883</v>
      </c>
      <c r="E33">
        <v>142128</v>
      </c>
      <c r="F33">
        <v>115886</v>
      </c>
      <c r="G33">
        <v>99368</v>
      </c>
      <c r="I33">
        <f t="shared" si="0"/>
        <v>0.18543609548415399</v>
      </c>
    </row>
    <row r="34" spans="1:11" x14ac:dyDescent="0.3">
      <c r="A34">
        <v>2022</v>
      </c>
      <c r="B34">
        <v>1092792</v>
      </c>
      <c r="C34">
        <v>197052</v>
      </c>
      <c r="D34">
        <v>187225</v>
      </c>
      <c r="E34">
        <v>134705</v>
      </c>
      <c r="F34">
        <v>110140</v>
      </c>
      <c r="G34">
        <v>94992</v>
      </c>
      <c r="I34">
        <f t="shared" si="0"/>
        <v>0.1803197680802934</v>
      </c>
    </row>
    <row r="35" spans="1:11" x14ac:dyDescent="0.3">
      <c r="A35">
        <v>2023</v>
      </c>
      <c r="B35">
        <v>978968</v>
      </c>
      <c r="C35">
        <v>178431</v>
      </c>
      <c r="D35">
        <v>169624</v>
      </c>
      <c r="E35">
        <v>122398</v>
      </c>
      <c r="F35">
        <v>100771</v>
      </c>
      <c r="G35">
        <v>86746</v>
      </c>
      <c r="I35">
        <f t="shared" si="0"/>
        <v>0.18226438453555172</v>
      </c>
    </row>
    <row r="36" spans="1:11" x14ac:dyDescent="0.3">
      <c r="A36">
        <v>2024</v>
      </c>
      <c r="B36">
        <v>1018395</v>
      </c>
      <c r="C36">
        <v>184181</v>
      </c>
      <c r="D36">
        <v>175350</v>
      </c>
      <c r="E36">
        <v>125609</v>
      </c>
      <c r="F36">
        <v>103764</v>
      </c>
      <c r="G36">
        <v>89628</v>
      </c>
      <c r="I36">
        <f>C36/B36</f>
        <v>0.18085418722597812</v>
      </c>
      <c r="J36">
        <f>IF(C36=0, 0, _xlfn.BETA.INV(0.025, C36, B36-C36+1))</f>
        <v>0.18010706391102183</v>
      </c>
      <c r="K36">
        <f>IF(C36=B36, 1, _xlfn.BETA.INV(0.975, C36+1, B36-C36))</f>
        <v>0.18160312616103857</v>
      </c>
    </row>
    <row r="37" spans="1:11" x14ac:dyDescent="0.3">
      <c r="A37">
        <v>2025</v>
      </c>
      <c r="B37">
        <v>691456</v>
      </c>
      <c r="C37">
        <v>126805</v>
      </c>
      <c r="D37">
        <v>121081</v>
      </c>
      <c r="E37">
        <v>87054</v>
      </c>
      <c r="F37">
        <v>72248</v>
      </c>
      <c r="G37">
        <v>62848</v>
      </c>
      <c r="I37">
        <f>C37/B37</f>
        <v>0.18338838624583487</v>
      </c>
      <c r="J37">
        <f>IF(C37=0, 0, _xlfn.BETA.INV(0.025, C37, B37-C37+1))</f>
        <v>0.18247685501778182</v>
      </c>
      <c r="K37">
        <f>IF(C37=B37, 1, _xlfn.BETA.INV(0.975, C37+1, B37-C37))</f>
        <v>0.1843025708104612</v>
      </c>
    </row>
    <row r="38" spans="1:11" x14ac:dyDescent="0.3">
      <c r="A38" t="s">
        <v>7</v>
      </c>
      <c r="B38">
        <f t="shared" ref="B38:G38" si="1">SUM(B2:B37)</f>
        <v>22734796</v>
      </c>
      <c r="C38">
        <f t="shared" si="1"/>
        <v>3500485</v>
      </c>
      <c r="D38">
        <f t="shared" si="1"/>
        <v>3343414</v>
      </c>
      <c r="E38">
        <f t="shared" si="1"/>
        <v>2392803</v>
      </c>
      <c r="F38">
        <f t="shared" si="1"/>
        <v>1867531</v>
      </c>
      <c r="G38">
        <f t="shared" si="1"/>
        <v>1586106</v>
      </c>
    </row>
    <row r="39" spans="1:11" x14ac:dyDescent="0.3">
      <c r="A39" t="s">
        <v>8</v>
      </c>
      <c r="B39">
        <f>MAX(B2:B37)</f>
        <v>1112394</v>
      </c>
      <c r="C39">
        <f t="shared" ref="C39:G39" si="2">MAX(C2:C37)</f>
        <v>206278</v>
      </c>
      <c r="D39">
        <f t="shared" si="2"/>
        <v>195883</v>
      </c>
      <c r="E39">
        <f t="shared" si="2"/>
        <v>142128</v>
      </c>
      <c r="F39">
        <f t="shared" si="2"/>
        <v>115886</v>
      </c>
      <c r="G39">
        <f t="shared" si="2"/>
        <v>99368</v>
      </c>
    </row>
    <row r="40" spans="1:11" x14ac:dyDescent="0.3">
      <c r="A40" t="s">
        <v>9</v>
      </c>
      <c r="B40">
        <f>MIN(B2:B37)</f>
        <v>278716</v>
      </c>
      <c r="C40">
        <f t="shared" ref="C40:G40" si="3">MIN(C2:C37)</f>
        <v>20882</v>
      </c>
      <c r="D40">
        <f t="shared" si="3"/>
        <v>20465</v>
      </c>
      <c r="E40">
        <f t="shared" si="3"/>
        <v>14811</v>
      </c>
      <c r="F40">
        <f t="shared" si="3"/>
        <v>9688</v>
      </c>
      <c r="G40">
        <f t="shared" si="3"/>
        <v>8163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62A0-2965-B54B-92ED-48FA6B517CCF}">
  <dimension ref="A1:K40"/>
  <sheetViews>
    <sheetView topLeftCell="B9" zoomScale="85" zoomScaleNormal="85" workbookViewId="0">
      <selection activeCell="I37" sqref="I37:K37"/>
    </sheetView>
  </sheetViews>
  <sheetFormatPr defaultColWidth="11.44140625" defaultRowHeight="17.2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t="e">
        <f>C2/B2</f>
        <v>#DIV/0!</v>
      </c>
    </row>
    <row r="3" spans="1:9" x14ac:dyDescent="0.3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t="e">
        <f t="shared" ref="I3:I36" si="0">C3/B3</f>
        <v>#DIV/0!</v>
      </c>
    </row>
    <row r="4" spans="1:9" x14ac:dyDescent="0.3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t="e">
        <f t="shared" si="0"/>
        <v>#DIV/0!</v>
      </c>
    </row>
    <row r="5" spans="1:9" x14ac:dyDescent="0.3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t="e">
        <f t="shared" si="0"/>
        <v>#DIV/0!</v>
      </c>
    </row>
    <row r="6" spans="1:9" x14ac:dyDescent="0.3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t="e">
        <f t="shared" si="0"/>
        <v>#DIV/0!</v>
      </c>
    </row>
    <row r="7" spans="1:9" x14ac:dyDescent="0.3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t="e">
        <f t="shared" si="0"/>
        <v>#DIV/0!</v>
      </c>
    </row>
    <row r="8" spans="1:9" x14ac:dyDescent="0.3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I8" t="e">
        <f t="shared" si="0"/>
        <v>#DIV/0!</v>
      </c>
    </row>
    <row r="9" spans="1:9" x14ac:dyDescent="0.3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I9" t="e">
        <f t="shared" si="0"/>
        <v>#DIV/0!</v>
      </c>
    </row>
    <row r="10" spans="1:9" x14ac:dyDescent="0.3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 t="e">
        <f t="shared" si="0"/>
        <v>#DIV/0!</v>
      </c>
    </row>
    <row r="11" spans="1:9" x14ac:dyDescent="0.3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I11" t="e">
        <f t="shared" si="0"/>
        <v>#DIV/0!</v>
      </c>
    </row>
    <row r="12" spans="1:9" x14ac:dyDescent="0.3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 t="e">
        <f t="shared" si="0"/>
        <v>#DIV/0!</v>
      </c>
    </row>
    <row r="13" spans="1:9" x14ac:dyDescent="0.3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I13" t="e">
        <f t="shared" si="0"/>
        <v>#DIV/0!</v>
      </c>
    </row>
    <row r="14" spans="1:9" x14ac:dyDescent="0.3">
      <c r="A14">
        <v>2002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I14">
        <f t="shared" si="0"/>
        <v>1</v>
      </c>
    </row>
    <row r="15" spans="1:9" x14ac:dyDescent="0.3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I15" t="e">
        <f t="shared" si="0"/>
        <v>#DIV/0!</v>
      </c>
    </row>
    <row r="16" spans="1:9" x14ac:dyDescent="0.3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I16" t="e">
        <f t="shared" si="0"/>
        <v>#DIV/0!</v>
      </c>
    </row>
    <row r="17" spans="1:9" x14ac:dyDescent="0.3">
      <c r="A17">
        <v>2005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I17">
        <f t="shared" si="0"/>
        <v>0</v>
      </c>
    </row>
    <row r="18" spans="1:9" x14ac:dyDescent="0.3">
      <c r="A18">
        <v>2006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I18">
        <f t="shared" si="0"/>
        <v>0</v>
      </c>
    </row>
    <row r="19" spans="1:9" x14ac:dyDescent="0.3">
      <c r="A19">
        <v>2007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I19">
        <f t="shared" si="0"/>
        <v>0</v>
      </c>
    </row>
    <row r="20" spans="1:9" x14ac:dyDescent="0.3">
      <c r="A20">
        <v>2008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I20">
        <f t="shared" si="0"/>
        <v>0</v>
      </c>
    </row>
    <row r="21" spans="1:9" x14ac:dyDescent="0.3">
      <c r="A21">
        <v>2009</v>
      </c>
      <c r="B21">
        <v>6</v>
      </c>
      <c r="C21">
        <v>2</v>
      </c>
      <c r="D21">
        <v>2</v>
      </c>
      <c r="E21">
        <v>2</v>
      </c>
      <c r="F21">
        <v>2</v>
      </c>
      <c r="G21">
        <v>2</v>
      </c>
      <c r="I21">
        <f t="shared" si="0"/>
        <v>0.33333333333333331</v>
      </c>
    </row>
    <row r="22" spans="1:9" x14ac:dyDescent="0.3">
      <c r="A22">
        <v>2010</v>
      </c>
      <c r="B22">
        <v>33</v>
      </c>
      <c r="C22">
        <v>19</v>
      </c>
      <c r="D22">
        <v>18</v>
      </c>
      <c r="E22">
        <v>14</v>
      </c>
      <c r="F22">
        <v>11</v>
      </c>
      <c r="G22">
        <v>8</v>
      </c>
      <c r="I22">
        <f t="shared" si="0"/>
        <v>0.5757575757575758</v>
      </c>
    </row>
    <row r="23" spans="1:9" x14ac:dyDescent="0.3">
      <c r="A23">
        <v>2011</v>
      </c>
      <c r="B23">
        <v>69</v>
      </c>
      <c r="C23">
        <v>42</v>
      </c>
      <c r="D23">
        <v>41</v>
      </c>
      <c r="E23">
        <v>36</v>
      </c>
      <c r="F23">
        <v>31</v>
      </c>
      <c r="G23">
        <v>25</v>
      </c>
      <c r="I23">
        <f t="shared" si="0"/>
        <v>0.60869565217391308</v>
      </c>
    </row>
    <row r="24" spans="1:9" x14ac:dyDescent="0.3">
      <c r="A24">
        <v>2012</v>
      </c>
      <c r="B24">
        <v>639</v>
      </c>
      <c r="C24">
        <v>297</v>
      </c>
      <c r="D24">
        <v>285</v>
      </c>
      <c r="E24">
        <v>237</v>
      </c>
      <c r="F24">
        <v>204</v>
      </c>
      <c r="G24">
        <v>184</v>
      </c>
      <c r="I24">
        <f t="shared" si="0"/>
        <v>0.46478873239436619</v>
      </c>
    </row>
    <row r="25" spans="1:9" x14ac:dyDescent="0.3">
      <c r="A25">
        <v>2013</v>
      </c>
      <c r="B25">
        <v>5492</v>
      </c>
      <c r="C25">
        <v>2751</v>
      </c>
      <c r="D25">
        <v>2618</v>
      </c>
      <c r="E25">
        <v>2089</v>
      </c>
      <c r="F25">
        <v>1765</v>
      </c>
      <c r="G25">
        <v>1528</v>
      </c>
      <c r="I25">
        <f t="shared" si="0"/>
        <v>0.50091041514930812</v>
      </c>
    </row>
    <row r="26" spans="1:9" x14ac:dyDescent="0.3">
      <c r="A26">
        <v>2014</v>
      </c>
      <c r="B26">
        <v>11337</v>
      </c>
      <c r="C26">
        <v>5657</v>
      </c>
      <c r="D26">
        <v>5400</v>
      </c>
      <c r="E26">
        <v>4371</v>
      </c>
      <c r="F26">
        <v>3682</v>
      </c>
      <c r="G26">
        <v>3226</v>
      </c>
      <c r="I26">
        <f t="shared" si="0"/>
        <v>0.49898562229866805</v>
      </c>
    </row>
    <row r="27" spans="1:9" x14ac:dyDescent="0.3">
      <c r="A27">
        <v>2015</v>
      </c>
      <c r="B27">
        <v>13825</v>
      </c>
      <c r="C27">
        <v>6973</v>
      </c>
      <c r="D27">
        <v>6603</v>
      </c>
      <c r="E27">
        <v>5337</v>
      </c>
      <c r="F27">
        <v>4490</v>
      </c>
      <c r="G27">
        <v>3903</v>
      </c>
      <c r="I27">
        <f t="shared" si="0"/>
        <v>0.50437613019891503</v>
      </c>
    </row>
    <row r="28" spans="1:9" x14ac:dyDescent="0.3">
      <c r="A28">
        <v>2016</v>
      </c>
      <c r="B28">
        <v>15304</v>
      </c>
      <c r="C28">
        <v>7820</v>
      </c>
      <c r="D28">
        <v>7403</v>
      </c>
      <c r="E28">
        <v>6008</v>
      </c>
      <c r="F28">
        <v>5084</v>
      </c>
      <c r="G28">
        <v>4427</v>
      </c>
      <c r="I28">
        <f t="shared" si="0"/>
        <v>0.51097752221641402</v>
      </c>
    </row>
    <row r="29" spans="1:9" x14ac:dyDescent="0.3">
      <c r="A29">
        <v>2017</v>
      </c>
      <c r="B29">
        <v>16659</v>
      </c>
      <c r="C29">
        <v>8557</v>
      </c>
      <c r="D29">
        <v>8121</v>
      </c>
      <c r="E29">
        <v>6535</v>
      </c>
      <c r="F29">
        <v>5538</v>
      </c>
      <c r="G29">
        <v>4855</v>
      </c>
      <c r="I29">
        <f t="shared" si="0"/>
        <v>0.51365628188966928</v>
      </c>
    </row>
    <row r="30" spans="1:9" x14ac:dyDescent="0.3">
      <c r="A30">
        <v>2018</v>
      </c>
      <c r="B30">
        <v>18349</v>
      </c>
      <c r="C30">
        <v>9309</v>
      </c>
      <c r="D30">
        <v>8818</v>
      </c>
      <c r="E30">
        <v>7023</v>
      </c>
      <c r="F30">
        <v>5926</v>
      </c>
      <c r="G30">
        <v>5142</v>
      </c>
      <c r="I30">
        <f t="shared" si="0"/>
        <v>0.50733009973295551</v>
      </c>
    </row>
    <row r="31" spans="1:9" x14ac:dyDescent="0.3">
      <c r="A31">
        <v>2019</v>
      </c>
      <c r="B31">
        <v>20068</v>
      </c>
      <c r="C31">
        <v>10099</v>
      </c>
      <c r="D31">
        <v>9572</v>
      </c>
      <c r="E31">
        <v>7646</v>
      </c>
      <c r="F31">
        <v>6403</v>
      </c>
      <c r="G31">
        <v>5567</v>
      </c>
      <c r="I31">
        <f t="shared" si="0"/>
        <v>0.5032389874426948</v>
      </c>
    </row>
    <row r="32" spans="1:9" x14ac:dyDescent="0.3">
      <c r="A32">
        <v>2020</v>
      </c>
      <c r="B32">
        <v>22491</v>
      </c>
      <c r="C32">
        <v>11186</v>
      </c>
      <c r="D32">
        <v>10646</v>
      </c>
      <c r="E32">
        <v>8462</v>
      </c>
      <c r="F32">
        <v>7140</v>
      </c>
      <c r="G32">
        <v>6151</v>
      </c>
      <c r="I32">
        <f t="shared" si="0"/>
        <v>0.49735449735449733</v>
      </c>
    </row>
    <row r="33" spans="1:11" x14ac:dyDescent="0.3">
      <c r="A33">
        <v>2021</v>
      </c>
      <c r="B33">
        <v>23297</v>
      </c>
      <c r="C33">
        <v>11185</v>
      </c>
      <c r="D33">
        <v>10646</v>
      </c>
      <c r="E33">
        <v>8562</v>
      </c>
      <c r="F33">
        <v>7264</v>
      </c>
      <c r="G33">
        <v>6267</v>
      </c>
      <c r="I33">
        <f t="shared" si="0"/>
        <v>0.4801047345151736</v>
      </c>
    </row>
    <row r="34" spans="1:11" x14ac:dyDescent="0.3">
      <c r="A34">
        <v>2022</v>
      </c>
      <c r="B34">
        <v>18233</v>
      </c>
      <c r="C34">
        <v>8780</v>
      </c>
      <c r="D34">
        <v>8340</v>
      </c>
      <c r="E34">
        <v>6675</v>
      </c>
      <c r="F34">
        <v>5667</v>
      </c>
      <c r="G34">
        <v>4949</v>
      </c>
      <c r="I34">
        <f t="shared" si="0"/>
        <v>0.48154445236658805</v>
      </c>
    </row>
    <row r="35" spans="1:11" x14ac:dyDescent="0.3">
      <c r="A35">
        <v>2023</v>
      </c>
      <c r="B35">
        <v>16328</v>
      </c>
      <c r="C35">
        <v>7919</v>
      </c>
      <c r="D35">
        <v>7519</v>
      </c>
      <c r="E35">
        <v>5937</v>
      </c>
      <c r="F35">
        <v>5071</v>
      </c>
      <c r="G35">
        <v>4392</v>
      </c>
      <c r="I35">
        <f t="shared" si="0"/>
        <v>0.48499510044096034</v>
      </c>
    </row>
    <row r="36" spans="1:11" x14ac:dyDescent="0.3">
      <c r="A36">
        <v>2024</v>
      </c>
      <c r="B36">
        <v>19084</v>
      </c>
      <c r="C36">
        <v>9252</v>
      </c>
      <c r="D36">
        <v>8725</v>
      </c>
      <c r="E36">
        <v>6803</v>
      </c>
      <c r="F36">
        <v>5816</v>
      </c>
      <c r="G36">
        <v>5071</v>
      </c>
      <c r="I36">
        <f t="shared" si="0"/>
        <v>0.48480402431356112</v>
      </c>
    </row>
    <row r="37" spans="1:11" x14ac:dyDescent="0.3">
      <c r="A37">
        <v>2025</v>
      </c>
      <c r="B37">
        <v>14630</v>
      </c>
      <c r="C37">
        <v>7344</v>
      </c>
      <c r="D37">
        <v>6959</v>
      </c>
      <c r="E37">
        <v>5489</v>
      </c>
      <c r="F37">
        <v>4731</v>
      </c>
      <c r="G37">
        <v>4108</v>
      </c>
      <c r="I37">
        <f>C37/B37</f>
        <v>0.50198222829801775</v>
      </c>
      <c r="J37">
        <f>IF(C37=0, 0, _xlfn.BETA.INV(0.025, C37, B37-C37+1))</f>
        <v>0.4938463294231763</v>
      </c>
      <c r="K37">
        <f>IF(C37=B37, 1, _xlfn.BETA.INV(0.975, C37+1, B37-C37))</f>
        <v>0.51011733856638375</v>
      </c>
    </row>
    <row r="38" spans="1:11" x14ac:dyDescent="0.3">
      <c r="A38" t="s">
        <v>7</v>
      </c>
      <c r="B38">
        <f t="shared" ref="B38:G38" si="1">SUM(B2:B37)</f>
        <v>215849</v>
      </c>
      <c r="C38">
        <f t="shared" si="1"/>
        <v>107193</v>
      </c>
      <c r="D38">
        <f t="shared" si="1"/>
        <v>101717</v>
      </c>
      <c r="E38">
        <f t="shared" si="1"/>
        <v>81227</v>
      </c>
      <c r="F38">
        <f t="shared" si="1"/>
        <v>68826</v>
      </c>
      <c r="G38">
        <f t="shared" si="1"/>
        <v>59806</v>
      </c>
    </row>
    <row r="39" spans="1:11" x14ac:dyDescent="0.3">
      <c r="A39" t="s">
        <v>8</v>
      </c>
      <c r="B39">
        <f>MAX(B2:B37)</f>
        <v>23297</v>
      </c>
      <c r="C39">
        <f t="shared" ref="C39:G39" si="2">MAX(C2:C37)</f>
        <v>11186</v>
      </c>
      <c r="D39">
        <f t="shared" si="2"/>
        <v>10646</v>
      </c>
      <c r="E39">
        <f t="shared" si="2"/>
        <v>8562</v>
      </c>
      <c r="F39">
        <f t="shared" si="2"/>
        <v>7264</v>
      </c>
      <c r="G39">
        <f t="shared" si="2"/>
        <v>6267</v>
      </c>
    </row>
    <row r="40" spans="1:11" x14ac:dyDescent="0.3">
      <c r="A40" t="s">
        <v>9</v>
      </c>
      <c r="B40">
        <f>MIN(B2:B37)</f>
        <v>0</v>
      </c>
      <c r="C40">
        <f t="shared" ref="C40:G40" si="3">MIN(C2:C37)</f>
        <v>0</v>
      </c>
      <c r="D40">
        <f t="shared" si="3"/>
        <v>0</v>
      </c>
      <c r="E40">
        <f t="shared" si="3"/>
        <v>0</v>
      </c>
      <c r="F40">
        <f t="shared" si="3"/>
        <v>0</v>
      </c>
      <c r="G40">
        <f t="shared" si="3"/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7C36-FD94-DE41-A7DD-85F63F5409D0}">
  <dimension ref="A1:K40"/>
  <sheetViews>
    <sheetView topLeftCell="A13" zoomScale="85" zoomScaleNormal="85" workbookViewId="0">
      <selection activeCell="I37" sqref="I37:K37"/>
    </sheetView>
  </sheetViews>
  <sheetFormatPr defaultColWidth="11.44140625" defaultRowHeight="17.2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>
        <v>1990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I2">
        <f>C2/B2</f>
        <v>0</v>
      </c>
    </row>
    <row r="3" spans="1:9" x14ac:dyDescent="0.3">
      <c r="A3">
        <v>1991</v>
      </c>
      <c r="B3">
        <v>7</v>
      </c>
      <c r="C3">
        <v>0</v>
      </c>
      <c r="D3">
        <v>0</v>
      </c>
      <c r="E3">
        <v>0</v>
      </c>
      <c r="F3">
        <v>0</v>
      </c>
      <c r="G3">
        <v>0</v>
      </c>
      <c r="I3">
        <f t="shared" ref="I3:I36" si="0">C3/B3</f>
        <v>0</v>
      </c>
    </row>
    <row r="4" spans="1:9" x14ac:dyDescent="0.3">
      <c r="A4">
        <v>1992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I4">
        <f t="shared" si="0"/>
        <v>0</v>
      </c>
    </row>
    <row r="5" spans="1:9" x14ac:dyDescent="0.3">
      <c r="A5">
        <v>1993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  <c r="I5">
        <f t="shared" si="0"/>
        <v>0</v>
      </c>
    </row>
    <row r="6" spans="1:9" x14ac:dyDescent="0.3">
      <c r="A6">
        <v>1994</v>
      </c>
      <c r="B6">
        <v>22</v>
      </c>
      <c r="C6">
        <v>0</v>
      </c>
      <c r="D6">
        <v>0</v>
      </c>
      <c r="E6">
        <v>0</v>
      </c>
      <c r="F6">
        <v>0</v>
      </c>
      <c r="G6">
        <v>0</v>
      </c>
      <c r="I6">
        <f t="shared" si="0"/>
        <v>0</v>
      </c>
    </row>
    <row r="7" spans="1:9" x14ac:dyDescent="0.3">
      <c r="A7">
        <v>1995</v>
      </c>
      <c r="B7">
        <v>36</v>
      </c>
      <c r="C7">
        <v>3</v>
      </c>
      <c r="D7">
        <v>3</v>
      </c>
      <c r="E7">
        <v>3</v>
      </c>
      <c r="F7">
        <v>2</v>
      </c>
      <c r="G7">
        <v>2</v>
      </c>
      <c r="I7">
        <f t="shared" si="0"/>
        <v>8.3333333333333329E-2</v>
      </c>
    </row>
    <row r="8" spans="1:9" x14ac:dyDescent="0.3">
      <c r="A8">
        <v>1996</v>
      </c>
      <c r="B8">
        <v>69</v>
      </c>
      <c r="C8">
        <v>4</v>
      </c>
      <c r="D8">
        <v>4</v>
      </c>
      <c r="E8">
        <v>4</v>
      </c>
      <c r="F8">
        <v>3</v>
      </c>
      <c r="G8">
        <v>3</v>
      </c>
      <c r="I8">
        <f t="shared" si="0"/>
        <v>5.7971014492753624E-2</v>
      </c>
    </row>
    <row r="9" spans="1:9" x14ac:dyDescent="0.3">
      <c r="A9">
        <v>1997</v>
      </c>
      <c r="B9">
        <v>127</v>
      </c>
      <c r="C9">
        <v>9</v>
      </c>
      <c r="D9">
        <v>9</v>
      </c>
      <c r="E9">
        <v>5</v>
      </c>
      <c r="F9">
        <v>4</v>
      </c>
      <c r="G9">
        <v>4</v>
      </c>
      <c r="I9">
        <f t="shared" si="0"/>
        <v>7.0866141732283464E-2</v>
      </c>
    </row>
    <row r="10" spans="1:9" x14ac:dyDescent="0.3">
      <c r="A10">
        <v>1998</v>
      </c>
      <c r="B10">
        <v>205</v>
      </c>
      <c r="C10">
        <v>8</v>
      </c>
      <c r="D10">
        <v>7</v>
      </c>
      <c r="E10">
        <v>5</v>
      </c>
      <c r="F10">
        <v>5</v>
      </c>
      <c r="G10">
        <v>4</v>
      </c>
      <c r="I10">
        <f t="shared" si="0"/>
        <v>3.9024390243902439E-2</v>
      </c>
    </row>
    <row r="11" spans="1:9" x14ac:dyDescent="0.3">
      <c r="A11">
        <v>1999</v>
      </c>
      <c r="B11">
        <v>276</v>
      </c>
      <c r="C11">
        <v>17</v>
      </c>
      <c r="D11">
        <v>15</v>
      </c>
      <c r="E11">
        <v>8</v>
      </c>
      <c r="F11">
        <v>7</v>
      </c>
      <c r="G11">
        <v>5</v>
      </c>
      <c r="I11">
        <f t="shared" si="0"/>
        <v>6.1594202898550728E-2</v>
      </c>
    </row>
    <row r="12" spans="1:9" x14ac:dyDescent="0.3">
      <c r="A12">
        <v>2000</v>
      </c>
      <c r="B12">
        <v>1387</v>
      </c>
      <c r="C12">
        <v>74</v>
      </c>
      <c r="D12">
        <v>63</v>
      </c>
      <c r="E12">
        <v>46</v>
      </c>
      <c r="F12">
        <v>41</v>
      </c>
      <c r="G12">
        <v>34</v>
      </c>
      <c r="I12">
        <f t="shared" si="0"/>
        <v>5.3352559480894013E-2</v>
      </c>
    </row>
    <row r="13" spans="1:9" x14ac:dyDescent="0.3">
      <c r="A13">
        <v>2001</v>
      </c>
      <c r="B13">
        <v>1034</v>
      </c>
      <c r="C13">
        <v>70</v>
      </c>
      <c r="D13">
        <v>60</v>
      </c>
      <c r="E13">
        <v>42</v>
      </c>
      <c r="F13">
        <v>31</v>
      </c>
      <c r="G13">
        <v>29</v>
      </c>
      <c r="I13">
        <f t="shared" si="0"/>
        <v>6.7698259187620888E-2</v>
      </c>
    </row>
    <row r="14" spans="1:9" x14ac:dyDescent="0.3">
      <c r="A14">
        <v>2002</v>
      </c>
      <c r="B14">
        <v>1161</v>
      </c>
      <c r="C14">
        <v>92</v>
      </c>
      <c r="D14">
        <v>75</v>
      </c>
      <c r="E14">
        <v>67</v>
      </c>
      <c r="F14">
        <v>60</v>
      </c>
      <c r="G14">
        <v>54</v>
      </c>
      <c r="I14">
        <f t="shared" si="0"/>
        <v>7.9242032730404824E-2</v>
      </c>
    </row>
    <row r="15" spans="1:9" x14ac:dyDescent="0.3">
      <c r="A15">
        <v>2003</v>
      </c>
      <c r="B15">
        <v>1369</v>
      </c>
      <c r="C15">
        <v>136</v>
      </c>
      <c r="D15">
        <v>121</v>
      </c>
      <c r="E15">
        <v>97</v>
      </c>
      <c r="F15">
        <v>82</v>
      </c>
      <c r="G15">
        <v>63</v>
      </c>
      <c r="I15">
        <f t="shared" si="0"/>
        <v>9.9342585829072322E-2</v>
      </c>
    </row>
    <row r="16" spans="1:9" x14ac:dyDescent="0.3">
      <c r="A16">
        <v>2004</v>
      </c>
      <c r="B16">
        <v>1694</v>
      </c>
      <c r="C16">
        <v>170</v>
      </c>
      <c r="D16">
        <v>144</v>
      </c>
      <c r="E16">
        <v>107</v>
      </c>
      <c r="F16">
        <v>91</v>
      </c>
      <c r="G16">
        <v>73</v>
      </c>
      <c r="I16">
        <f t="shared" si="0"/>
        <v>0.10035419126328217</v>
      </c>
    </row>
    <row r="17" spans="1:9" x14ac:dyDescent="0.3">
      <c r="A17">
        <v>2005</v>
      </c>
      <c r="B17">
        <v>1993</v>
      </c>
      <c r="C17">
        <v>212</v>
      </c>
      <c r="D17">
        <v>188</v>
      </c>
      <c r="E17">
        <v>151</v>
      </c>
      <c r="F17">
        <v>134</v>
      </c>
      <c r="G17">
        <v>111</v>
      </c>
      <c r="I17">
        <f t="shared" si="0"/>
        <v>0.10637230306071249</v>
      </c>
    </row>
    <row r="18" spans="1:9" x14ac:dyDescent="0.3">
      <c r="A18">
        <v>2006</v>
      </c>
      <c r="B18">
        <v>2479</v>
      </c>
      <c r="C18">
        <v>269</v>
      </c>
      <c r="D18">
        <v>244</v>
      </c>
      <c r="E18">
        <v>188</v>
      </c>
      <c r="F18">
        <v>149</v>
      </c>
      <c r="G18">
        <v>132</v>
      </c>
      <c r="I18">
        <f t="shared" si="0"/>
        <v>0.10851149657119806</v>
      </c>
    </row>
    <row r="19" spans="1:9" x14ac:dyDescent="0.3">
      <c r="A19">
        <v>2007</v>
      </c>
      <c r="B19">
        <v>3317</v>
      </c>
      <c r="C19">
        <v>383</v>
      </c>
      <c r="D19">
        <v>337</v>
      </c>
      <c r="E19">
        <v>273</v>
      </c>
      <c r="F19">
        <v>234</v>
      </c>
      <c r="G19">
        <v>198</v>
      </c>
      <c r="I19">
        <f t="shared" si="0"/>
        <v>0.11546578233343383</v>
      </c>
    </row>
    <row r="20" spans="1:9" x14ac:dyDescent="0.3">
      <c r="A20">
        <v>2008</v>
      </c>
      <c r="B20">
        <v>3614</v>
      </c>
      <c r="C20">
        <v>447</v>
      </c>
      <c r="D20">
        <v>391</v>
      </c>
      <c r="E20">
        <v>326</v>
      </c>
      <c r="F20">
        <v>277</v>
      </c>
      <c r="G20">
        <v>234</v>
      </c>
      <c r="I20">
        <f t="shared" si="0"/>
        <v>0.12368566685113448</v>
      </c>
    </row>
    <row r="21" spans="1:9" x14ac:dyDescent="0.3">
      <c r="A21">
        <v>2009</v>
      </c>
      <c r="B21">
        <v>4398</v>
      </c>
      <c r="C21">
        <v>568</v>
      </c>
      <c r="D21">
        <v>505</v>
      </c>
      <c r="E21">
        <v>399</v>
      </c>
      <c r="F21">
        <v>339</v>
      </c>
      <c r="G21">
        <v>304</v>
      </c>
      <c r="I21">
        <f t="shared" si="0"/>
        <v>0.12914961346066395</v>
      </c>
    </row>
    <row r="22" spans="1:9" x14ac:dyDescent="0.3">
      <c r="A22">
        <v>2010</v>
      </c>
      <c r="B22">
        <v>5249</v>
      </c>
      <c r="C22">
        <v>718</v>
      </c>
      <c r="D22">
        <v>634</v>
      </c>
      <c r="E22">
        <v>506</v>
      </c>
      <c r="F22">
        <v>436</v>
      </c>
      <c r="G22">
        <v>374</v>
      </c>
      <c r="I22">
        <f t="shared" si="0"/>
        <v>0.13678795961135454</v>
      </c>
    </row>
    <row r="23" spans="1:9" x14ac:dyDescent="0.3">
      <c r="A23">
        <v>2011</v>
      </c>
      <c r="B23">
        <v>6500</v>
      </c>
      <c r="C23">
        <v>892</v>
      </c>
      <c r="D23">
        <v>792</v>
      </c>
      <c r="E23">
        <v>648</v>
      </c>
      <c r="F23">
        <v>551</v>
      </c>
      <c r="G23">
        <v>479</v>
      </c>
      <c r="I23">
        <f t="shared" si="0"/>
        <v>0.13723076923076924</v>
      </c>
    </row>
    <row r="24" spans="1:9" x14ac:dyDescent="0.3">
      <c r="A24">
        <v>2012</v>
      </c>
      <c r="B24">
        <v>8253</v>
      </c>
      <c r="C24">
        <v>1290</v>
      </c>
      <c r="D24">
        <v>1138</v>
      </c>
      <c r="E24">
        <v>940</v>
      </c>
      <c r="F24">
        <v>799</v>
      </c>
      <c r="G24">
        <v>695</v>
      </c>
      <c r="I24">
        <f t="shared" si="0"/>
        <v>0.15630679752817159</v>
      </c>
    </row>
    <row r="25" spans="1:9" x14ac:dyDescent="0.3">
      <c r="A25">
        <v>2013</v>
      </c>
      <c r="B25">
        <v>10130</v>
      </c>
      <c r="C25">
        <v>1722</v>
      </c>
      <c r="D25">
        <v>1539</v>
      </c>
      <c r="E25">
        <v>1259</v>
      </c>
      <c r="F25">
        <v>1079</v>
      </c>
      <c r="G25">
        <v>954</v>
      </c>
      <c r="I25">
        <f t="shared" si="0"/>
        <v>0.16999012833168806</v>
      </c>
    </row>
    <row r="26" spans="1:9" x14ac:dyDescent="0.3">
      <c r="A26">
        <v>2014</v>
      </c>
      <c r="B26">
        <v>11931</v>
      </c>
      <c r="C26">
        <v>2115</v>
      </c>
      <c r="D26">
        <v>1884</v>
      </c>
      <c r="E26">
        <v>1556</v>
      </c>
      <c r="F26">
        <v>1334</v>
      </c>
      <c r="G26">
        <v>1187</v>
      </c>
      <c r="I26">
        <f t="shared" si="0"/>
        <v>0.17726929846618053</v>
      </c>
    </row>
    <row r="27" spans="1:9" x14ac:dyDescent="0.3">
      <c r="A27">
        <v>2015</v>
      </c>
      <c r="B27">
        <v>13736</v>
      </c>
      <c r="C27">
        <v>2676</v>
      </c>
      <c r="D27">
        <v>2400</v>
      </c>
      <c r="E27">
        <v>1990</v>
      </c>
      <c r="F27">
        <v>1702</v>
      </c>
      <c r="G27">
        <v>1517</v>
      </c>
      <c r="I27">
        <f t="shared" si="0"/>
        <v>0.19481654047757718</v>
      </c>
    </row>
    <row r="28" spans="1:9" x14ac:dyDescent="0.3">
      <c r="A28">
        <v>2016</v>
      </c>
      <c r="B28">
        <v>15320</v>
      </c>
      <c r="C28">
        <v>3008</v>
      </c>
      <c r="D28">
        <v>2701</v>
      </c>
      <c r="E28">
        <v>2259</v>
      </c>
      <c r="F28">
        <v>1950</v>
      </c>
      <c r="G28">
        <v>1732</v>
      </c>
      <c r="I28">
        <f t="shared" si="0"/>
        <v>0.19634464751958225</v>
      </c>
    </row>
    <row r="29" spans="1:9" x14ac:dyDescent="0.3">
      <c r="A29">
        <v>2017</v>
      </c>
      <c r="B29">
        <v>17546</v>
      </c>
      <c r="C29">
        <v>3552</v>
      </c>
      <c r="D29">
        <v>3177</v>
      </c>
      <c r="E29">
        <v>2639</v>
      </c>
      <c r="F29">
        <v>2280</v>
      </c>
      <c r="G29">
        <v>2027</v>
      </c>
      <c r="I29">
        <f t="shared" si="0"/>
        <v>0.20243930240510657</v>
      </c>
    </row>
    <row r="30" spans="1:9" x14ac:dyDescent="0.3">
      <c r="A30">
        <v>2018</v>
      </c>
      <c r="B30">
        <v>19963</v>
      </c>
      <c r="C30">
        <v>4190</v>
      </c>
      <c r="D30">
        <v>3746</v>
      </c>
      <c r="E30">
        <v>3074</v>
      </c>
      <c r="F30">
        <v>2628</v>
      </c>
      <c r="G30">
        <v>2360</v>
      </c>
      <c r="I30">
        <f t="shared" si="0"/>
        <v>0.20988829334268397</v>
      </c>
    </row>
    <row r="31" spans="1:9" x14ac:dyDescent="0.3">
      <c r="A31">
        <v>2019</v>
      </c>
      <c r="B31">
        <v>23657</v>
      </c>
      <c r="C31">
        <v>5191</v>
      </c>
      <c r="D31">
        <v>4689</v>
      </c>
      <c r="E31">
        <v>3882</v>
      </c>
      <c r="F31">
        <v>3341</v>
      </c>
      <c r="G31">
        <v>3005</v>
      </c>
      <c r="I31">
        <f t="shared" si="0"/>
        <v>0.21942765354863253</v>
      </c>
    </row>
    <row r="32" spans="1:9" x14ac:dyDescent="0.3">
      <c r="A32">
        <v>2020</v>
      </c>
      <c r="B32">
        <v>28621</v>
      </c>
      <c r="C32">
        <v>6356</v>
      </c>
      <c r="D32">
        <v>5726</v>
      </c>
      <c r="E32">
        <v>4757</v>
      </c>
      <c r="F32">
        <v>4077</v>
      </c>
      <c r="G32">
        <v>3634</v>
      </c>
      <c r="I32">
        <f t="shared" si="0"/>
        <v>0.222074700394815</v>
      </c>
    </row>
    <row r="33" spans="1:11" x14ac:dyDescent="0.3">
      <c r="A33">
        <v>2021</v>
      </c>
      <c r="B33">
        <v>33455</v>
      </c>
      <c r="C33">
        <v>7555</v>
      </c>
      <c r="D33">
        <v>6840</v>
      </c>
      <c r="E33">
        <v>5638</v>
      </c>
      <c r="F33">
        <v>4808</v>
      </c>
      <c r="G33">
        <v>4314</v>
      </c>
      <c r="I33">
        <f t="shared" si="0"/>
        <v>0.2258257360633687</v>
      </c>
    </row>
    <row r="34" spans="1:11" x14ac:dyDescent="0.3">
      <c r="A34">
        <v>2022</v>
      </c>
      <c r="B34">
        <v>33892</v>
      </c>
      <c r="C34">
        <v>7720</v>
      </c>
      <c r="D34">
        <v>7019</v>
      </c>
      <c r="E34">
        <v>5766</v>
      </c>
      <c r="F34">
        <v>4938</v>
      </c>
      <c r="G34">
        <v>4435</v>
      </c>
      <c r="I34">
        <f t="shared" si="0"/>
        <v>0.2277823675203588</v>
      </c>
    </row>
    <row r="35" spans="1:11" x14ac:dyDescent="0.3">
      <c r="A35">
        <v>2023</v>
      </c>
      <c r="B35">
        <v>32082</v>
      </c>
      <c r="C35">
        <v>7557</v>
      </c>
      <c r="D35">
        <v>6887</v>
      </c>
      <c r="E35">
        <v>5698</v>
      </c>
      <c r="F35">
        <v>4787</v>
      </c>
      <c r="G35">
        <v>4327</v>
      </c>
      <c r="I35">
        <f t="shared" si="0"/>
        <v>0.23555264634374415</v>
      </c>
    </row>
    <row r="36" spans="1:11" x14ac:dyDescent="0.3">
      <c r="A36">
        <v>2024</v>
      </c>
      <c r="B36">
        <v>35020</v>
      </c>
      <c r="C36">
        <v>8563</v>
      </c>
      <c r="D36">
        <v>7868</v>
      </c>
      <c r="E36">
        <v>6526</v>
      </c>
      <c r="F36">
        <v>5331</v>
      </c>
      <c r="G36">
        <v>4784</v>
      </c>
      <c r="I36">
        <f t="shared" si="0"/>
        <v>0.24451741861793261</v>
      </c>
    </row>
    <row r="37" spans="1:11" x14ac:dyDescent="0.3">
      <c r="A37">
        <v>2025</v>
      </c>
      <c r="B37">
        <v>24865</v>
      </c>
      <c r="C37">
        <v>6346</v>
      </c>
      <c r="D37">
        <v>5816</v>
      </c>
      <c r="E37">
        <v>4793</v>
      </c>
      <c r="F37">
        <v>3880</v>
      </c>
      <c r="G37">
        <v>3463</v>
      </c>
      <c r="I37">
        <f>C37/B37</f>
        <v>0.2552181781620752</v>
      </c>
      <c r="J37">
        <f>IF(C37=0, 0, _xlfn.BETA.INV(0.025, C37, B37-C37+1))</f>
        <v>0.2498078593594576</v>
      </c>
      <c r="K37">
        <f>IF(C37=B37, 1, _xlfn.BETA.INV(0.975, C37+1, B37-C37))</f>
        <v>0.26068575935003813</v>
      </c>
    </row>
    <row r="38" spans="1:11" x14ac:dyDescent="0.3">
      <c r="A38" t="s">
        <v>7</v>
      </c>
      <c r="B38">
        <f t="shared" ref="B38:G38" si="1">SUM(B2:B37)</f>
        <v>343422</v>
      </c>
      <c r="C38">
        <f t="shared" si="1"/>
        <v>71913</v>
      </c>
      <c r="D38">
        <f t="shared" si="1"/>
        <v>65022</v>
      </c>
      <c r="E38">
        <f t="shared" si="1"/>
        <v>53652</v>
      </c>
      <c r="F38">
        <f t="shared" si="1"/>
        <v>45380</v>
      </c>
      <c r="G38">
        <f t="shared" si="1"/>
        <v>40537</v>
      </c>
    </row>
    <row r="39" spans="1:11" x14ac:dyDescent="0.3">
      <c r="A39" t="s">
        <v>8</v>
      </c>
      <c r="B39">
        <f>MAX(B2:B37)</f>
        <v>35020</v>
      </c>
      <c r="C39">
        <f t="shared" ref="C39:G39" si="2">MAX(C2:C37)</f>
        <v>8563</v>
      </c>
      <c r="D39">
        <f t="shared" si="2"/>
        <v>7868</v>
      </c>
      <c r="E39">
        <f t="shared" si="2"/>
        <v>6526</v>
      </c>
      <c r="F39">
        <f t="shared" si="2"/>
        <v>5331</v>
      </c>
      <c r="G39">
        <f t="shared" si="2"/>
        <v>4784</v>
      </c>
    </row>
    <row r="40" spans="1:11" x14ac:dyDescent="0.3">
      <c r="A40" t="s">
        <v>9</v>
      </c>
      <c r="B40">
        <f>MIN(B2:B37)</f>
        <v>2</v>
      </c>
      <c r="C40">
        <f t="shared" ref="C40:G40" si="3">MIN(C2:C37)</f>
        <v>0</v>
      </c>
      <c r="D40">
        <f t="shared" si="3"/>
        <v>0</v>
      </c>
      <c r="E40">
        <f t="shared" si="3"/>
        <v>0</v>
      </c>
      <c r="F40">
        <f t="shared" si="3"/>
        <v>0</v>
      </c>
      <c r="G40">
        <f t="shared" si="3"/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2148-F784-403F-9D88-9B5DAC2809EF}">
  <dimension ref="A1:I40"/>
  <sheetViews>
    <sheetView tabSelected="1" workbookViewId="0">
      <selection activeCell="B2" sqref="B2"/>
    </sheetView>
  </sheetViews>
  <sheetFormatPr defaultColWidth="8.77734375" defaultRowHeight="17.25" x14ac:dyDescent="0.3"/>
  <sheetData>
    <row r="1" spans="1:9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20</v>
      </c>
      <c r="I1" t="s">
        <v>19</v>
      </c>
    </row>
    <row r="2" spans="1:9" x14ac:dyDescent="0.3">
      <c r="A2">
        <v>1990</v>
      </c>
      <c r="B2">
        <v>34.738041002277903</v>
      </c>
      <c r="C2">
        <v>18.85447394296952</v>
      </c>
      <c r="D2">
        <v>14.018691588785046</v>
      </c>
      <c r="E2">
        <v>0.76615726819623509</v>
      </c>
      <c r="F2">
        <v>18.394607843137255</v>
      </c>
      <c r="G2">
        <v>7.6723259518649805</v>
      </c>
    </row>
    <row r="3" spans="1:9" x14ac:dyDescent="0.3">
      <c r="A3">
        <v>1991</v>
      </c>
      <c r="B3">
        <v>38.160469667318978</v>
      </c>
      <c r="C3">
        <v>21.201923076923077</v>
      </c>
      <c r="D3">
        <v>13.805970149253731</v>
      </c>
      <c r="E3">
        <v>0.78557874762808355</v>
      </c>
      <c r="F3">
        <v>19.54215522054718</v>
      </c>
      <c r="G3">
        <v>8.2859385934685843</v>
      </c>
    </row>
    <row r="4" spans="1:9" x14ac:dyDescent="0.3">
      <c r="A4">
        <f>A2+2</f>
        <v>1992</v>
      </c>
      <c r="B4">
        <v>39.152993969990185</v>
      </c>
      <c r="C4">
        <v>21.296296296296298</v>
      </c>
      <c r="D4">
        <v>14.473684210526317</v>
      </c>
      <c r="E4">
        <v>0.82796356960293749</v>
      </c>
      <c r="F4">
        <v>21.519285967050685</v>
      </c>
      <c r="G4">
        <v>8.9656781815775357</v>
      </c>
    </row>
    <row r="5" spans="1:9" x14ac:dyDescent="0.3">
      <c r="A5">
        <f t="shared" ref="A5:A36" si="0">A3+2</f>
        <v>1993</v>
      </c>
      <c r="B5">
        <v>40.57054343616884</v>
      </c>
      <c r="C5">
        <v>23.885436368549041</v>
      </c>
      <c r="D5">
        <v>22.262773722627738</v>
      </c>
      <c r="E5">
        <v>0.74822426039583478</v>
      </c>
      <c r="F5">
        <v>21.88690633369799</v>
      </c>
      <c r="G5">
        <v>9.5722854075051806</v>
      </c>
    </row>
    <row r="6" spans="1:9" x14ac:dyDescent="0.3">
      <c r="A6">
        <f t="shared" si="0"/>
        <v>1994</v>
      </c>
      <c r="B6">
        <v>41.634938409854421</v>
      </c>
      <c r="C6">
        <v>25.772348173381886</v>
      </c>
      <c r="D6">
        <v>18.678160919540229</v>
      </c>
      <c r="E6">
        <v>0.70546163849154753</v>
      </c>
      <c r="F6">
        <v>23.953349282296653</v>
      </c>
      <c r="G6">
        <v>10.097775173694917</v>
      </c>
    </row>
    <row r="7" spans="1:9" x14ac:dyDescent="0.3">
      <c r="A7">
        <f t="shared" si="0"/>
        <v>1995</v>
      </c>
      <c r="B7">
        <v>42.784032753326514</v>
      </c>
      <c r="C7">
        <v>25.026829791800814</v>
      </c>
      <c r="D7">
        <v>22.784810126582279</v>
      </c>
      <c r="E7">
        <v>0.81325392266529617</v>
      </c>
      <c r="F7">
        <v>24.415849524295556</v>
      </c>
      <c r="G7">
        <v>10.60927015454563</v>
      </c>
    </row>
    <row r="8" spans="1:9" x14ac:dyDescent="0.3">
      <c r="A8">
        <f t="shared" si="0"/>
        <v>1996</v>
      </c>
      <c r="B8">
        <v>44.646758922068464</v>
      </c>
      <c r="C8">
        <v>26.002265005662512</v>
      </c>
      <c r="D8">
        <v>21.573033707865168</v>
      </c>
      <c r="E8">
        <v>0.89933112247765723</v>
      </c>
      <c r="F8">
        <v>24.853822276763157</v>
      </c>
      <c r="G8">
        <v>11.183745862828005</v>
      </c>
    </row>
    <row r="9" spans="1:9" x14ac:dyDescent="0.3">
      <c r="A9">
        <f t="shared" si="0"/>
        <v>1997</v>
      </c>
      <c r="B9">
        <v>46.342950020316941</v>
      </c>
      <c r="C9">
        <v>25.540789601319236</v>
      </c>
      <c r="D9">
        <v>22.080291970802921</v>
      </c>
      <c r="E9">
        <v>0.83205663268001473</v>
      </c>
      <c r="F9">
        <v>25.401975114977361</v>
      </c>
      <c r="G9">
        <v>11.557830735254711</v>
      </c>
    </row>
    <row r="10" spans="1:9" x14ac:dyDescent="0.3">
      <c r="A10">
        <f t="shared" si="0"/>
        <v>1998</v>
      </c>
      <c r="B10">
        <v>47.499023055881203</v>
      </c>
      <c r="C10">
        <v>26.499855086465075</v>
      </c>
      <c r="D10">
        <v>19.727891156462583</v>
      </c>
      <c r="E10">
        <v>0.74637751628902071</v>
      </c>
      <c r="F10">
        <v>25.510459502950116</v>
      </c>
      <c r="G10">
        <v>11.6334530142235</v>
      </c>
    </row>
    <row r="11" spans="1:9" x14ac:dyDescent="0.3">
      <c r="A11">
        <f t="shared" si="0"/>
        <v>1999</v>
      </c>
      <c r="B11">
        <v>49.025145772594755</v>
      </c>
      <c r="C11">
        <v>28.003901746918508</v>
      </c>
      <c r="D11">
        <v>18.942731277533039</v>
      </c>
      <c r="E11">
        <v>0.61185108485903894</v>
      </c>
      <c r="F11">
        <v>25.594786566443695</v>
      </c>
      <c r="G11">
        <v>12.080079690398222</v>
      </c>
    </row>
    <row r="12" spans="1:9" x14ac:dyDescent="0.3">
      <c r="A12">
        <f t="shared" si="0"/>
        <v>2000</v>
      </c>
      <c r="B12">
        <v>49.19505803070011</v>
      </c>
      <c r="C12">
        <v>30.049491082267256</v>
      </c>
      <c r="D12">
        <v>22.320302648171499</v>
      </c>
      <c r="E12">
        <v>0.60554880435006486</v>
      </c>
      <c r="F12">
        <v>24.663118178143108</v>
      </c>
      <c r="G12">
        <v>11.685678342613578</v>
      </c>
    </row>
    <row r="13" spans="1:9" x14ac:dyDescent="0.3">
      <c r="A13">
        <f t="shared" si="0"/>
        <v>2001</v>
      </c>
      <c r="B13">
        <v>49.594127806563037</v>
      </c>
      <c r="C13">
        <v>29.873332586032959</v>
      </c>
      <c r="D13">
        <v>19.396051103368176</v>
      </c>
      <c r="E13">
        <v>0.61651303399742297</v>
      </c>
      <c r="F13">
        <v>25.894946991601266</v>
      </c>
      <c r="G13">
        <v>11.863680151713076</v>
      </c>
    </row>
    <row r="14" spans="1:9" x14ac:dyDescent="0.3">
      <c r="A14">
        <f t="shared" si="0"/>
        <v>2002</v>
      </c>
      <c r="B14">
        <v>51.685585047367077</v>
      </c>
      <c r="C14">
        <v>31.131669535283997</v>
      </c>
      <c r="D14">
        <v>21.068249258160236</v>
      </c>
      <c r="E14">
        <v>0.62835972686328634</v>
      </c>
      <c r="F14">
        <v>26.632029958503423</v>
      </c>
      <c r="G14">
        <v>12.155912582806927</v>
      </c>
    </row>
    <row r="15" spans="1:9" x14ac:dyDescent="0.3">
      <c r="A15">
        <f t="shared" si="0"/>
        <v>2003</v>
      </c>
      <c r="B15">
        <v>53.148575827559661</v>
      </c>
      <c r="C15">
        <v>32.538057509124904</v>
      </c>
      <c r="D15">
        <v>25.526742301458672</v>
      </c>
      <c r="E15">
        <v>0.8505081283798489</v>
      </c>
      <c r="F15">
        <v>26.907852044127189</v>
      </c>
      <c r="G15">
        <v>12.65619353520934</v>
      </c>
    </row>
    <row r="16" spans="1:9" x14ac:dyDescent="0.3">
      <c r="A16">
        <f t="shared" si="0"/>
        <v>2004</v>
      </c>
      <c r="B16">
        <v>52.22064489961469</v>
      </c>
      <c r="C16">
        <v>31.752978361293462</v>
      </c>
      <c r="D16">
        <v>22.570123939986953</v>
      </c>
      <c r="E16">
        <v>0.87873191751308088</v>
      </c>
      <c r="F16">
        <v>27.024604352126609</v>
      </c>
      <c r="G16">
        <v>12.963982588641063</v>
      </c>
    </row>
    <row r="17" spans="1:7" x14ac:dyDescent="0.3">
      <c r="A17">
        <f t="shared" si="0"/>
        <v>2005</v>
      </c>
      <c r="B17">
        <v>54.124913342156674</v>
      </c>
      <c r="C17">
        <v>31.887718285466875</v>
      </c>
      <c r="D17">
        <v>24.203821656050955</v>
      </c>
      <c r="E17">
        <v>0.69118053635609622</v>
      </c>
      <c r="F17">
        <v>28.056670460672141</v>
      </c>
      <c r="G17">
        <v>13.400627172110429</v>
      </c>
    </row>
    <row r="18" spans="1:7" x14ac:dyDescent="0.3">
      <c r="A18">
        <f t="shared" si="0"/>
        <v>2006</v>
      </c>
      <c r="B18">
        <v>53.826680795949613</v>
      </c>
      <c r="C18">
        <v>33.979797979797979</v>
      </c>
      <c r="D18">
        <v>24.136513157894736</v>
      </c>
      <c r="E18">
        <v>0.59574815358877053</v>
      </c>
      <c r="F18">
        <v>27.836403562278882</v>
      </c>
      <c r="G18">
        <v>13.445117271377299</v>
      </c>
    </row>
    <row r="19" spans="1:7" x14ac:dyDescent="0.3">
      <c r="A19">
        <f t="shared" si="0"/>
        <v>2007</v>
      </c>
      <c r="B19">
        <v>53.641036624544867</v>
      </c>
      <c r="C19">
        <v>35.649880911874789</v>
      </c>
      <c r="D19">
        <v>27.315827862873814</v>
      </c>
      <c r="E19">
        <v>0.64777117288206143</v>
      </c>
      <c r="F19">
        <v>27.947151413007493</v>
      </c>
      <c r="G19">
        <v>13.849754597445738</v>
      </c>
    </row>
    <row r="20" spans="1:7" x14ac:dyDescent="0.3">
      <c r="A20">
        <f t="shared" si="0"/>
        <v>2008</v>
      </c>
      <c r="B20">
        <v>54.100749375520394</v>
      </c>
      <c r="C20">
        <v>36.371191135734072</v>
      </c>
      <c r="D20">
        <v>28.590121033693162</v>
      </c>
      <c r="E20">
        <v>0.62800573007264915</v>
      </c>
      <c r="F20">
        <v>28.802746301303277</v>
      </c>
      <c r="G20">
        <v>14.287411109568543</v>
      </c>
    </row>
    <row r="21" spans="1:7" x14ac:dyDescent="0.3">
      <c r="A21">
        <f t="shared" si="0"/>
        <v>2009</v>
      </c>
      <c r="B21">
        <v>54.766125061546035</v>
      </c>
      <c r="C21">
        <v>35.910766613101423</v>
      </c>
      <c r="D21">
        <v>30.345394736842106</v>
      </c>
      <c r="E21">
        <v>0.68185806322228071</v>
      </c>
      <c r="F21">
        <v>28.636572302983932</v>
      </c>
      <c r="G21">
        <v>14.639421229089919</v>
      </c>
    </row>
    <row r="22" spans="1:7" x14ac:dyDescent="0.3">
      <c r="A22">
        <f t="shared" si="0"/>
        <v>2010</v>
      </c>
      <c r="B22">
        <v>54.260109880212561</v>
      </c>
      <c r="C22">
        <v>37.151904628853501</v>
      </c>
      <c r="D22">
        <v>32.328159645232816</v>
      </c>
      <c r="E22">
        <v>0.75092380262110425</v>
      </c>
      <c r="F22">
        <v>30.384638608779664</v>
      </c>
      <c r="G22">
        <v>14.987559101165749</v>
      </c>
    </row>
    <row r="23" spans="1:7" x14ac:dyDescent="0.3">
      <c r="A23">
        <f t="shared" si="0"/>
        <v>2011</v>
      </c>
      <c r="B23">
        <v>53.652292183374669</v>
      </c>
      <c r="C23">
        <v>38.07181505164781</v>
      </c>
      <c r="D23">
        <v>34.068965517241381</v>
      </c>
      <c r="E23">
        <v>0.80380632521690454</v>
      </c>
      <c r="F23">
        <v>31.335166148697109</v>
      </c>
      <c r="G23">
        <v>15.612748002328686</v>
      </c>
    </row>
    <row r="24" spans="1:7" x14ac:dyDescent="0.3">
      <c r="A24">
        <f>A22+2</f>
        <v>2012</v>
      </c>
      <c r="B24">
        <v>54.37698032569449</v>
      </c>
      <c r="C24">
        <v>38.040495438700582</v>
      </c>
      <c r="D24">
        <v>34.972182688575494</v>
      </c>
      <c r="E24">
        <v>0.89052080695534741</v>
      </c>
      <c r="F24">
        <v>31.567512871640723</v>
      </c>
      <c r="G24">
        <v>16.062366286121797</v>
      </c>
    </row>
    <row r="25" spans="1:7" x14ac:dyDescent="0.3">
      <c r="A25">
        <f t="shared" si="0"/>
        <v>2013</v>
      </c>
      <c r="B25">
        <v>53.136267773317911</v>
      </c>
      <c r="C25">
        <v>39.309210526315788</v>
      </c>
      <c r="D25">
        <v>37.29310706054892</v>
      </c>
      <c r="E25">
        <v>0.98056046452915935</v>
      </c>
      <c r="F25">
        <v>33.314256281119441</v>
      </c>
      <c r="G25">
        <v>16.636533735053813</v>
      </c>
    </row>
    <row r="26" spans="1:7" x14ac:dyDescent="0.3">
      <c r="A26">
        <f t="shared" si="0"/>
        <v>2014</v>
      </c>
      <c r="B26">
        <v>54.033834333086205</v>
      </c>
      <c r="C26">
        <v>39.599288311286458</v>
      </c>
      <c r="D26">
        <v>38.097376931369027</v>
      </c>
      <c r="E26">
        <v>0.99204619215082201</v>
      </c>
      <c r="F26">
        <v>33.762057877813504</v>
      </c>
      <c r="G26">
        <v>17.118690270210468</v>
      </c>
    </row>
    <row r="27" spans="1:7" x14ac:dyDescent="0.3">
      <c r="A27">
        <f t="shared" si="0"/>
        <v>2015</v>
      </c>
      <c r="B27">
        <v>54.968532063276065</v>
      </c>
      <c r="C27">
        <v>41.097200486871849</v>
      </c>
      <c r="D27">
        <v>39.171176993295099</v>
      </c>
      <c r="E27">
        <v>1.0773407244285822</v>
      </c>
      <c r="F27">
        <v>34.889897089742171</v>
      </c>
      <c r="G27">
        <v>17.749952532074754</v>
      </c>
    </row>
    <row r="28" spans="1:7" x14ac:dyDescent="0.3">
      <c r="A28">
        <f t="shared" si="0"/>
        <v>2016</v>
      </c>
      <c r="B28">
        <v>55.286709823481551</v>
      </c>
      <c r="C28">
        <v>41.119343211854229</v>
      </c>
      <c r="D28">
        <v>38.690567779658409</v>
      </c>
      <c r="E28">
        <v>1.141512480967102</v>
      </c>
      <c r="F28">
        <v>35.954464879237754</v>
      </c>
      <c r="G28">
        <v>18.055656429018875</v>
      </c>
    </row>
    <row r="29" spans="1:7" x14ac:dyDescent="0.3">
      <c r="A29">
        <f t="shared" si="0"/>
        <v>2017</v>
      </c>
      <c r="B29">
        <v>56.033010813887309</v>
      </c>
      <c r="C29">
        <v>40.518877873866273</v>
      </c>
      <c r="D29">
        <v>39.587132540666715</v>
      </c>
      <c r="E29">
        <v>1.1268169696087087</v>
      </c>
      <c r="F29">
        <v>34.580435270361235</v>
      </c>
      <c r="G29">
        <v>18.336307854435436</v>
      </c>
    </row>
    <row r="30" spans="1:7" x14ac:dyDescent="0.3">
      <c r="A30">
        <f t="shared" si="0"/>
        <v>2018</v>
      </c>
      <c r="B30">
        <v>57.598470936551358</v>
      </c>
      <c r="C30">
        <v>40.033483310662341</v>
      </c>
      <c r="D30">
        <v>40.266703326917792</v>
      </c>
      <c r="E30">
        <v>1.1128690568769946</v>
      </c>
      <c r="F30">
        <v>34.280922193478688</v>
      </c>
      <c r="G30">
        <v>18.503877552833323</v>
      </c>
    </row>
    <row r="31" spans="1:7" x14ac:dyDescent="0.3">
      <c r="A31">
        <f t="shared" si="0"/>
        <v>2019</v>
      </c>
      <c r="B31">
        <v>57.822821122560676</v>
      </c>
      <c r="C31">
        <v>39.037212658488819</v>
      </c>
      <c r="D31">
        <v>39.882085610759688</v>
      </c>
      <c r="E31">
        <v>1.1391502460912364</v>
      </c>
      <c r="F31">
        <v>34.700333938719311</v>
      </c>
      <c r="G31">
        <v>18.502046787664238</v>
      </c>
    </row>
    <row r="32" spans="1:7" x14ac:dyDescent="0.3">
      <c r="A32">
        <f t="shared" si="0"/>
        <v>2020</v>
      </c>
      <c r="B32">
        <v>58.245687841817414</v>
      </c>
      <c r="C32">
        <v>36.85781813658415</v>
      </c>
      <c r="D32">
        <v>39.776195320447613</v>
      </c>
      <c r="E32">
        <v>1.2160288513262669</v>
      </c>
      <c r="F32">
        <v>33.23795022576919</v>
      </c>
      <c r="G32">
        <v>18.849143024730228</v>
      </c>
    </row>
    <row r="33" spans="1:7" x14ac:dyDescent="0.3">
      <c r="A33">
        <f t="shared" si="0"/>
        <v>2021</v>
      </c>
      <c r="B33">
        <v>58.179174135073893</v>
      </c>
      <c r="C33">
        <v>35.861532477635159</v>
      </c>
      <c r="D33">
        <v>39.686661092285348</v>
      </c>
      <c r="E33">
        <v>1.4173195181534834</v>
      </c>
      <c r="F33">
        <v>33.459296910344094</v>
      </c>
      <c r="G33">
        <v>18.97960614674297</v>
      </c>
    </row>
    <row r="34" spans="1:7" x14ac:dyDescent="0.3">
      <c r="A34">
        <f t="shared" si="0"/>
        <v>2022</v>
      </c>
      <c r="B34">
        <v>57.766429995453116</v>
      </c>
      <c r="C34">
        <v>36.234427092472366</v>
      </c>
      <c r="D34">
        <v>40.171673819742487</v>
      </c>
      <c r="E34">
        <v>1.8574447702691832</v>
      </c>
      <c r="F34">
        <v>33.840151471685118</v>
      </c>
      <c r="G34">
        <v>18.404417309057898</v>
      </c>
    </row>
    <row r="35" spans="1:7" x14ac:dyDescent="0.3">
      <c r="A35">
        <f t="shared" si="0"/>
        <v>2023</v>
      </c>
      <c r="B35">
        <v>57.788825757575758</v>
      </c>
      <c r="C35">
        <v>35.578767853336174</v>
      </c>
      <c r="D35">
        <v>40.390517279722452</v>
      </c>
      <c r="E35">
        <v>1.9093265057607642</v>
      </c>
      <c r="F35">
        <v>33.432661587613666</v>
      </c>
      <c r="G35">
        <v>18.598667167874741</v>
      </c>
    </row>
    <row r="36" spans="1:7" x14ac:dyDescent="0.3">
      <c r="A36">
        <f t="shared" si="0"/>
        <v>2024</v>
      </c>
      <c r="B36">
        <v>60.02203452074918</v>
      </c>
      <c r="C36">
        <v>31.739829924155366</v>
      </c>
      <c r="D36">
        <v>41.229187903499835</v>
      </c>
      <c r="E36">
        <v>1.2746090591928447</v>
      </c>
      <c r="F36">
        <v>32.274915819617959</v>
      </c>
      <c r="G36">
        <v>18.437737812931132</v>
      </c>
    </row>
    <row r="37" spans="1:7" x14ac:dyDescent="0.3">
      <c r="A37">
        <v>2025</v>
      </c>
      <c r="B37">
        <v>60.437062937062933</v>
      </c>
      <c r="C37">
        <v>31.144662921348313</v>
      </c>
      <c r="D37">
        <v>42.326766772282681</v>
      </c>
      <c r="E37">
        <v>1.0067908099283061</v>
      </c>
      <c r="F37">
        <v>33.393025916529872</v>
      </c>
      <c r="G37">
        <v>18.653103017400962</v>
      </c>
    </row>
    <row r="38" spans="1:7" x14ac:dyDescent="0.3">
      <c r="A38" t="s">
        <v>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8</v>
      </c>
      <c r="B39">
        <v>60.437062937062933</v>
      </c>
      <c r="C39">
        <v>41.119343211854229</v>
      </c>
      <c r="D39">
        <v>42.326766772282681</v>
      </c>
      <c r="E39">
        <v>1.9093265057607642</v>
      </c>
      <c r="F39">
        <v>35.954464879237754</v>
      </c>
      <c r="G39">
        <v>18.97960614674297</v>
      </c>
    </row>
    <row r="40" spans="1:7" x14ac:dyDescent="0.3">
      <c r="A40" t="s">
        <v>9</v>
      </c>
      <c r="B40">
        <v>34.738041002277903</v>
      </c>
      <c r="C40">
        <v>18.85447394296952</v>
      </c>
      <c r="D40">
        <v>13.805970149253731</v>
      </c>
      <c r="E40">
        <v>0.59574815358877053</v>
      </c>
      <c r="F40">
        <v>18.394607843137255</v>
      </c>
      <c r="G40">
        <v>7.6723259518649805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110F-2420-41A7-9841-6E9B486B84D4}">
  <dimension ref="I1:AS45"/>
  <sheetViews>
    <sheetView topLeftCell="I1" zoomScale="70" zoomScaleNormal="70" workbookViewId="0">
      <selection activeCell="P45" sqref="P45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s="1" t="s">
        <v>21</v>
      </c>
      <c r="J1" s="1">
        <v>1990</v>
      </c>
      <c r="K1" s="1">
        <v>1991</v>
      </c>
      <c r="L1" s="1">
        <v>1992</v>
      </c>
      <c r="M1" s="1">
        <v>1993</v>
      </c>
      <c r="N1" s="1">
        <v>1994</v>
      </c>
      <c r="O1" s="1">
        <v>1995</v>
      </c>
      <c r="P1" s="1">
        <v>1996</v>
      </c>
      <c r="Q1" s="1">
        <v>1997</v>
      </c>
      <c r="R1" s="1">
        <v>1998</v>
      </c>
      <c r="S1" s="1">
        <v>1999</v>
      </c>
      <c r="T1" s="1">
        <v>2000</v>
      </c>
      <c r="U1" s="1">
        <v>2001</v>
      </c>
      <c r="V1" s="1">
        <v>2002</v>
      </c>
      <c r="W1" s="1">
        <v>2003</v>
      </c>
      <c r="X1" s="1">
        <v>2004</v>
      </c>
      <c r="Y1" s="1">
        <v>2005</v>
      </c>
      <c r="Z1" s="1">
        <v>2006</v>
      </c>
      <c r="AA1" s="1">
        <v>2007</v>
      </c>
      <c r="AB1" s="1">
        <v>2008</v>
      </c>
      <c r="AC1" s="1">
        <v>2009</v>
      </c>
      <c r="AD1" s="1">
        <v>2010</v>
      </c>
      <c r="AE1" s="1">
        <v>2011</v>
      </c>
      <c r="AF1" s="1">
        <v>2012</v>
      </c>
      <c r="AG1" s="1">
        <v>2013</v>
      </c>
      <c r="AH1" s="1">
        <v>2014</v>
      </c>
      <c r="AI1" s="1">
        <v>2015</v>
      </c>
      <c r="AJ1" s="1">
        <v>2016</v>
      </c>
      <c r="AK1" s="1">
        <v>2017</v>
      </c>
      <c r="AL1" s="1">
        <v>2018</v>
      </c>
      <c r="AM1" s="1">
        <v>2019</v>
      </c>
      <c r="AN1" s="1">
        <v>2020</v>
      </c>
      <c r="AO1" s="1">
        <v>2021</v>
      </c>
      <c r="AP1" s="1">
        <v>2022</v>
      </c>
      <c r="AQ1" s="1">
        <v>2023</v>
      </c>
      <c r="AR1" s="1">
        <v>2024</v>
      </c>
      <c r="AS1" s="1">
        <v>2025</v>
      </c>
    </row>
    <row r="2" spans="9:45" x14ac:dyDescent="0.3">
      <c r="I2" s="1" t="s">
        <v>22</v>
      </c>
      <c r="J2" s="1">
        <v>34.738041002277903</v>
      </c>
      <c r="K2" s="1">
        <v>38.160469667318978</v>
      </c>
      <c r="L2" s="1">
        <v>39.152993969990185</v>
      </c>
      <c r="M2" s="1">
        <v>40.57054343616884</v>
      </c>
      <c r="N2" s="1">
        <v>41.634938409854421</v>
      </c>
      <c r="O2" s="1">
        <v>42.784032753326514</v>
      </c>
      <c r="P2" s="1">
        <v>44.646758922068464</v>
      </c>
      <c r="Q2" s="1">
        <v>46.342950020316941</v>
      </c>
      <c r="R2" s="1">
        <v>47.499023055881203</v>
      </c>
      <c r="S2" s="1">
        <v>49.025145772594755</v>
      </c>
      <c r="T2" s="1">
        <v>49.19505803070011</v>
      </c>
      <c r="U2" s="1">
        <v>49.594127806563037</v>
      </c>
      <c r="V2" s="1">
        <v>51.685585047367077</v>
      </c>
      <c r="W2" s="1">
        <v>53.148575827559661</v>
      </c>
      <c r="X2" s="1">
        <v>52.22064489961469</v>
      </c>
      <c r="Y2" s="1">
        <v>54.124913342156674</v>
      </c>
      <c r="Z2" s="1">
        <v>53.826680795949613</v>
      </c>
      <c r="AA2" s="1">
        <v>53.641036624544867</v>
      </c>
      <c r="AB2" s="1">
        <v>54.100749375520394</v>
      </c>
      <c r="AC2" s="1">
        <v>54.766125061546035</v>
      </c>
      <c r="AD2" s="1">
        <v>54.260109880212561</v>
      </c>
      <c r="AE2" s="1">
        <v>53.652292183374669</v>
      </c>
      <c r="AF2" s="1">
        <v>54.37698032569449</v>
      </c>
      <c r="AG2" s="1">
        <v>53.136267773317911</v>
      </c>
      <c r="AH2" s="1">
        <v>54.033834333086205</v>
      </c>
      <c r="AI2" s="1">
        <v>54.968532063276065</v>
      </c>
      <c r="AJ2" s="1">
        <v>55.286709823481551</v>
      </c>
      <c r="AK2" s="1">
        <v>56.033010813887309</v>
      </c>
      <c r="AL2" s="1">
        <v>57.598470936551358</v>
      </c>
      <c r="AM2" s="1">
        <v>57.822821122560676</v>
      </c>
      <c r="AN2" s="1">
        <v>58.245687841817414</v>
      </c>
      <c r="AO2" s="1">
        <v>58.179174135073893</v>
      </c>
      <c r="AP2" s="1">
        <v>57.766429995453116</v>
      </c>
      <c r="AQ2" s="1">
        <v>57.788825757575758</v>
      </c>
      <c r="AR2" s="1">
        <v>60.02203452074918</v>
      </c>
      <c r="AS2" s="1">
        <v>60.437062937062933</v>
      </c>
    </row>
    <row r="3" spans="9:45" x14ac:dyDescent="0.3">
      <c r="I3" s="1" t="s">
        <v>23</v>
      </c>
      <c r="J3" s="1">
        <v>18.85447394296952</v>
      </c>
      <c r="K3" s="1">
        <v>21.201923076923077</v>
      </c>
      <c r="L3" s="1">
        <v>21.296296296296298</v>
      </c>
      <c r="M3" s="1">
        <v>23.885436368549041</v>
      </c>
      <c r="N3" s="1">
        <v>25.772348173381886</v>
      </c>
      <c r="O3" s="1">
        <v>25.026829791800814</v>
      </c>
      <c r="P3" s="1">
        <v>26.002265005662512</v>
      </c>
      <c r="Q3" s="1">
        <v>25.540789601319236</v>
      </c>
      <c r="R3" s="1">
        <v>26.499855086465075</v>
      </c>
      <c r="S3" s="1">
        <v>28.003901746918508</v>
      </c>
      <c r="T3" s="1">
        <v>30.049491082267256</v>
      </c>
      <c r="U3" s="1">
        <v>29.873332586032959</v>
      </c>
      <c r="V3" s="1">
        <v>31.131669535283997</v>
      </c>
      <c r="W3" s="1">
        <v>32.538057509124904</v>
      </c>
      <c r="X3" s="1">
        <v>31.752978361293462</v>
      </c>
      <c r="Y3" s="1">
        <v>31.887718285466875</v>
      </c>
      <c r="Z3" s="1">
        <v>33.979797979797979</v>
      </c>
      <c r="AA3" s="1">
        <v>35.649880911874789</v>
      </c>
      <c r="AB3" s="1">
        <v>36.371191135734072</v>
      </c>
      <c r="AC3" s="1">
        <v>35.910766613101423</v>
      </c>
      <c r="AD3" s="1">
        <v>37.151904628853501</v>
      </c>
      <c r="AE3" s="1">
        <v>38.07181505164781</v>
      </c>
      <c r="AF3" s="1">
        <v>38.040495438700582</v>
      </c>
      <c r="AG3" s="1">
        <v>39.309210526315788</v>
      </c>
      <c r="AH3" s="1">
        <v>39.599288311286458</v>
      </c>
      <c r="AI3" s="1">
        <v>41.097200486871849</v>
      </c>
      <c r="AJ3" s="1">
        <v>41.119343211854229</v>
      </c>
      <c r="AK3" s="1">
        <v>40.518877873866273</v>
      </c>
      <c r="AL3" s="1">
        <v>40.033483310662341</v>
      </c>
      <c r="AM3" s="1">
        <v>39.037212658488819</v>
      </c>
      <c r="AN3" s="1">
        <v>36.85781813658415</v>
      </c>
      <c r="AO3" s="1">
        <v>35.861532477635159</v>
      </c>
      <c r="AP3" s="1">
        <v>36.234427092472366</v>
      </c>
      <c r="AQ3" s="1">
        <v>35.578767853336174</v>
      </c>
      <c r="AR3" s="1">
        <v>31.739829924155366</v>
      </c>
      <c r="AS3" s="1">
        <v>31.144662921348313</v>
      </c>
    </row>
    <row r="4" spans="9:45" x14ac:dyDescent="0.3">
      <c r="I4" s="1" t="s">
        <v>24</v>
      </c>
      <c r="J4" s="1">
        <v>14.018691588785046</v>
      </c>
      <c r="K4" s="1">
        <v>13.805970149253731</v>
      </c>
      <c r="L4" s="1">
        <v>14.473684210526317</v>
      </c>
      <c r="M4" s="1">
        <v>22.262773722627738</v>
      </c>
      <c r="N4" s="1">
        <v>18.678160919540229</v>
      </c>
      <c r="O4" s="1">
        <v>22.784810126582279</v>
      </c>
      <c r="P4" s="1">
        <v>21.573033707865168</v>
      </c>
      <c r="Q4" s="1">
        <v>22.080291970802921</v>
      </c>
      <c r="R4" s="1">
        <v>19.727891156462583</v>
      </c>
      <c r="S4" s="1">
        <v>18.942731277533039</v>
      </c>
      <c r="T4" s="1">
        <v>22.320302648171499</v>
      </c>
      <c r="U4" s="1">
        <v>19.396051103368176</v>
      </c>
      <c r="V4" s="1">
        <v>21.068249258160236</v>
      </c>
      <c r="W4" s="1">
        <v>25.526742301458672</v>
      </c>
      <c r="X4" s="1">
        <v>22.570123939986953</v>
      </c>
      <c r="Y4" s="1">
        <v>24.203821656050955</v>
      </c>
      <c r="Z4" s="1">
        <v>24.136513157894736</v>
      </c>
      <c r="AA4" s="1">
        <v>27.315827862873814</v>
      </c>
      <c r="AB4" s="1">
        <v>28.590121033693162</v>
      </c>
      <c r="AC4" s="1">
        <v>30.345394736842106</v>
      </c>
      <c r="AD4" s="1">
        <v>32.328159645232816</v>
      </c>
      <c r="AE4" s="1">
        <v>34.068965517241381</v>
      </c>
      <c r="AF4" s="1">
        <v>34.972182688575494</v>
      </c>
      <c r="AG4" s="1">
        <v>37.29310706054892</v>
      </c>
      <c r="AH4" s="1">
        <v>38.097376931369027</v>
      </c>
      <c r="AI4" s="1">
        <v>39.171176993295099</v>
      </c>
      <c r="AJ4" s="1">
        <v>38.690567779658409</v>
      </c>
      <c r="AK4" s="1">
        <v>39.587132540666715</v>
      </c>
      <c r="AL4" s="1">
        <v>40.266703326917792</v>
      </c>
      <c r="AM4" s="1">
        <v>39.882085610759688</v>
      </c>
      <c r="AN4" s="1">
        <v>39.776195320447613</v>
      </c>
      <c r="AO4" s="1">
        <v>39.686661092285348</v>
      </c>
      <c r="AP4" s="1">
        <v>40.171673819742487</v>
      </c>
      <c r="AQ4" s="1">
        <v>40.390517279722452</v>
      </c>
      <c r="AR4" s="1">
        <v>41.229187903499835</v>
      </c>
      <c r="AS4" s="1">
        <v>42.326766772282681</v>
      </c>
    </row>
    <row r="5" spans="9:45" x14ac:dyDescent="0.3">
      <c r="I5" s="1" t="s">
        <v>25</v>
      </c>
      <c r="J5" s="1">
        <v>0.76615726819623509</v>
      </c>
      <c r="K5" s="1">
        <v>0.78557874762808355</v>
      </c>
      <c r="L5" s="1">
        <v>0.82796356960293749</v>
      </c>
      <c r="M5" s="1">
        <v>0.74822426039583478</v>
      </c>
      <c r="N5" s="1">
        <v>0.70546163849154753</v>
      </c>
      <c r="O5" s="1">
        <v>0.81325392266529617</v>
      </c>
      <c r="P5" s="1">
        <v>0.89933112247765723</v>
      </c>
      <c r="Q5" s="1">
        <v>0.83205663268001473</v>
      </c>
      <c r="R5" s="1">
        <v>0.74637751628902071</v>
      </c>
      <c r="S5" s="1">
        <v>0.61185108485903894</v>
      </c>
      <c r="T5" s="1">
        <v>0.60554880435006486</v>
      </c>
      <c r="U5" s="1">
        <v>0.61651303399742297</v>
      </c>
      <c r="V5" s="1">
        <v>0.62835972686328634</v>
      </c>
      <c r="W5" s="1">
        <v>0.8505081283798489</v>
      </c>
      <c r="X5" s="1">
        <v>0.87873191751308088</v>
      </c>
      <c r="Y5" s="1">
        <v>0.69118053635609622</v>
      </c>
      <c r="Z5" s="1">
        <v>0.59574815358877053</v>
      </c>
      <c r="AA5" s="1">
        <v>0.64777117288206143</v>
      </c>
      <c r="AB5" s="1">
        <v>0.62800573007264915</v>
      </c>
      <c r="AC5" s="1">
        <v>0.68185806322228071</v>
      </c>
      <c r="AD5" s="1">
        <v>0.75092380262110425</v>
      </c>
      <c r="AE5" s="1">
        <v>0.80380632521690454</v>
      </c>
      <c r="AF5" s="1">
        <v>0.89052080695534741</v>
      </c>
      <c r="AG5" s="1">
        <v>0.98056046452915935</v>
      </c>
      <c r="AH5" s="1">
        <v>0.99204619215082201</v>
      </c>
      <c r="AI5" s="1">
        <v>1.0773407244285822</v>
      </c>
      <c r="AJ5" s="1">
        <v>1.141512480967102</v>
      </c>
      <c r="AK5" s="1">
        <v>1.1268169696087087</v>
      </c>
      <c r="AL5" s="1">
        <v>1.1128690568769946</v>
      </c>
      <c r="AM5" s="1">
        <v>1.1391502460912364</v>
      </c>
      <c r="AN5" s="1">
        <v>1.2160288513262669</v>
      </c>
      <c r="AO5" s="1">
        <v>1.4173195181534834</v>
      </c>
      <c r="AP5" s="1">
        <v>1.8574447702691832</v>
      </c>
      <c r="AQ5" s="1">
        <v>1.9093265057607642</v>
      </c>
      <c r="AR5" s="1">
        <v>1.2746090591928447</v>
      </c>
      <c r="AS5" s="1">
        <v>1.0067908099283061</v>
      </c>
    </row>
    <row r="6" spans="9:45" x14ac:dyDescent="0.3">
      <c r="I6" s="1" t="s">
        <v>26</v>
      </c>
      <c r="J6" s="1">
        <v>18.394607843137255</v>
      </c>
      <c r="K6" s="1">
        <v>19.54215522054718</v>
      </c>
      <c r="L6" s="1">
        <v>21.519285967050685</v>
      </c>
      <c r="M6" s="1">
        <v>21.88690633369799</v>
      </c>
      <c r="N6" s="1">
        <v>23.953349282296653</v>
      </c>
      <c r="O6" s="1">
        <v>24.415849524295556</v>
      </c>
      <c r="P6" s="1">
        <v>24.853822276763157</v>
      </c>
      <c r="Q6" s="1">
        <v>25.401975114977361</v>
      </c>
      <c r="R6" s="1">
        <v>25.510459502950116</v>
      </c>
      <c r="S6" s="1">
        <v>25.594786566443695</v>
      </c>
      <c r="T6" s="1">
        <v>24.663118178143108</v>
      </c>
      <c r="U6" s="1">
        <v>25.894946991601266</v>
      </c>
      <c r="V6" s="1">
        <v>26.632029958503423</v>
      </c>
      <c r="W6" s="1">
        <v>26.907852044127189</v>
      </c>
      <c r="X6" s="1">
        <v>27.024604352126609</v>
      </c>
      <c r="Y6" s="1">
        <v>28.056670460672141</v>
      </c>
      <c r="Z6" s="1">
        <v>27.836403562278882</v>
      </c>
      <c r="AA6" s="1">
        <v>27.947151413007493</v>
      </c>
      <c r="AB6" s="1">
        <v>28.802746301303277</v>
      </c>
      <c r="AC6" s="1">
        <v>28.636572302983932</v>
      </c>
      <c r="AD6" s="1">
        <v>30.384638608779664</v>
      </c>
      <c r="AE6" s="1">
        <v>31.335166148697109</v>
      </c>
      <c r="AF6" s="1">
        <v>31.567512871640723</v>
      </c>
      <c r="AG6" s="1">
        <v>33.314256281119441</v>
      </c>
      <c r="AH6" s="1">
        <v>33.762057877813504</v>
      </c>
      <c r="AI6" s="1">
        <v>34.889897089742171</v>
      </c>
      <c r="AJ6" s="1">
        <v>35.954464879237754</v>
      </c>
      <c r="AK6" s="1">
        <v>34.580435270361235</v>
      </c>
      <c r="AL6" s="1">
        <v>34.280922193478688</v>
      </c>
      <c r="AM6" s="1">
        <v>34.700333938719311</v>
      </c>
      <c r="AN6" s="1">
        <v>33.23795022576919</v>
      </c>
      <c r="AO6" s="1">
        <v>33.459296910344094</v>
      </c>
      <c r="AP6" s="1">
        <v>33.840151471685118</v>
      </c>
      <c r="AQ6" s="1">
        <v>33.432661587613666</v>
      </c>
      <c r="AR6" s="1">
        <v>32.274915819617959</v>
      </c>
      <c r="AS6" s="1">
        <v>33.393025916529872</v>
      </c>
    </row>
    <row r="7" spans="9:45" x14ac:dyDescent="0.3">
      <c r="I7" s="1" t="s">
        <v>27</v>
      </c>
      <c r="J7" s="1">
        <v>7.6723259518649805</v>
      </c>
      <c r="K7" s="1">
        <v>8.2859385934685843</v>
      </c>
      <c r="L7" s="1">
        <v>8.9656781815775357</v>
      </c>
      <c r="M7" s="1">
        <v>9.5722854075051806</v>
      </c>
      <c r="N7" s="1">
        <v>10.097775173694917</v>
      </c>
      <c r="O7" s="1">
        <v>10.60927015454563</v>
      </c>
      <c r="P7" s="1">
        <v>11.183745862828005</v>
      </c>
      <c r="Q7" s="1">
        <v>11.557830735254711</v>
      </c>
      <c r="R7" s="1">
        <v>11.6334530142235</v>
      </c>
      <c r="S7" s="1">
        <v>12.080079690398222</v>
      </c>
      <c r="T7" s="1">
        <v>11.685678342613578</v>
      </c>
      <c r="U7" s="1">
        <v>11.863680151713076</v>
      </c>
      <c r="V7" s="1">
        <v>12.155912582806927</v>
      </c>
      <c r="W7" s="1">
        <v>12.65619353520934</v>
      </c>
      <c r="X7" s="1">
        <v>12.963982588641063</v>
      </c>
      <c r="Y7" s="1">
        <v>13.400627172110429</v>
      </c>
      <c r="Z7" s="1">
        <v>13.445117271377299</v>
      </c>
      <c r="AA7" s="1">
        <v>13.849754597445738</v>
      </c>
      <c r="AB7" s="1">
        <v>14.287411109568543</v>
      </c>
      <c r="AC7" s="1">
        <v>14.639421229089919</v>
      </c>
      <c r="AD7" s="1">
        <v>14.987559101165749</v>
      </c>
      <c r="AE7" s="1">
        <v>15.612748002328686</v>
      </c>
      <c r="AF7" s="1">
        <v>16.062366286121797</v>
      </c>
      <c r="AG7" s="1">
        <v>16.636533735053813</v>
      </c>
      <c r="AH7" s="1">
        <v>17.118690270210468</v>
      </c>
      <c r="AI7" s="1">
        <v>17.749952532074754</v>
      </c>
      <c r="AJ7" s="1">
        <v>18.055656429018875</v>
      </c>
      <c r="AK7" s="1">
        <v>18.336307854435436</v>
      </c>
      <c r="AL7" s="1">
        <v>18.503877552833323</v>
      </c>
      <c r="AM7" s="1">
        <v>18.502046787664238</v>
      </c>
      <c r="AN7" s="1">
        <v>18.849143024730228</v>
      </c>
      <c r="AO7" s="1">
        <v>18.97960614674297</v>
      </c>
      <c r="AP7" s="1">
        <v>18.404417309057898</v>
      </c>
      <c r="AQ7" s="1">
        <v>18.598667167874741</v>
      </c>
      <c r="AR7" s="1">
        <v>18.437737812931132</v>
      </c>
      <c r="AS7" s="1">
        <v>18.653103017400962</v>
      </c>
    </row>
    <row r="39" spans="9:11" x14ac:dyDescent="0.3">
      <c r="I39" t="s">
        <v>10</v>
      </c>
      <c r="J39" t="s">
        <v>11</v>
      </c>
      <c r="K39" t="s">
        <v>12</v>
      </c>
    </row>
    <row r="40" spans="9:11" x14ac:dyDescent="0.3">
      <c r="I40" t="str">
        <f t="shared" ref="I40:I45" si="0">I2</f>
        <v>Randomized controlled trial</v>
      </c>
      <c r="J40">
        <f>RCT!$B$38</f>
        <v>668641</v>
      </c>
      <c r="K40" t="str">
        <f>RCT!$C$38 &amp;" ("&amp;RCT!$C$40&amp;"-"&amp;RCT!$C$39&amp;")"</f>
        <v>348180 (2091-16539)</v>
      </c>
    </row>
    <row r="41" spans="9:11" x14ac:dyDescent="0.3">
      <c r="I41" t="str">
        <f t="shared" si="0"/>
        <v>Clinical trial</v>
      </c>
      <c r="J41">
        <f>CT!$B$38</f>
        <v>333103</v>
      </c>
      <c r="K41" t="str">
        <f>CT!$C$38 &amp;" ("&amp;CT!$C$40&amp;"-"&amp;CT!$C$39&amp;")"</f>
        <v>109310 (746-5380)</v>
      </c>
    </row>
    <row r="42" spans="9:11" x14ac:dyDescent="0.3">
      <c r="I42" t="str">
        <f t="shared" si="0"/>
        <v>Meta-analysis</v>
      </c>
      <c r="J42">
        <f>META!$B$38</f>
        <v>258279</v>
      </c>
      <c r="K42" t="str">
        <f>META!$C$38 &amp;" ("&amp;META!$C$40&amp;"-"&amp;META!$C$39&amp;")"</f>
        <v>95012 (30-9418)</v>
      </c>
    </row>
    <row r="43" spans="9:11" x14ac:dyDescent="0.3">
      <c r="I43" t="str">
        <f t="shared" si="0"/>
        <v>Review</v>
      </c>
      <c r="J43">
        <f>REVIEW!$B$38</f>
        <v>2766251</v>
      </c>
      <c r="K43" t="str">
        <f>REVIEW!$C$38 &amp;" ("&amp;REVIEW!$C$40&amp;"-"&amp;REVIEW!$C$39&amp;")"</f>
        <v>27795 (181-2504)</v>
      </c>
    </row>
    <row r="44" spans="9:11" x14ac:dyDescent="0.3">
      <c r="I44" t="str">
        <f t="shared" si="0"/>
        <v>Core clinical journal</v>
      </c>
      <c r="J44">
        <f>CCJ!$B$38</f>
        <v>2125833</v>
      </c>
      <c r="K44" t="str">
        <f>CCJ!$C$38 &amp;" ("&amp;CCJ!$C$40&amp;"-"&amp;CCJ!$C$39&amp;")"</f>
        <v>614361 (5369-26185)</v>
      </c>
    </row>
    <row r="45" spans="9:11" x14ac:dyDescent="0.3">
      <c r="I45" t="str">
        <f t="shared" si="0"/>
        <v>All MEDLINE</v>
      </c>
      <c r="J45">
        <f>ALL!$B$38</f>
        <v>22734796</v>
      </c>
      <c r="K45" t="str">
        <f>ALL!$C$38 &amp;" ("&amp;ALL!$C$40&amp;"-"&amp;ALL!$C$39&amp;")"</f>
        <v>3500485 (20882-206278)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2025-12-10T12:09:41Z</dcterms:modified>
</cp:coreProperties>
</file>