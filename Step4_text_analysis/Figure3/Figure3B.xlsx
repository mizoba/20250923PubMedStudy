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3/"/>
    </mc:Choice>
  </mc:AlternateContent>
  <xr:revisionPtr revIDLastSave="0" documentId="13_ncr:1_{8DD3F2CE-CFC4-8B4F-A2F0-2D8637E7418E}" xr6:coauthVersionLast="47" xr6:coauthVersionMax="47" xr10:uidLastSave="{00000000-0000-0000-0000-000000000000}"/>
  <bookViews>
    <workbookView xWindow="0" yWindow="760" windowWidth="29040" windowHeight="15720" activeTab="3" xr2:uid="{00000000-000D-0000-FFFF-FFFF00000000}"/>
  </bookViews>
  <sheets>
    <sheet name="HasPval" sheetId="1" r:id="rId1"/>
    <sheet name="Has005" sheetId="13" r:id="rId2"/>
    <sheet name="Has001" sheetId="14" r:id="rId3"/>
    <sheet name="Has0005" sheetId="15" r:id="rId4"/>
    <sheet name="Has0005 (2)" sheetId="17" r:id="rId5"/>
    <sheet name="Has0001" sheetId="16" r:id="rId6"/>
  </sheets>
  <externalReferences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7" l="1"/>
  <c r="C37" i="17"/>
  <c r="B37" i="17"/>
  <c r="D36" i="17"/>
  <c r="C36" i="17"/>
  <c r="B36" i="17"/>
  <c r="D35" i="17"/>
  <c r="C35" i="17"/>
  <c r="B35" i="17"/>
  <c r="D34" i="17"/>
  <c r="C34" i="17"/>
  <c r="B34" i="17"/>
  <c r="D33" i="17"/>
  <c r="C33" i="17"/>
  <c r="B33" i="17"/>
  <c r="D32" i="17"/>
  <c r="C32" i="17"/>
  <c r="B32" i="17"/>
  <c r="D31" i="17"/>
  <c r="C31" i="17"/>
  <c r="B31" i="17"/>
  <c r="D30" i="17"/>
  <c r="C30" i="17"/>
  <c r="B30" i="17"/>
  <c r="D29" i="17"/>
  <c r="C29" i="17"/>
  <c r="B29" i="17"/>
  <c r="D28" i="17"/>
  <c r="C28" i="17"/>
  <c r="B28" i="17"/>
  <c r="D27" i="17"/>
  <c r="C27" i="17"/>
  <c r="B27" i="17"/>
  <c r="D26" i="17"/>
  <c r="C26" i="17"/>
  <c r="B26" i="17"/>
  <c r="D25" i="17"/>
  <c r="C25" i="17"/>
  <c r="B25" i="17"/>
  <c r="D24" i="17"/>
  <c r="C24" i="17"/>
  <c r="B24" i="17"/>
  <c r="D23" i="17"/>
  <c r="C23" i="17"/>
  <c r="B23" i="17"/>
  <c r="D22" i="17"/>
  <c r="C22" i="17"/>
  <c r="B22" i="17"/>
  <c r="D21" i="17"/>
  <c r="C21" i="17"/>
  <c r="B21" i="17"/>
  <c r="D20" i="17"/>
  <c r="C20" i="17"/>
  <c r="B20" i="17"/>
  <c r="D19" i="17"/>
  <c r="C19" i="17"/>
  <c r="B19" i="17"/>
  <c r="D18" i="17"/>
  <c r="C18" i="17"/>
  <c r="B18" i="17"/>
  <c r="D17" i="17"/>
  <c r="C17" i="17"/>
  <c r="B17" i="17"/>
  <c r="D16" i="17"/>
  <c r="C16" i="17"/>
  <c r="B16" i="17"/>
  <c r="D15" i="17"/>
  <c r="C15" i="17"/>
  <c r="B15" i="17"/>
  <c r="D14" i="17"/>
  <c r="C14" i="17"/>
  <c r="B14" i="17"/>
  <c r="D13" i="17"/>
  <c r="C13" i="17"/>
  <c r="B13" i="17"/>
  <c r="D12" i="17"/>
  <c r="C12" i="17"/>
  <c r="B12" i="17"/>
  <c r="D11" i="17"/>
  <c r="C11" i="17"/>
  <c r="B11" i="17"/>
  <c r="D10" i="17"/>
  <c r="C10" i="17"/>
  <c r="B10" i="17"/>
  <c r="D9" i="17"/>
  <c r="C9" i="17"/>
  <c r="B9" i="17"/>
  <c r="D8" i="17"/>
  <c r="C8" i="17"/>
  <c r="B8" i="17"/>
  <c r="D7" i="17"/>
  <c r="C7" i="17"/>
  <c r="B7" i="17"/>
  <c r="G6" i="17" a="1"/>
  <c r="AN4" i="17" s="1"/>
  <c r="D6" i="17"/>
  <c r="C6" i="17"/>
  <c r="B6" i="17"/>
  <c r="D5" i="17"/>
  <c r="C5" i="17"/>
  <c r="B5" i="17"/>
  <c r="D4" i="17"/>
  <c r="C4" i="17"/>
  <c r="B4" i="17"/>
  <c r="D3" i="17"/>
  <c r="C3" i="17"/>
  <c r="B3" i="17"/>
  <c r="D2" i="17"/>
  <c r="C2" i="17"/>
  <c r="B2" i="17"/>
  <c r="H33" i="13" l="1"/>
  <c r="H32" i="13"/>
  <c r="AQ1" i="17"/>
  <c r="K2" i="17"/>
  <c r="S2" i="17"/>
  <c r="AA2" i="17"/>
  <c r="AI2" i="17"/>
  <c r="AQ2" i="17"/>
  <c r="K3" i="17"/>
  <c r="S3" i="17"/>
  <c r="AA3" i="17"/>
  <c r="AI3" i="17"/>
  <c r="AQ3" i="17"/>
  <c r="K4" i="17"/>
  <c r="S4" i="17"/>
  <c r="AA4" i="17"/>
  <c r="AI4" i="17"/>
  <c r="AQ4" i="17"/>
  <c r="G6" i="17"/>
  <c r="G1" i="17" s="1"/>
  <c r="I2" i="17"/>
  <c r="Y2" i="17"/>
  <c r="AO2" i="17"/>
  <c r="Q3" i="17"/>
  <c r="AG3" i="17"/>
  <c r="I4" i="17"/>
  <c r="Y4" i="17"/>
  <c r="AO4" i="17"/>
  <c r="AL1" i="17"/>
  <c r="J2" i="17"/>
  <c r="R2" i="17"/>
  <c r="Z2" i="17"/>
  <c r="AH2" i="17"/>
  <c r="AP2" i="17"/>
  <c r="J3" i="17"/>
  <c r="R3" i="17"/>
  <c r="Z3" i="17"/>
  <c r="AH3" i="17"/>
  <c r="AP3" i="17"/>
  <c r="J4" i="17"/>
  <c r="R4" i="17"/>
  <c r="Z4" i="17"/>
  <c r="AH4" i="17"/>
  <c r="AP4" i="17"/>
  <c r="H1" i="17"/>
  <c r="L2" i="17"/>
  <c r="T2" i="17"/>
  <c r="AB2" i="17"/>
  <c r="AJ2" i="17"/>
  <c r="L3" i="17"/>
  <c r="T3" i="17"/>
  <c r="AB3" i="17"/>
  <c r="AJ3" i="17"/>
  <c r="L4" i="17"/>
  <c r="T4" i="17"/>
  <c r="AB4" i="17"/>
  <c r="AJ4" i="17"/>
  <c r="M1" i="17"/>
  <c r="M2" i="17"/>
  <c r="U2" i="17"/>
  <c r="AC2" i="17"/>
  <c r="AK2" i="17"/>
  <c r="M3" i="17"/>
  <c r="U3" i="17"/>
  <c r="AC3" i="17"/>
  <c r="AK3" i="17"/>
  <c r="M4" i="17"/>
  <c r="U4" i="17"/>
  <c r="AC4" i="17"/>
  <c r="AK4" i="17"/>
  <c r="R1" i="17"/>
  <c r="N2" i="17"/>
  <c r="V2" i="17"/>
  <c r="AD2" i="17"/>
  <c r="AL2" i="17"/>
  <c r="N3" i="17"/>
  <c r="V3" i="17"/>
  <c r="AD3" i="17"/>
  <c r="AL3" i="17"/>
  <c r="N4" i="17"/>
  <c r="V4" i="17"/>
  <c r="AD4" i="17"/>
  <c r="AL4" i="17"/>
  <c r="W1" i="17"/>
  <c r="G2" i="17"/>
  <c r="O2" i="17"/>
  <c r="W2" i="17"/>
  <c r="AE2" i="17"/>
  <c r="AM2" i="17"/>
  <c r="G3" i="17"/>
  <c r="O3" i="17"/>
  <c r="W3" i="17"/>
  <c r="AE3" i="17"/>
  <c r="AM3" i="17"/>
  <c r="G4" i="17"/>
  <c r="O4" i="17"/>
  <c r="W4" i="17"/>
  <c r="AE4" i="17"/>
  <c r="AM4" i="17"/>
  <c r="AG1" i="17"/>
  <c r="Q2" i="17"/>
  <c r="AG2" i="17"/>
  <c r="I3" i="17"/>
  <c r="Y3" i="17"/>
  <c r="AO3" i="17"/>
  <c r="Q4" i="17"/>
  <c r="AG4" i="17"/>
  <c r="AB1" i="17"/>
  <c r="H2" i="17"/>
  <c r="P2" i="17"/>
  <c r="X2" i="17"/>
  <c r="AF2" i="17"/>
  <c r="AN2" i="17"/>
  <c r="H3" i="17"/>
  <c r="P3" i="17"/>
  <c r="X3" i="17"/>
  <c r="AF3" i="17"/>
  <c r="AN3" i="17"/>
  <c r="H4" i="17"/>
  <c r="P4" i="17"/>
  <c r="X4" i="17"/>
  <c r="AF4" i="17"/>
  <c r="H31" i="1"/>
  <c r="H31" i="13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D2" i="16"/>
  <c r="C2" i="16"/>
  <c r="B2" i="16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D2" i="15"/>
  <c r="C2" i="15"/>
  <c r="B2" i="15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D2" i="14"/>
  <c r="C2" i="14"/>
  <c r="B2" i="14"/>
  <c r="H33" i="1" l="1"/>
  <c r="G6" i="16" a="1"/>
  <c r="G6" i="15" a="1"/>
  <c r="AN4" i="15" s="1"/>
  <c r="G6" i="14" a="1"/>
  <c r="AN4" i="14" s="1"/>
  <c r="AN4" i="16" l="1"/>
  <c r="G2" i="16"/>
  <c r="AG1" i="16"/>
  <c r="V2" i="16"/>
  <c r="AC2" i="16"/>
  <c r="AQ1" i="16"/>
  <c r="N4" i="16"/>
  <c r="M2" i="16"/>
  <c r="AB2" i="16"/>
  <c r="K4" i="16"/>
  <c r="X4" i="16"/>
  <c r="AN2" i="16"/>
  <c r="AM3" i="16"/>
  <c r="AH4" i="16"/>
  <c r="AL3" i="16"/>
  <c r="R1" i="16"/>
  <c r="M1" i="16"/>
  <c r="T4" i="16"/>
  <c r="T2" i="16"/>
  <c r="AQ3" i="16"/>
  <c r="S2" i="16"/>
  <c r="AG4" i="16"/>
  <c r="I3" i="16"/>
  <c r="W4" i="16"/>
  <c r="M3" i="16"/>
  <c r="O4" i="16"/>
  <c r="N2" i="16"/>
  <c r="AB4" i="16"/>
  <c r="AA2" i="16"/>
  <c r="P4" i="16"/>
  <c r="AF2" i="16"/>
  <c r="W3" i="16"/>
  <c r="R4" i="16"/>
  <c r="AD3" i="16"/>
  <c r="AK4" i="16"/>
  <c r="J4" i="16"/>
  <c r="L4" i="16"/>
  <c r="L2" i="16"/>
  <c r="AI3" i="16"/>
  <c r="K2" i="16"/>
  <c r="Y4" i="16"/>
  <c r="AO2" i="16"/>
  <c r="G4" i="16"/>
  <c r="AK2" i="16"/>
  <c r="AE4" i="16"/>
  <c r="AJ4" i="16"/>
  <c r="AA4" i="16"/>
  <c r="H3" i="16"/>
  <c r="AM4" i="16"/>
  <c r="H4" i="16"/>
  <c r="X2" i="16"/>
  <c r="G3" i="16"/>
  <c r="AH3" i="16"/>
  <c r="V3" i="16"/>
  <c r="AC4" i="16"/>
  <c r="AP2" i="16"/>
  <c r="AJ3" i="16"/>
  <c r="H1" i="16"/>
  <c r="AA3" i="16"/>
  <c r="Z4" i="16"/>
  <c r="Q4" i="16"/>
  <c r="AG2" i="16"/>
  <c r="AE3" i="16"/>
  <c r="AP4" i="16"/>
  <c r="V4" i="16"/>
  <c r="AJ2" i="16"/>
  <c r="Z2" i="16"/>
  <c r="AO4" i="16"/>
  <c r="AN3" i="16"/>
  <c r="P2" i="16"/>
  <c r="AE2" i="16"/>
  <c r="AH2" i="16"/>
  <c r="N3" i="16"/>
  <c r="M4" i="16"/>
  <c r="AL1" i="16"/>
  <c r="AB3" i="16"/>
  <c r="G6" i="16"/>
  <c r="G1" i="16" s="1"/>
  <c r="S3" i="16"/>
  <c r="Z3" i="16"/>
  <c r="I4" i="16"/>
  <c r="Y2" i="16"/>
  <c r="O3" i="16"/>
  <c r="AP3" i="16"/>
  <c r="AI2" i="16"/>
  <c r="U4" i="16"/>
  <c r="AF3" i="16"/>
  <c r="H2" i="16"/>
  <c r="O2" i="16"/>
  <c r="AL4" i="16"/>
  <c r="AL2" i="16"/>
  <c r="AK3" i="16"/>
  <c r="U2" i="16"/>
  <c r="T3" i="16"/>
  <c r="AQ4" i="16"/>
  <c r="K3" i="16"/>
  <c r="R2" i="16"/>
  <c r="AO3" i="16"/>
  <c r="Q2" i="16"/>
  <c r="AM2" i="16"/>
  <c r="J3" i="16"/>
  <c r="P3" i="16"/>
  <c r="U3" i="16"/>
  <c r="Y3" i="16"/>
  <c r="AF4" i="16"/>
  <c r="Q3" i="16"/>
  <c r="X3" i="16"/>
  <c r="AB1" i="16"/>
  <c r="W1" i="16"/>
  <c r="AD4" i="16"/>
  <c r="AD2" i="16"/>
  <c r="AC3" i="16"/>
  <c r="R3" i="16"/>
  <c r="L3" i="16"/>
  <c r="AI4" i="16"/>
  <c r="AQ2" i="16"/>
  <c r="S4" i="16"/>
  <c r="AG3" i="16"/>
  <c r="I2" i="16"/>
  <c r="W2" i="16"/>
  <c r="J2" i="16"/>
  <c r="AH2" i="15"/>
  <c r="P3" i="15"/>
  <c r="R4" i="15"/>
  <c r="W4" i="15"/>
  <c r="AM2" i="15"/>
  <c r="AP2" i="15"/>
  <c r="AD4" i="15"/>
  <c r="AD2" i="15"/>
  <c r="I4" i="15"/>
  <c r="U3" i="15"/>
  <c r="AL1" i="15"/>
  <c r="AJ3" i="15"/>
  <c r="H1" i="15"/>
  <c r="AQ4" i="15"/>
  <c r="S3" i="15"/>
  <c r="AF4" i="15"/>
  <c r="H3" i="15"/>
  <c r="AH3" i="15"/>
  <c r="O4" i="15"/>
  <c r="AE2" i="15"/>
  <c r="R2" i="15"/>
  <c r="V4" i="15"/>
  <c r="V2" i="15"/>
  <c r="AO2" i="15"/>
  <c r="M3" i="15"/>
  <c r="Q4" i="15"/>
  <c r="AB3" i="15"/>
  <c r="AH4" i="15"/>
  <c r="AI4" i="15"/>
  <c r="K3" i="15"/>
  <c r="AO4" i="15"/>
  <c r="AK2" i="15"/>
  <c r="AA4" i="15"/>
  <c r="AM3" i="15"/>
  <c r="J2" i="15"/>
  <c r="H4" i="15"/>
  <c r="X2" i="15"/>
  <c r="AG2" i="15"/>
  <c r="AE3" i="15"/>
  <c r="G2" i="15"/>
  <c r="AO3" i="15"/>
  <c r="AD3" i="15"/>
  <c r="AP4" i="15"/>
  <c r="U4" i="15"/>
  <c r="U2" i="15"/>
  <c r="AJ4" i="15"/>
  <c r="AJ2" i="15"/>
  <c r="AG4" i="15"/>
  <c r="K4" i="15"/>
  <c r="AA2" i="15"/>
  <c r="X4" i="15"/>
  <c r="N4" i="15"/>
  <c r="T3" i="15"/>
  <c r="AF2" i="15"/>
  <c r="AL3" i="15"/>
  <c r="L3" i="15"/>
  <c r="AN3" i="15"/>
  <c r="P2" i="15"/>
  <c r="AG1" i="15"/>
  <c r="W3" i="15"/>
  <c r="W1" i="15"/>
  <c r="I3" i="15"/>
  <c r="V3" i="15"/>
  <c r="J4" i="15"/>
  <c r="M4" i="15"/>
  <c r="M2" i="15"/>
  <c r="AB4" i="15"/>
  <c r="AB2" i="15"/>
  <c r="Y3" i="15"/>
  <c r="AQ3" i="15"/>
  <c r="S2" i="15"/>
  <c r="G4" i="15"/>
  <c r="N2" i="15"/>
  <c r="Q3" i="15"/>
  <c r="R3" i="15"/>
  <c r="P4" i="15"/>
  <c r="O2" i="15"/>
  <c r="AC2" i="15"/>
  <c r="AI2" i="15"/>
  <c r="AF3" i="15"/>
  <c r="H2" i="15"/>
  <c r="AM4" i="15"/>
  <c r="O3" i="15"/>
  <c r="Z4" i="15"/>
  <c r="Q2" i="15"/>
  <c r="N3" i="15"/>
  <c r="J3" i="15"/>
  <c r="AK3" i="15"/>
  <c r="M1" i="15"/>
  <c r="T4" i="15"/>
  <c r="T2" i="15"/>
  <c r="Y2" i="15"/>
  <c r="AI3" i="15"/>
  <c r="K2" i="15"/>
  <c r="AN2" i="15"/>
  <c r="W2" i="15"/>
  <c r="AK4" i="15"/>
  <c r="AQ2" i="15"/>
  <c r="AG3" i="15"/>
  <c r="Y4" i="15"/>
  <c r="R1" i="15"/>
  <c r="AC4" i="15"/>
  <c r="I2" i="15"/>
  <c r="S4" i="15"/>
  <c r="X3" i="15"/>
  <c r="AB1" i="15"/>
  <c r="AE4" i="15"/>
  <c r="G3" i="15"/>
  <c r="AP3" i="15"/>
  <c r="AL4" i="15"/>
  <c r="AL2" i="15"/>
  <c r="Z2" i="15"/>
  <c r="AC3" i="15"/>
  <c r="Z3" i="15"/>
  <c r="L4" i="15"/>
  <c r="L2" i="15"/>
  <c r="G6" i="15"/>
  <c r="G1" i="15" s="1"/>
  <c r="AA3" i="15"/>
  <c r="AQ1" i="15"/>
  <c r="M2" i="14"/>
  <c r="M1" i="14"/>
  <c r="U2" i="14"/>
  <c r="K3" i="14"/>
  <c r="H1" i="14"/>
  <c r="L2" i="14"/>
  <c r="P3" i="14"/>
  <c r="K2" i="14"/>
  <c r="G3" i="14"/>
  <c r="AO2" i="14"/>
  <c r="N4" i="14"/>
  <c r="AH4" i="14"/>
  <c r="L4" i="14"/>
  <c r="AF4" i="14"/>
  <c r="J4" i="14"/>
  <c r="AI2" i="14"/>
  <c r="AN2" i="14"/>
  <c r="O4" i="14"/>
  <c r="R4" i="14"/>
  <c r="AB3" i="14"/>
  <c r="AQ4" i="14"/>
  <c r="Z4" i="14"/>
  <c r="I4" i="14"/>
  <c r="Y2" i="14"/>
  <c r="AL2" i="14"/>
  <c r="P4" i="14"/>
  <c r="AF2" i="14"/>
  <c r="AD2" i="14"/>
  <c r="G4" i="14"/>
  <c r="W2" i="14"/>
  <c r="AP2" i="14"/>
  <c r="AC3" i="14"/>
  <c r="G6" i="14"/>
  <c r="G1" i="14" s="1"/>
  <c r="R3" i="14"/>
  <c r="T3" i="14"/>
  <c r="AA4" i="14"/>
  <c r="AH3" i="14"/>
  <c r="AO3" i="14"/>
  <c r="Q2" i="14"/>
  <c r="V2" i="14"/>
  <c r="AP4" i="14"/>
  <c r="X4" i="14"/>
  <c r="AK3" i="14"/>
  <c r="H4" i="14"/>
  <c r="X2" i="14"/>
  <c r="N2" i="14"/>
  <c r="AM3" i="14"/>
  <c r="O2" i="14"/>
  <c r="R2" i="14"/>
  <c r="U3" i="14"/>
  <c r="AI4" i="14"/>
  <c r="J2" i="14"/>
  <c r="L3" i="14"/>
  <c r="K4" i="14"/>
  <c r="J3" i="14"/>
  <c r="AG3" i="14"/>
  <c r="I2" i="14"/>
  <c r="R1" i="14"/>
  <c r="AL3" i="14"/>
  <c r="AD3" i="14"/>
  <c r="M4" i="14"/>
  <c r="AG2" i="14"/>
  <c r="N3" i="14"/>
  <c r="AN3" i="14"/>
  <c r="P2" i="14"/>
  <c r="AA2" i="14"/>
  <c r="AE3" i="14"/>
  <c r="G2" i="14"/>
  <c r="AL1" i="14"/>
  <c r="M3" i="14"/>
  <c r="S4" i="14"/>
  <c r="AJ4" i="14"/>
  <c r="AJ2" i="14"/>
  <c r="AI3" i="14"/>
  <c r="Z2" i="14"/>
  <c r="Y3" i="14"/>
  <c r="AG1" i="14"/>
  <c r="S2" i="14"/>
  <c r="W4" i="14"/>
  <c r="Q4" i="14"/>
  <c r="Z3" i="14"/>
  <c r="AF3" i="14"/>
  <c r="H2" i="14"/>
  <c r="AQ1" i="14"/>
  <c r="W3" i="14"/>
  <c r="W1" i="14"/>
  <c r="AK4" i="14"/>
  <c r="AK2" i="14"/>
  <c r="AQ3" i="14"/>
  <c r="AB4" i="14"/>
  <c r="AB2" i="14"/>
  <c r="S3" i="14"/>
  <c r="AO4" i="14"/>
  <c r="Q3" i="14"/>
  <c r="AL4" i="14"/>
  <c r="AP3" i="14"/>
  <c r="AE4" i="14"/>
  <c r="U4" i="14"/>
  <c r="Y4" i="14"/>
  <c r="H3" i="14"/>
  <c r="AM2" i="14"/>
  <c r="AJ3" i="14"/>
  <c r="V3" i="14"/>
  <c r="AE2" i="14"/>
  <c r="X3" i="14"/>
  <c r="AB1" i="14"/>
  <c r="AM4" i="14"/>
  <c r="O3" i="14"/>
  <c r="AD4" i="14"/>
  <c r="AC4" i="14"/>
  <c r="AC2" i="14"/>
  <c r="AA3" i="14"/>
  <c r="T4" i="14"/>
  <c r="T2" i="14"/>
  <c r="AQ2" i="14"/>
  <c r="AG4" i="14"/>
  <c r="I3" i="14"/>
  <c r="V4" i="14"/>
  <c r="AH2" i="14"/>
  <c r="D37" i="13" l="1"/>
  <c r="C37" i="13"/>
  <c r="B37" i="13"/>
  <c r="D36" i="13"/>
  <c r="C36" i="13"/>
  <c r="B36" i="13"/>
  <c r="D35" i="13"/>
  <c r="C35" i="13"/>
  <c r="B35" i="13"/>
  <c r="D34" i="13"/>
  <c r="C34" i="13"/>
  <c r="B34" i="13"/>
  <c r="D33" i="13"/>
  <c r="C33" i="13"/>
  <c r="B33" i="13"/>
  <c r="D32" i="13"/>
  <c r="C32" i="13"/>
  <c r="B32" i="13"/>
  <c r="D31" i="13"/>
  <c r="C31" i="13"/>
  <c r="B31" i="13"/>
  <c r="D30" i="13"/>
  <c r="C30" i="13"/>
  <c r="B30" i="13"/>
  <c r="D29" i="13"/>
  <c r="C29" i="13"/>
  <c r="B29" i="13"/>
  <c r="D28" i="13"/>
  <c r="C28" i="13"/>
  <c r="B28" i="13"/>
  <c r="D27" i="13"/>
  <c r="C27" i="13"/>
  <c r="B27" i="13"/>
  <c r="D26" i="13"/>
  <c r="C26" i="13"/>
  <c r="B26" i="13"/>
  <c r="D25" i="13"/>
  <c r="C25" i="13"/>
  <c r="B25" i="13"/>
  <c r="D24" i="13"/>
  <c r="C24" i="13"/>
  <c r="B24" i="13"/>
  <c r="D23" i="13"/>
  <c r="C23" i="13"/>
  <c r="B23" i="13"/>
  <c r="D22" i="13"/>
  <c r="C22" i="13"/>
  <c r="B22" i="13"/>
  <c r="D21" i="13"/>
  <c r="C21" i="13"/>
  <c r="B21" i="13"/>
  <c r="D20" i="13"/>
  <c r="C20" i="13"/>
  <c r="B20" i="13"/>
  <c r="D19" i="13"/>
  <c r="C19" i="13"/>
  <c r="B19" i="13"/>
  <c r="D18" i="13"/>
  <c r="C18" i="13"/>
  <c r="B18" i="13"/>
  <c r="D17" i="13"/>
  <c r="C17" i="13"/>
  <c r="B17" i="13"/>
  <c r="D16" i="13"/>
  <c r="C16" i="13"/>
  <c r="B16" i="13"/>
  <c r="D15" i="13"/>
  <c r="C15" i="13"/>
  <c r="B15" i="13"/>
  <c r="D14" i="13"/>
  <c r="C14" i="13"/>
  <c r="B14" i="13"/>
  <c r="D13" i="13"/>
  <c r="C13" i="13"/>
  <c r="B13" i="13"/>
  <c r="D12" i="13"/>
  <c r="C12" i="13"/>
  <c r="B12" i="13"/>
  <c r="D11" i="13"/>
  <c r="C11" i="13"/>
  <c r="B11" i="13"/>
  <c r="D10" i="13"/>
  <c r="C10" i="13"/>
  <c r="B10" i="13"/>
  <c r="D9" i="13"/>
  <c r="C9" i="13"/>
  <c r="B9" i="13"/>
  <c r="D8" i="13"/>
  <c r="C8" i="13"/>
  <c r="B8" i="13"/>
  <c r="D7" i="13"/>
  <c r="C7" i="13"/>
  <c r="B7" i="13"/>
  <c r="D6" i="13"/>
  <c r="C6" i="13"/>
  <c r="B6" i="13"/>
  <c r="D5" i="13"/>
  <c r="C5" i="13"/>
  <c r="B5" i="13"/>
  <c r="D4" i="13"/>
  <c r="C4" i="13"/>
  <c r="B4" i="13"/>
  <c r="D3" i="13"/>
  <c r="C3" i="13"/>
  <c r="B3" i="13"/>
  <c r="D2" i="13"/>
  <c r="C2" i="13"/>
  <c r="B2" i="13"/>
  <c r="G6" i="13" l="1" a="1"/>
  <c r="AN4" i="13" l="1"/>
  <c r="AI2" i="13"/>
  <c r="AJ2" i="13"/>
  <c r="AJ3" i="13"/>
  <c r="R2" i="13"/>
  <c r="R3" i="13"/>
  <c r="AQ3" i="13"/>
  <c r="AC2" i="13"/>
  <c r="J2" i="13"/>
  <c r="AH3" i="13"/>
  <c r="AH4" i="13"/>
  <c r="AC4" i="13"/>
  <c r="R1" i="13"/>
  <c r="N2" i="13"/>
  <c r="V2" i="13"/>
  <c r="AD2" i="13"/>
  <c r="AL2" i="13"/>
  <c r="N3" i="13"/>
  <c r="AD3" i="13"/>
  <c r="N4" i="13"/>
  <c r="AD4" i="13"/>
  <c r="AP2" i="13"/>
  <c r="AP3" i="13"/>
  <c r="U4" i="13"/>
  <c r="W1" i="13"/>
  <c r="G2" i="13"/>
  <c r="O2" i="13"/>
  <c r="W2" i="13"/>
  <c r="AE2" i="13"/>
  <c r="AM2" i="13"/>
  <c r="O3" i="13"/>
  <c r="W3" i="13"/>
  <c r="AE3" i="13"/>
  <c r="AM3" i="13"/>
  <c r="Q2" i="13"/>
  <c r="Y2" i="13"/>
  <c r="AO2" i="13"/>
  <c r="AG3" i="13"/>
  <c r="Q4" i="13"/>
  <c r="AG4" i="13"/>
  <c r="AO4" i="13"/>
  <c r="AQ1" i="13"/>
  <c r="K2" i="13"/>
  <c r="AA2" i="13"/>
  <c r="AQ2" i="13"/>
  <c r="K3" i="13"/>
  <c r="S3" i="13"/>
  <c r="AI3" i="13"/>
  <c r="K4" i="13"/>
  <c r="H1" i="13"/>
  <c r="L2" i="13"/>
  <c r="T2" i="13"/>
  <c r="L3" i="13"/>
  <c r="T3" i="13"/>
  <c r="L4" i="13"/>
  <c r="AH2" i="13"/>
  <c r="Z4" i="13"/>
  <c r="M1" i="13"/>
  <c r="M2" i="13"/>
  <c r="U2" i="13"/>
  <c r="AK2" i="13"/>
  <c r="U3" i="13"/>
  <c r="AC3" i="13"/>
  <c r="J3" i="13"/>
  <c r="G4" i="13"/>
  <c r="O4" i="13"/>
  <c r="W4" i="13"/>
  <c r="AM4" i="13"/>
  <c r="AL1" i="13"/>
  <c r="Z2" i="13"/>
  <c r="Z3" i="13"/>
  <c r="R4" i="13"/>
  <c r="AQ4" i="13"/>
  <c r="M4" i="13"/>
  <c r="AB1" i="13"/>
  <c r="H2" i="13"/>
  <c r="P2" i="13"/>
  <c r="X2" i="13"/>
  <c r="AF2" i="13"/>
  <c r="AN2" i="13"/>
  <c r="H3" i="13"/>
  <c r="P3" i="13"/>
  <c r="X3" i="13"/>
  <c r="AF3" i="13"/>
  <c r="AN3" i="13"/>
  <c r="H4" i="13"/>
  <c r="P4" i="13"/>
  <c r="X4" i="13"/>
  <c r="AF4" i="13"/>
  <c r="AL4" i="13"/>
  <c r="I4" i="13"/>
  <c r="Q3" i="13"/>
  <c r="AJ4" i="13"/>
  <c r="I3" i="13"/>
  <c r="V4" i="13"/>
  <c r="AK4" i="13"/>
  <c r="T4" i="13"/>
  <c r="Y4" i="13"/>
  <c r="AG2" i="13"/>
  <c r="AA4" i="13"/>
  <c r="AE4" i="13"/>
  <c r="G3" i="13"/>
  <c r="AP4" i="13"/>
  <c r="V3" i="13"/>
  <c r="G6" i="13"/>
  <c r="G1" i="13" s="1"/>
  <c r="M3" i="13"/>
  <c r="J4" i="13"/>
  <c r="AB3" i="13"/>
  <c r="S4" i="13"/>
  <c r="S2" i="13"/>
  <c r="AO3" i="13"/>
  <c r="I2" i="13"/>
  <c r="AI4" i="13"/>
  <c r="AL3" i="13"/>
  <c r="AK3" i="13"/>
  <c r="AB4" i="13"/>
  <c r="AB2" i="13"/>
  <c r="AA3" i="13"/>
  <c r="Y3" i="13"/>
  <c r="AG1" i="1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D2" i="1"/>
  <c r="C2" i="1"/>
  <c r="B2" i="1"/>
  <c r="G6" i="1" l="1" a="1"/>
  <c r="G6" i="1" l="1"/>
  <c r="G1" i="1" s="1"/>
  <c r="W1" i="1"/>
  <c r="J2" i="1"/>
  <c r="R2" i="1"/>
  <c r="Z2" i="1"/>
  <c r="AH2" i="1"/>
  <c r="AP2" i="1"/>
  <c r="M3" i="1"/>
  <c r="U3" i="1"/>
  <c r="AC3" i="1"/>
  <c r="AK3" i="1"/>
  <c r="H4" i="1"/>
  <c r="P4" i="1"/>
  <c r="X4" i="1"/>
  <c r="AF4" i="1"/>
  <c r="AN4" i="1"/>
  <c r="N2" i="1"/>
  <c r="AD2" i="1"/>
  <c r="I3" i="1"/>
  <c r="Y3" i="1"/>
  <c r="L4" i="1"/>
  <c r="AJ4" i="1"/>
  <c r="W2" i="1"/>
  <c r="AP3" i="1"/>
  <c r="AK4" i="1"/>
  <c r="H2" i="1"/>
  <c r="AQ3" i="1"/>
  <c r="AG2" i="1"/>
  <c r="AE4" i="1"/>
  <c r="AB1" i="1"/>
  <c r="K2" i="1"/>
  <c r="S2" i="1"/>
  <c r="AA2" i="1"/>
  <c r="AI2" i="1"/>
  <c r="AQ2" i="1"/>
  <c r="N3" i="1"/>
  <c r="V3" i="1"/>
  <c r="AD3" i="1"/>
  <c r="AL3" i="1"/>
  <c r="I4" i="1"/>
  <c r="Q4" i="1"/>
  <c r="Y4" i="1"/>
  <c r="AG4" i="1"/>
  <c r="AO4" i="1"/>
  <c r="V2" i="1"/>
  <c r="AL2" i="1"/>
  <c r="Q3" i="1"/>
  <c r="AG3" i="1"/>
  <c r="T4" i="1"/>
  <c r="AB4" i="1"/>
  <c r="O2" i="1"/>
  <c r="AH3" i="1"/>
  <c r="AC4" i="1"/>
  <c r="X2" i="1"/>
  <c r="S3" i="1"/>
  <c r="N4" i="1"/>
  <c r="AD4" i="1"/>
  <c r="AG1" i="1"/>
  <c r="L2" i="1"/>
  <c r="T2" i="1"/>
  <c r="AB2" i="1"/>
  <c r="AJ2" i="1"/>
  <c r="G3" i="1"/>
  <c r="O3" i="1"/>
  <c r="W3" i="1"/>
  <c r="AE3" i="1"/>
  <c r="AM3" i="1"/>
  <c r="J4" i="1"/>
  <c r="R4" i="1"/>
  <c r="Z4" i="1"/>
  <c r="AH4" i="1"/>
  <c r="AP4" i="1"/>
  <c r="H1" i="1"/>
  <c r="M1" i="1"/>
  <c r="AI3" i="1"/>
  <c r="R1" i="1"/>
  <c r="Y2" i="1"/>
  <c r="AO2" i="1"/>
  <c r="T3" i="1"/>
  <c r="AJ3" i="1"/>
  <c r="O4" i="1"/>
  <c r="AM4" i="1"/>
  <c r="AL1" i="1"/>
  <c r="M2" i="1"/>
  <c r="U2" i="1"/>
  <c r="AC2" i="1"/>
  <c r="AK2" i="1"/>
  <c r="H3" i="1"/>
  <c r="P3" i="1"/>
  <c r="X3" i="1"/>
  <c r="AF3" i="1"/>
  <c r="AN3" i="1"/>
  <c r="K4" i="1"/>
  <c r="S4" i="1"/>
  <c r="AA4" i="1"/>
  <c r="AI4" i="1"/>
  <c r="AQ4" i="1"/>
  <c r="AQ1" i="1"/>
  <c r="AO3" i="1"/>
  <c r="G2" i="1"/>
  <c r="AE2" i="1"/>
  <c r="AM2" i="1"/>
  <c r="J3" i="1"/>
  <c r="R3" i="1"/>
  <c r="Z3" i="1"/>
  <c r="M4" i="1"/>
  <c r="U4" i="1"/>
  <c r="P2" i="1"/>
  <c r="AF2" i="1"/>
  <c r="AN2" i="1"/>
  <c r="K3" i="1"/>
  <c r="AA3" i="1"/>
  <c r="V4" i="1"/>
  <c r="AL4" i="1"/>
  <c r="I2" i="1"/>
  <c r="L3" i="1"/>
  <c r="AB3" i="1"/>
  <c r="G4" i="1"/>
  <c r="W4" i="1"/>
  <c r="Q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<sst xmlns="http://schemas.openxmlformats.org/spreadsheetml/2006/main" count="91" uniqueCount="19">
  <si>
    <t>PMC full text</t>
    <phoneticPr fontId="1" type="noConversion"/>
  </si>
  <si>
    <t xml:space="preserve">PMC abstracts </t>
    <phoneticPr fontId="1" type="noConversion"/>
  </si>
  <si>
    <t>Pubmed abstracts</t>
    <phoneticPr fontId="1" type="noConversion"/>
  </si>
  <si>
    <t>hasPvalue</t>
    <phoneticPr fontId="1" type="noConversion"/>
  </si>
  <si>
    <t>Year</t>
    <phoneticPr fontId="2" type="noConversion"/>
  </si>
  <si>
    <t>SUM</t>
    <phoneticPr fontId="2" type="noConversion"/>
  </si>
  <si>
    <t>MAX</t>
    <phoneticPr fontId="2" type="noConversion"/>
  </si>
  <si>
    <t>MIN</t>
    <phoneticPr fontId="2" type="noConversion"/>
  </si>
  <si>
    <t>Database</t>
    <phoneticPr fontId="1" type="noConversion"/>
  </si>
  <si>
    <t>Articles Reporting P Values, No. (range per year)</t>
    <phoneticPr fontId="1" type="noConversion"/>
  </si>
  <si>
    <r>
      <t xml:space="preserve">Articles Reporting ≥1 </t>
    </r>
    <r>
      <rPr>
        <sz val="12"/>
        <color theme="1"/>
        <rFont val="Calibri"/>
        <family val="3"/>
        <charset val="129"/>
        <scheme val="minor"/>
      </rPr>
      <t>P</t>
    </r>
    <r>
      <rPr>
        <sz val="11"/>
        <color theme="1"/>
        <rFont val="Calibri"/>
        <family val="2"/>
        <scheme val="minor"/>
      </rPr>
      <t xml:space="preserve"> Value ≤.01, No.</t>
    </r>
    <phoneticPr fontId="2" type="noConversion"/>
  </si>
  <si>
    <r>
      <t xml:space="preserve">Articles Reporting ≥1 </t>
    </r>
    <r>
      <rPr>
        <sz val="12"/>
        <color theme="1"/>
        <rFont val="Calibri"/>
        <family val="3"/>
        <charset val="129"/>
        <scheme val="minor"/>
      </rPr>
      <t>P</t>
    </r>
    <r>
      <rPr>
        <sz val="11"/>
        <color theme="1"/>
        <rFont val="Calibri"/>
        <family val="2"/>
        <scheme val="minor"/>
      </rPr>
      <t xml:space="preserve"> Value ≤.005, No.</t>
    </r>
    <phoneticPr fontId="2" type="noConversion"/>
  </si>
  <si>
    <t>993219 (94-25036)</t>
    <phoneticPr fontId="1" type="noConversion"/>
  </si>
  <si>
    <t>3584075 (21384-211128)</t>
    <phoneticPr fontId="1" type="noConversion"/>
  </si>
  <si>
    <t>Items, No</t>
    <phoneticPr fontId="1" type="noConversion"/>
  </si>
  <si>
    <t>Items Reporting P Values, No. (range per year)</t>
    <phoneticPr fontId="1" type="noConversion"/>
  </si>
  <si>
    <t>3272439 (14-399811)</t>
    <phoneticPr fontId="1" type="noConversion"/>
  </si>
  <si>
    <r>
      <t xml:space="preserve">Items Reporting ≥1 </t>
    </r>
    <r>
      <rPr>
        <sz val="12"/>
        <color theme="1"/>
        <rFont val="Calibri"/>
        <family val="3"/>
        <charset val="129"/>
        <scheme val="minor"/>
      </rPr>
      <t>P</t>
    </r>
    <r>
      <rPr>
        <sz val="11"/>
        <color theme="1"/>
        <rFont val="Calibri"/>
        <family val="2"/>
        <scheme val="minor"/>
      </rPr>
      <t xml:space="preserve"> Value ≤.05, No.</t>
    </r>
    <phoneticPr fontId="2" type="noConversion"/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</si>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</sst>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2">
    <cellStyle name="Normal" xfId="0" builtinId="0"/>
    <cellStyle name="표준 2" xfId="1" xr:uid="{35EABA2B-C3C7-4673-89BF-69C6344369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4144539906727E-2"/>
          <c:y val="8.8420194615472569E-2"/>
          <c:w val="0.90256724678456202"/>
          <c:h val="0.69182723732949591"/>
        </c:manualLayout>
      </c:layout>
      <c:lineChart>
        <c:grouping val="standard"/>
        <c:varyColors val="0"/>
        <c:ser>
          <c:idx val="0"/>
          <c:order val="0"/>
          <c:tx>
            <c:strRef>
              <c:f>HasPval!$G$2</c:f>
              <c:strCache>
                <c:ptCount val="1"/>
                <c:pt idx="0">
                  <c:v>PMC full text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HasPval!$H$1:$AQ$1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HasPval!$H$2:$AQ$2</c:f>
              <c:numCache>
                <c:formatCode>General</c:formatCode>
                <c:ptCount val="36"/>
                <c:pt idx="0">
                  <c:v>5.2173913043478262</c:v>
                </c:pt>
                <c:pt idx="1">
                  <c:v>4.4534412955465585</c:v>
                </c:pt>
                <c:pt idx="2">
                  <c:v>6.2780269058295968</c:v>
                </c:pt>
                <c:pt idx="3">
                  <c:v>7.3394495412844041</c:v>
                </c:pt>
                <c:pt idx="4">
                  <c:v>10.493827160493826</c:v>
                </c:pt>
                <c:pt idx="5">
                  <c:v>10.158730158730158</c:v>
                </c:pt>
                <c:pt idx="6">
                  <c:v>11.748633879781421</c:v>
                </c:pt>
                <c:pt idx="7">
                  <c:v>17.729204614450516</c:v>
                </c:pt>
                <c:pt idx="8">
                  <c:v>20.479178551055334</c:v>
                </c:pt>
                <c:pt idx="9">
                  <c:v>20.876288659793815</c:v>
                </c:pt>
                <c:pt idx="10">
                  <c:v>20.088954781319497</c:v>
                </c:pt>
                <c:pt idx="11">
                  <c:v>26.198767747120279</c:v>
                </c:pt>
                <c:pt idx="12">
                  <c:v>32.567275584364566</c:v>
                </c:pt>
                <c:pt idx="13">
                  <c:v>32.905067808708068</c:v>
                </c:pt>
                <c:pt idx="14">
                  <c:v>33.447198906890499</c:v>
                </c:pt>
                <c:pt idx="15">
                  <c:v>34.529434299578597</c:v>
                </c:pt>
                <c:pt idx="16">
                  <c:v>36.345051109449017</c:v>
                </c:pt>
                <c:pt idx="17">
                  <c:v>39.180500563042607</c:v>
                </c:pt>
                <c:pt idx="18">
                  <c:v>38.070878842342964</c:v>
                </c:pt>
                <c:pt idx="19">
                  <c:v>39.172261409025239</c:v>
                </c:pt>
                <c:pt idx="20">
                  <c:v>41.657724652509174</c:v>
                </c:pt>
                <c:pt idx="21">
                  <c:v>43.296107240368549</c:v>
                </c:pt>
                <c:pt idx="22">
                  <c:v>46.002066186380958</c:v>
                </c:pt>
                <c:pt idx="23">
                  <c:v>48.076257061841169</c:v>
                </c:pt>
                <c:pt idx="24">
                  <c:v>48.130754607072376</c:v>
                </c:pt>
                <c:pt idx="25">
                  <c:v>48.888862437956035</c:v>
                </c:pt>
                <c:pt idx="26">
                  <c:v>50.404843533445188</c:v>
                </c:pt>
                <c:pt idx="27">
                  <c:v>51.334449044305472</c:v>
                </c:pt>
                <c:pt idx="28">
                  <c:v>50.144983910322146</c:v>
                </c:pt>
                <c:pt idx="29">
                  <c:v>50.826302335469528</c:v>
                </c:pt>
                <c:pt idx="30">
                  <c:v>47.951682319366732</c:v>
                </c:pt>
                <c:pt idx="31">
                  <c:v>49.52993268317433</c:v>
                </c:pt>
                <c:pt idx="32">
                  <c:v>49.900546571617511</c:v>
                </c:pt>
                <c:pt idx="33">
                  <c:v>49.370176425614169</c:v>
                </c:pt>
                <c:pt idx="34">
                  <c:v>51.019372538582019</c:v>
                </c:pt>
                <c:pt idx="35">
                  <c:v>53.317368509289324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E-4ED3-B13F-1CD753F41C68}"/>
            </c:ext>
          </c:extLst>
        </c:ser>
        <c:ser>
          <c:idx val="1"/>
          <c:order val="1"/>
          <c:tx>
            <c:strRef>
              <c:f>HasPval!$G$3</c:f>
              <c:strCache>
                <c:ptCount val="1"/>
                <c:pt idx="0">
                  <c:v>PMC abstracts 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HasPval!$H$1:$AQ$1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HasPval!$H$3:$AQ$3</c:f>
              <c:numCache>
                <c:formatCode>General</c:formatCode>
                <c:ptCount val="36"/>
                <c:pt idx="0">
                  <c:v>3.8461538461538463</c:v>
                </c:pt>
                <c:pt idx="1">
                  <c:v>5.7724252491694354</c:v>
                </c:pt>
                <c:pt idx="2">
                  <c:v>5.8510638297872344</c:v>
                </c:pt>
                <c:pt idx="3">
                  <c:v>7.0337477797513319</c:v>
                </c:pt>
                <c:pt idx="4">
                  <c:v>7.4145712443584779</c:v>
                </c:pt>
                <c:pt idx="5">
                  <c:v>7.6009501187648461</c:v>
                </c:pt>
                <c:pt idx="6">
                  <c:v>8.7362991618310772</c:v>
                </c:pt>
                <c:pt idx="7">
                  <c:v>9.001233045622687</c:v>
                </c:pt>
                <c:pt idx="8">
                  <c:v>9.5878398129201994</c:v>
                </c:pt>
                <c:pt idx="9">
                  <c:v>10.352673492605232</c:v>
                </c:pt>
                <c:pt idx="10">
                  <c:v>9.2355857031046185</c:v>
                </c:pt>
                <c:pt idx="11">
                  <c:v>9.2367825550298299</c:v>
                </c:pt>
                <c:pt idx="12">
                  <c:v>9.8607038123167143</c:v>
                </c:pt>
                <c:pt idx="13">
                  <c:v>10.444234404536862</c:v>
                </c:pt>
                <c:pt idx="14">
                  <c:v>10.864770748694138</c:v>
                </c:pt>
                <c:pt idx="15">
                  <c:v>10.452643590718905</c:v>
                </c:pt>
                <c:pt idx="16">
                  <c:v>11.300919842312746</c:v>
                </c:pt>
                <c:pt idx="17">
                  <c:v>10.967082396237988</c:v>
                </c:pt>
                <c:pt idx="18">
                  <c:v>10.403037533030608</c:v>
                </c:pt>
                <c:pt idx="19">
                  <c:v>10.578574799433694</c:v>
                </c:pt>
                <c:pt idx="20">
                  <c:v>11.44964988329443</c:v>
                </c:pt>
                <c:pt idx="21">
                  <c:v>12.06462720169514</c:v>
                </c:pt>
                <c:pt idx="22">
                  <c:v>13.160828625235405</c:v>
                </c:pt>
                <c:pt idx="23">
                  <c:v>14.261560571476878</c:v>
                </c:pt>
                <c:pt idx="24">
                  <c:v>14.792685860935121</c:v>
                </c:pt>
                <c:pt idx="25">
                  <c:v>15.229430379746836</c:v>
                </c:pt>
                <c:pt idx="26">
                  <c:v>15.581837016574585</c:v>
                </c:pt>
                <c:pt idx="27">
                  <c:v>15.676047953928791</c:v>
                </c:pt>
                <c:pt idx="28">
                  <c:v>15.783704672489762</c:v>
                </c:pt>
                <c:pt idx="29">
                  <c:v>15.992093748588642</c:v>
                </c:pt>
                <c:pt idx="30">
                  <c:v>15.805443945012101</c:v>
                </c:pt>
                <c:pt idx="31">
                  <c:v>16.530185713545453</c:v>
                </c:pt>
                <c:pt idx="32">
                  <c:v>16.835609553809523</c:v>
                </c:pt>
                <c:pt idx="33">
                  <c:v>16.781338021165624</c:v>
                </c:pt>
                <c:pt idx="34">
                  <c:v>17.559475741942169</c:v>
                </c:pt>
                <c:pt idx="35">
                  <c:v>19.461083093249805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5E-4ED3-B13F-1CD753F41C68}"/>
            </c:ext>
          </c:extLst>
        </c:ser>
        <c:ser>
          <c:idx val="2"/>
          <c:order val="2"/>
          <c:tx>
            <c:strRef>
              <c:f>HasPval!$G$4</c:f>
              <c:strCache>
                <c:ptCount val="1"/>
                <c:pt idx="0">
                  <c:v>Pubmed abstracts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HasPval!$H$1:$AQ$1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HasPval!$H$4:$AQ$4</c:f>
              <c:numCache>
                <c:formatCode>General</c:formatCode>
                <c:ptCount val="36"/>
                <c:pt idx="0">
                  <c:v>7.4922142969904844</c:v>
                </c:pt>
                <c:pt idx="1">
                  <c:v>8.0870050195203582</c:v>
                </c:pt>
                <c:pt idx="2">
                  <c:v>8.7406741760882749</c:v>
                </c:pt>
                <c:pt idx="3">
                  <c:v>9.3137690724187685</c:v>
                </c:pt>
                <c:pt idx="4">
                  <c:v>9.8484268417320546</c:v>
                </c:pt>
                <c:pt idx="5">
                  <c:v>10.328659721908281</c:v>
                </c:pt>
                <c:pt idx="6">
                  <c:v>10.885077675899092</c:v>
                </c:pt>
                <c:pt idx="7">
                  <c:v>11.278772142190517</c:v>
                </c:pt>
                <c:pt idx="8">
                  <c:v>11.337926491820825</c:v>
                </c:pt>
                <c:pt idx="9">
                  <c:v>11.72828551146122</c:v>
                </c:pt>
                <c:pt idx="10">
                  <c:v>11.322342125238199</c:v>
                </c:pt>
                <c:pt idx="11">
                  <c:v>11.594853456667458</c:v>
                </c:pt>
                <c:pt idx="12">
                  <c:v>11.862182353110848</c:v>
                </c:pt>
                <c:pt idx="13">
                  <c:v>12.377194341007494</c:v>
                </c:pt>
                <c:pt idx="14">
                  <c:v>12.676840607112061</c:v>
                </c:pt>
                <c:pt idx="15">
                  <c:v>13.102711092290559</c:v>
                </c:pt>
                <c:pt idx="16">
                  <c:v>13.125184327942478</c:v>
                </c:pt>
                <c:pt idx="17">
                  <c:v>13.536554113452862</c:v>
                </c:pt>
                <c:pt idx="18">
                  <c:v>13.979206194949636</c:v>
                </c:pt>
                <c:pt idx="19">
                  <c:v>14.32795047215833</c:v>
                </c:pt>
                <c:pt idx="20">
                  <c:v>14.645641271785365</c:v>
                </c:pt>
                <c:pt idx="21">
                  <c:v>15.203296222069953</c:v>
                </c:pt>
                <c:pt idx="22">
                  <c:v>15.665689399803734</c:v>
                </c:pt>
                <c:pt idx="23">
                  <c:v>16.239176395104092</c:v>
                </c:pt>
                <c:pt idx="24">
                  <c:v>16.711395693923428</c:v>
                </c:pt>
                <c:pt idx="25">
                  <c:v>17.318446487825607</c:v>
                </c:pt>
                <c:pt idx="26">
                  <c:v>17.598548329989377</c:v>
                </c:pt>
                <c:pt idx="27">
                  <c:v>17.845313571181705</c:v>
                </c:pt>
                <c:pt idx="28">
                  <c:v>18.038837711311086</c:v>
                </c:pt>
                <c:pt idx="29">
                  <c:v>18.037654943366718</c:v>
                </c:pt>
                <c:pt idx="30">
                  <c:v>18.397820926048926</c:v>
                </c:pt>
                <c:pt idx="31">
                  <c:v>18.5436095484154</c:v>
                </c:pt>
                <c:pt idx="32">
                  <c:v>18.031976808029341</c:v>
                </c:pt>
                <c:pt idx="33">
                  <c:v>18.226438453555172</c:v>
                </c:pt>
                <c:pt idx="34">
                  <c:v>18.085418722597812</c:v>
                </c:pt>
                <c:pt idx="35">
                  <c:v>18.338838624583488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5E-4ED3-B13F-1CD753F41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068016"/>
        <c:axId val="1304074736"/>
      </c:lineChart>
      <c:catAx>
        <c:axId val="130406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Year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74736"/>
        <c:crosses val="autoZero"/>
        <c:auto val="1"/>
        <c:lblAlgn val="ctr"/>
        <c:lblOffset val="100"/>
        <c:tickMarkSkip val="1"/>
        <c:noMultiLvlLbl val="0"/>
      </c:catAx>
      <c:valAx>
        <c:axId val="130407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 Items With P Values,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6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4474020634809475E-2"/>
          <c:y val="0.11976017874999002"/>
          <c:w val="0.21289312020538523"/>
          <c:h val="0.2434696384278128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4144539906727E-2"/>
          <c:y val="8.8420194615472569E-2"/>
          <c:w val="0.90256724678456202"/>
          <c:h val="0.69182723732949591"/>
        </c:manualLayout>
      </c:layout>
      <c:lineChart>
        <c:grouping val="standard"/>
        <c:varyColors val="0"/>
        <c:ser>
          <c:idx val="0"/>
          <c:order val="0"/>
          <c:tx>
            <c:strRef>
              <c:f>'Has005'!$G$2</c:f>
              <c:strCache>
                <c:ptCount val="1"/>
                <c:pt idx="0">
                  <c:v>PMC full text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'Has005'!$H$1:$AQ$1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'Has005'!$H$2:$AQ$2</c:f>
              <c:numCache>
                <c:formatCode>General</c:formatCode>
                <c:ptCount val="36"/>
                <c:pt idx="0">
                  <c:v>91.666666666666657</c:v>
                </c:pt>
                <c:pt idx="1">
                  <c:v>100</c:v>
                </c:pt>
                <c:pt idx="2">
                  <c:v>85.714285714285708</c:v>
                </c:pt>
                <c:pt idx="3">
                  <c:v>100</c:v>
                </c:pt>
                <c:pt idx="4">
                  <c:v>88.235294117647058</c:v>
                </c:pt>
                <c:pt idx="5">
                  <c:v>87.5</c:v>
                </c:pt>
                <c:pt idx="6">
                  <c:v>93.023255813953483</c:v>
                </c:pt>
                <c:pt idx="7">
                  <c:v>93.835616438356169</c:v>
                </c:pt>
                <c:pt idx="8">
                  <c:v>95.264623955431759</c:v>
                </c:pt>
                <c:pt idx="9">
                  <c:v>93.827160493827151</c:v>
                </c:pt>
                <c:pt idx="10">
                  <c:v>94.649446494464939</c:v>
                </c:pt>
                <c:pt idx="11">
                  <c:v>95.092024539877301</c:v>
                </c:pt>
                <c:pt idx="12">
                  <c:v>94.813027744270201</c:v>
                </c:pt>
                <c:pt idx="13">
                  <c:v>94.837310195227758</c:v>
                </c:pt>
                <c:pt idx="14">
                  <c:v>94.630872483221466</c:v>
                </c:pt>
                <c:pt idx="15">
                  <c:v>95.525147928994087</c:v>
                </c:pt>
                <c:pt idx="16">
                  <c:v>94.580875291535193</c:v>
                </c:pt>
                <c:pt idx="17">
                  <c:v>95.253105877989981</c:v>
                </c:pt>
                <c:pt idx="18">
                  <c:v>95.502965742646168</c:v>
                </c:pt>
                <c:pt idx="19">
                  <c:v>95.661040482492297</c:v>
                </c:pt>
                <c:pt idx="20">
                  <c:v>95.812741486207216</c:v>
                </c:pt>
                <c:pt idx="21">
                  <c:v>96.02859914793099</c:v>
                </c:pt>
                <c:pt idx="22">
                  <c:v>96.313096760760288</c:v>
                </c:pt>
                <c:pt idx="23">
                  <c:v>96.290084756255411</c:v>
                </c:pt>
                <c:pt idx="24">
                  <c:v>96.347584602249796</c:v>
                </c:pt>
                <c:pt idx="25">
                  <c:v>96.42668744268336</c:v>
                </c:pt>
                <c:pt idx="26">
                  <c:v>96.662083936324166</c:v>
                </c:pt>
                <c:pt idx="27">
                  <c:v>96.518721879051327</c:v>
                </c:pt>
                <c:pt idx="28">
                  <c:v>96.459927365043541</c:v>
                </c:pt>
                <c:pt idx="29">
                  <c:v>96.470345154283805</c:v>
                </c:pt>
                <c:pt idx="30">
                  <c:v>96.494137018342968</c:v>
                </c:pt>
                <c:pt idx="31">
                  <c:v>96.614126566748155</c:v>
                </c:pt>
                <c:pt idx="32">
                  <c:v>96.691903938680724</c:v>
                </c:pt>
                <c:pt idx="33">
                  <c:v>96.663150605278773</c:v>
                </c:pt>
                <c:pt idx="34">
                  <c:v>96.738345295695837</c:v>
                </c:pt>
                <c:pt idx="35">
                  <c:v>96.862415807621531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F1-489B-85C1-2F92884B2864}"/>
            </c:ext>
          </c:extLst>
        </c:ser>
        <c:ser>
          <c:idx val="1"/>
          <c:order val="1"/>
          <c:tx>
            <c:strRef>
              <c:f>'Has005'!$G$3</c:f>
              <c:strCache>
                <c:ptCount val="1"/>
                <c:pt idx="0">
                  <c:v>PMC abstracts 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'Has005'!$H$1:$AQ$1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'Has005'!$H$3:$AQ$3</c:f>
              <c:numCache>
                <c:formatCode>General</c:formatCode>
                <c:ptCount val="36"/>
                <c:pt idx="0">
                  <c:v>95.555555555555557</c:v>
                </c:pt>
                <c:pt idx="1">
                  <c:v>97.122302158273371</c:v>
                </c:pt>
                <c:pt idx="2">
                  <c:v>96.503496503496507</c:v>
                </c:pt>
                <c:pt idx="3">
                  <c:v>94.949494949494948</c:v>
                </c:pt>
                <c:pt idx="4">
                  <c:v>95.217391304347828</c:v>
                </c:pt>
                <c:pt idx="5">
                  <c:v>95.089285714285708</c:v>
                </c:pt>
                <c:pt idx="6">
                  <c:v>94.095940959409603</c:v>
                </c:pt>
                <c:pt idx="7">
                  <c:v>93.150684931506845</c:v>
                </c:pt>
                <c:pt idx="8">
                  <c:v>94.207317073170728</c:v>
                </c:pt>
                <c:pt idx="9">
                  <c:v>96.428571428571431</c:v>
                </c:pt>
                <c:pt idx="10">
                  <c:v>93.502824858757066</c:v>
                </c:pt>
                <c:pt idx="11">
                  <c:v>93.318485523385291</c:v>
                </c:pt>
                <c:pt idx="12">
                  <c:v>94.423791821561338</c:v>
                </c:pt>
                <c:pt idx="13">
                  <c:v>94.720965309200594</c:v>
                </c:pt>
                <c:pt idx="14">
                  <c:v>93.055555555555557</c:v>
                </c:pt>
                <c:pt idx="15">
                  <c:v>93.668122270742359</c:v>
                </c:pt>
                <c:pt idx="16">
                  <c:v>93.781597573306371</c:v>
                </c:pt>
                <c:pt idx="17">
                  <c:v>93.69873228933632</c:v>
                </c:pt>
                <c:pt idx="18">
                  <c:v>94.081381011097406</c:v>
                </c:pt>
                <c:pt idx="19">
                  <c:v>94.111349036402572</c:v>
                </c:pt>
                <c:pt idx="20">
                  <c:v>93.908506249241597</c:v>
                </c:pt>
                <c:pt idx="21">
                  <c:v>94.064004053027105</c:v>
                </c:pt>
                <c:pt idx="22">
                  <c:v>94.367809512907115</c:v>
                </c:pt>
                <c:pt idx="23">
                  <c:v>93.991870607164032</c:v>
                </c:pt>
                <c:pt idx="24">
                  <c:v>94.19558145838981</c:v>
                </c:pt>
                <c:pt idx="25">
                  <c:v>93.941339559317086</c:v>
                </c:pt>
                <c:pt idx="26">
                  <c:v>94.18282548476455</c:v>
                </c:pt>
                <c:pt idx="27">
                  <c:v>93.816094491665751</c:v>
                </c:pt>
                <c:pt idx="28">
                  <c:v>93.927437015408287</c:v>
                </c:pt>
                <c:pt idx="29">
                  <c:v>94.062728420493059</c:v>
                </c:pt>
                <c:pt idx="30">
                  <c:v>94.278278580319082</c:v>
                </c:pt>
                <c:pt idx="31">
                  <c:v>94.397317399853705</c:v>
                </c:pt>
                <c:pt idx="32">
                  <c:v>94.320832585680961</c:v>
                </c:pt>
                <c:pt idx="33">
                  <c:v>94.247109879289596</c:v>
                </c:pt>
                <c:pt idx="34">
                  <c:v>94.301754507748655</c:v>
                </c:pt>
                <c:pt idx="35">
                  <c:v>94.75406882469521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F1-489B-85C1-2F92884B2864}"/>
            </c:ext>
          </c:extLst>
        </c:ser>
        <c:ser>
          <c:idx val="2"/>
          <c:order val="2"/>
          <c:tx>
            <c:strRef>
              <c:f>'Has005'!$G$4</c:f>
              <c:strCache>
                <c:ptCount val="1"/>
                <c:pt idx="0">
                  <c:v>Pubmed abstracts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'Has005'!$H$1:$AQ$1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'Has005'!$H$4:$AQ$4</c:f>
              <c:numCache>
                <c:formatCode>General</c:formatCode>
                <c:ptCount val="36"/>
                <c:pt idx="0">
                  <c:v>98.003064840532517</c:v>
                </c:pt>
                <c:pt idx="1">
                  <c:v>97.979354271908633</c:v>
                </c:pt>
                <c:pt idx="2">
                  <c:v>97.541342896991438</c:v>
                </c:pt>
                <c:pt idx="3">
                  <c:v>96.394610272790686</c:v>
                </c:pt>
                <c:pt idx="4">
                  <c:v>96.156576412128587</c:v>
                </c:pt>
                <c:pt idx="5">
                  <c:v>95.998249234039889</c:v>
                </c:pt>
                <c:pt idx="6">
                  <c:v>95.990456238361261</c:v>
                </c:pt>
                <c:pt idx="7">
                  <c:v>95.857228685346001</c:v>
                </c:pt>
                <c:pt idx="8">
                  <c:v>95.572788339341756</c:v>
                </c:pt>
                <c:pt idx="9">
                  <c:v>95.606863056158929</c:v>
                </c:pt>
                <c:pt idx="10">
                  <c:v>95.288436745505265</c:v>
                </c:pt>
                <c:pt idx="11">
                  <c:v>95.402148853799645</c:v>
                </c:pt>
                <c:pt idx="12">
                  <c:v>95.051671732522792</c:v>
                </c:pt>
                <c:pt idx="13">
                  <c:v>94.904158279382699</c:v>
                </c:pt>
                <c:pt idx="14">
                  <c:v>94.637208463770023</c:v>
                </c:pt>
                <c:pt idx="15">
                  <c:v>94.574162134457126</c:v>
                </c:pt>
                <c:pt idx="16">
                  <c:v>94.453423739504089</c:v>
                </c:pt>
                <c:pt idx="17">
                  <c:v>94.48944379208703</c:v>
                </c:pt>
                <c:pt idx="18">
                  <c:v>94.445118788828438</c:v>
                </c:pt>
                <c:pt idx="19">
                  <c:v>94.347117329041311</c:v>
                </c:pt>
                <c:pt idx="20">
                  <c:v>94.191269953383255</c:v>
                </c:pt>
                <c:pt idx="21">
                  <c:v>94.284092545684047</c:v>
                </c:pt>
                <c:pt idx="22">
                  <c:v>94.222927755470479</c:v>
                </c:pt>
                <c:pt idx="23">
                  <c:v>94.144698490834898</c:v>
                </c:pt>
                <c:pt idx="24">
                  <c:v>94.120216490694048</c:v>
                </c:pt>
                <c:pt idx="25">
                  <c:v>94.073808203086756</c:v>
                </c:pt>
                <c:pt idx="26">
                  <c:v>93.937205388290977</c:v>
                </c:pt>
                <c:pt idx="27">
                  <c:v>93.825404485535032</c:v>
                </c:pt>
                <c:pt idx="28">
                  <c:v>93.693521778740802</c:v>
                </c:pt>
                <c:pt idx="29">
                  <c:v>93.752356045613041</c:v>
                </c:pt>
                <c:pt idx="30">
                  <c:v>93.762730583093273</c:v>
                </c:pt>
                <c:pt idx="31">
                  <c:v>93.757453533580886</c:v>
                </c:pt>
                <c:pt idx="32">
                  <c:v>93.782351866512386</c:v>
                </c:pt>
                <c:pt idx="33">
                  <c:v>93.831228878389965</c:v>
                </c:pt>
                <c:pt idx="34">
                  <c:v>93.941286017558809</c:v>
                </c:pt>
                <c:pt idx="35">
                  <c:v>94.258901462876068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F1-489B-85C1-2F92884B2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068016"/>
        <c:axId val="1304074736"/>
      </c:lineChart>
      <c:catAx>
        <c:axId val="130406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Year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74736"/>
        <c:crosses val="autoZero"/>
        <c:auto val="1"/>
        <c:lblAlgn val="ctr"/>
        <c:lblOffset val="100"/>
        <c:tickMarkSkip val="1"/>
        <c:noMultiLvlLbl val="0"/>
      </c:catAx>
      <c:valAx>
        <c:axId val="1304074736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 Items With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≥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1 P Value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≤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.05,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6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965675209126392"/>
          <c:y val="0.50404786151394543"/>
          <c:w val="0.21289312020538523"/>
          <c:h val="0.2434696384278128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4144539906727E-2"/>
          <c:y val="8.8420194615472569E-2"/>
          <c:w val="0.90256724678456202"/>
          <c:h val="0.69182723732949591"/>
        </c:manualLayout>
      </c:layout>
      <c:lineChart>
        <c:grouping val="standard"/>
        <c:varyColors val="0"/>
        <c:ser>
          <c:idx val="0"/>
          <c:order val="0"/>
          <c:tx>
            <c:strRef>
              <c:f>'Has001'!$G$2</c:f>
              <c:strCache>
                <c:ptCount val="1"/>
                <c:pt idx="0">
                  <c:v>PMC full text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'Has001'!$H$1:$AQ$1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'Has001'!$H$2:$AQ$2</c:f>
              <c:numCache>
                <c:formatCode>General</c:formatCode>
                <c:ptCount val="36"/>
                <c:pt idx="0">
                  <c:v>66.666666666666657</c:v>
                </c:pt>
                <c:pt idx="1">
                  <c:v>81.818181818181827</c:v>
                </c:pt>
                <c:pt idx="2">
                  <c:v>57.142857142857139</c:v>
                </c:pt>
                <c:pt idx="3">
                  <c:v>81.25</c:v>
                </c:pt>
                <c:pt idx="4">
                  <c:v>55.882352941176471</c:v>
                </c:pt>
                <c:pt idx="5">
                  <c:v>56.25</c:v>
                </c:pt>
                <c:pt idx="6">
                  <c:v>67.441860465116278</c:v>
                </c:pt>
                <c:pt idx="7">
                  <c:v>66.780821917808225</c:v>
                </c:pt>
                <c:pt idx="8">
                  <c:v>67.130919220055702</c:v>
                </c:pt>
                <c:pt idx="9">
                  <c:v>64.691358024691354</c:v>
                </c:pt>
                <c:pt idx="10">
                  <c:v>62.177121771217713</c:v>
                </c:pt>
                <c:pt idx="11">
                  <c:v>66.97341513292433</c:v>
                </c:pt>
                <c:pt idx="12">
                  <c:v>68.87816646562122</c:v>
                </c:pt>
                <c:pt idx="13">
                  <c:v>71.062906724511933</c:v>
                </c:pt>
                <c:pt idx="14">
                  <c:v>71.666180332652459</c:v>
                </c:pt>
                <c:pt idx="15">
                  <c:v>70.728550295857985</c:v>
                </c:pt>
                <c:pt idx="16">
                  <c:v>71.614761970091919</c:v>
                </c:pt>
                <c:pt idx="17">
                  <c:v>71.945114036714259</c:v>
                </c:pt>
                <c:pt idx="18">
                  <c:v>72.533591574869874</c:v>
                </c:pt>
                <c:pt idx="19">
                  <c:v>72.660216080183972</c:v>
                </c:pt>
                <c:pt idx="20">
                  <c:v>71.74049779854434</c:v>
                </c:pt>
                <c:pt idx="21">
                  <c:v>71.11612603872274</c:v>
                </c:pt>
                <c:pt idx="22">
                  <c:v>70.501799577619792</c:v>
                </c:pt>
                <c:pt idx="23">
                  <c:v>70.249766441925644</c:v>
                </c:pt>
                <c:pt idx="24">
                  <c:v>69.60886412038991</c:v>
                </c:pt>
                <c:pt idx="25">
                  <c:v>69.772518848554199</c:v>
                </c:pt>
                <c:pt idx="26">
                  <c:v>69.530390738060774</c:v>
                </c:pt>
                <c:pt idx="27">
                  <c:v>68.925239584127709</c:v>
                </c:pt>
                <c:pt idx="28">
                  <c:v>68.872160125994625</c:v>
                </c:pt>
                <c:pt idx="29">
                  <c:v>68.364132981913301</c:v>
                </c:pt>
                <c:pt idx="30">
                  <c:v>68.76115659239197</c:v>
                </c:pt>
                <c:pt idx="31">
                  <c:v>69.792172289440074</c:v>
                </c:pt>
                <c:pt idx="32">
                  <c:v>69.559319739226424</c:v>
                </c:pt>
                <c:pt idx="33">
                  <c:v>69.847095158646439</c:v>
                </c:pt>
                <c:pt idx="34">
                  <c:v>69.886376665367251</c:v>
                </c:pt>
                <c:pt idx="35">
                  <c:v>71.585228592357026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71-460F-B285-6E86B6854A0E}"/>
            </c:ext>
          </c:extLst>
        </c:ser>
        <c:ser>
          <c:idx val="1"/>
          <c:order val="1"/>
          <c:tx>
            <c:strRef>
              <c:f>'Has001'!$G$3</c:f>
              <c:strCache>
                <c:ptCount val="1"/>
                <c:pt idx="0">
                  <c:v>PMC abstracts 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'Has001'!$H$1:$AQ$1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'Has001'!$H$3:$AQ$3</c:f>
              <c:numCache>
                <c:formatCode>General</c:formatCode>
                <c:ptCount val="36"/>
                <c:pt idx="0">
                  <c:v>73.333333333333329</c:v>
                </c:pt>
                <c:pt idx="1">
                  <c:v>74.82014388489209</c:v>
                </c:pt>
                <c:pt idx="2">
                  <c:v>72.027972027972027</c:v>
                </c:pt>
                <c:pt idx="3">
                  <c:v>68.686868686868678</c:v>
                </c:pt>
                <c:pt idx="4">
                  <c:v>68.260869565217391</c:v>
                </c:pt>
                <c:pt idx="5">
                  <c:v>69.196428571428569</c:v>
                </c:pt>
                <c:pt idx="6">
                  <c:v>68.634686346863475</c:v>
                </c:pt>
                <c:pt idx="7">
                  <c:v>67.123287671232873</c:v>
                </c:pt>
                <c:pt idx="8">
                  <c:v>70.731707317073173</c:v>
                </c:pt>
                <c:pt idx="9">
                  <c:v>74.175824175824175</c:v>
                </c:pt>
                <c:pt idx="10">
                  <c:v>65.819209039548028</c:v>
                </c:pt>
                <c:pt idx="11">
                  <c:v>69.933184855233861</c:v>
                </c:pt>
                <c:pt idx="12">
                  <c:v>69.330855018587357</c:v>
                </c:pt>
                <c:pt idx="13">
                  <c:v>68.024132730015083</c:v>
                </c:pt>
                <c:pt idx="14">
                  <c:v>69.01709401709401</c:v>
                </c:pt>
                <c:pt idx="15">
                  <c:v>68.631732168850064</c:v>
                </c:pt>
                <c:pt idx="16">
                  <c:v>68.604651162790702</c:v>
                </c:pt>
                <c:pt idx="17">
                  <c:v>66.331096196868018</c:v>
                </c:pt>
                <c:pt idx="18">
                  <c:v>67.694204685573368</c:v>
                </c:pt>
                <c:pt idx="19">
                  <c:v>67.773019271948613</c:v>
                </c:pt>
                <c:pt idx="20">
                  <c:v>67.176313554180325</c:v>
                </c:pt>
                <c:pt idx="21">
                  <c:v>67.288693743139405</c:v>
                </c:pt>
                <c:pt idx="22">
                  <c:v>65.829088203308345</c:v>
                </c:pt>
                <c:pt idx="23">
                  <c:v>66.364637141163513</c:v>
                </c:pt>
                <c:pt idx="24">
                  <c:v>65.749525616698293</c:v>
                </c:pt>
                <c:pt idx="25">
                  <c:v>66.12870275791623</c:v>
                </c:pt>
                <c:pt idx="26">
                  <c:v>66.889952153110045</c:v>
                </c:pt>
                <c:pt idx="27">
                  <c:v>67.177392648195166</c:v>
                </c:pt>
                <c:pt idx="28">
                  <c:v>66.571310197881118</c:v>
                </c:pt>
                <c:pt idx="29">
                  <c:v>67.026048242408137</c:v>
                </c:pt>
                <c:pt idx="30">
                  <c:v>67.590741648750935</c:v>
                </c:pt>
                <c:pt idx="31">
                  <c:v>68.000683949045793</c:v>
                </c:pt>
                <c:pt idx="32">
                  <c:v>66.911896644536156</c:v>
                </c:pt>
                <c:pt idx="33">
                  <c:v>67.388133182597272</c:v>
                </c:pt>
                <c:pt idx="34">
                  <c:v>67.243982437568334</c:v>
                </c:pt>
                <c:pt idx="35">
                  <c:v>68.357255820471238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71-460F-B285-6E86B6854A0E}"/>
            </c:ext>
          </c:extLst>
        </c:ser>
        <c:ser>
          <c:idx val="2"/>
          <c:order val="2"/>
          <c:tx>
            <c:strRef>
              <c:f>'Has001'!$G$4</c:f>
              <c:strCache>
                <c:ptCount val="1"/>
                <c:pt idx="0">
                  <c:v>Pubmed abstracts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'Has001'!$H$1:$AQ$1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'Has001'!$H$4:$AQ$4</c:f>
              <c:numCache>
                <c:formatCode>General</c:formatCode>
                <c:ptCount val="36"/>
                <c:pt idx="0">
                  <c:v>70.927114261086103</c:v>
                </c:pt>
                <c:pt idx="1">
                  <c:v>70.731385899406988</c:v>
                </c:pt>
                <c:pt idx="2">
                  <c:v>70.862721657700732</c:v>
                </c:pt>
                <c:pt idx="3">
                  <c:v>69.563461467856229</c:v>
                </c:pt>
                <c:pt idx="4">
                  <c:v>69.614305513301559</c:v>
                </c:pt>
                <c:pt idx="5">
                  <c:v>69.139623585318574</c:v>
                </c:pt>
                <c:pt idx="6">
                  <c:v>69.317388268156421</c:v>
                </c:pt>
                <c:pt idx="7">
                  <c:v>68.744879567425855</c:v>
                </c:pt>
                <c:pt idx="8">
                  <c:v>68.524522136058309</c:v>
                </c:pt>
                <c:pt idx="9">
                  <c:v>68.642764747516665</c:v>
                </c:pt>
                <c:pt idx="10">
                  <c:v>68.378612784510437</c:v>
                </c:pt>
                <c:pt idx="11">
                  <c:v>68.634999347514025</c:v>
                </c:pt>
                <c:pt idx="12">
                  <c:v>68.36879432624113</c:v>
                </c:pt>
                <c:pt idx="13">
                  <c:v>67.956041564659159</c:v>
                </c:pt>
                <c:pt idx="14">
                  <c:v>67.765885958730109</c:v>
                </c:pt>
                <c:pt idx="15">
                  <c:v>67.706939263646461</c:v>
                </c:pt>
                <c:pt idx="16">
                  <c:v>67.733669728387284</c:v>
                </c:pt>
                <c:pt idx="17">
                  <c:v>67.923985717366818</c:v>
                </c:pt>
                <c:pt idx="18">
                  <c:v>67.8690840073712</c:v>
                </c:pt>
                <c:pt idx="19">
                  <c:v>67.489992158804839</c:v>
                </c:pt>
                <c:pt idx="20">
                  <c:v>67.318359466968019</c:v>
                </c:pt>
                <c:pt idx="21">
                  <c:v>67.644592041613365</c:v>
                </c:pt>
                <c:pt idx="22">
                  <c:v>67.658822797024314</c:v>
                </c:pt>
                <c:pt idx="23">
                  <c:v>67.935459262617755</c:v>
                </c:pt>
                <c:pt idx="24">
                  <c:v>68.260089135197489</c:v>
                </c:pt>
                <c:pt idx="25">
                  <c:v>68.171762325839396</c:v>
                </c:pt>
                <c:pt idx="26">
                  <c:v>68.578190189389787</c:v>
                </c:pt>
                <c:pt idx="27">
                  <c:v>68.241853140636508</c:v>
                </c:pt>
                <c:pt idx="28">
                  <c:v>68.217073350897493</c:v>
                </c:pt>
                <c:pt idx="29">
                  <c:v>68.256408444067475</c:v>
                </c:pt>
                <c:pt idx="30">
                  <c:v>68.462536270766151</c:v>
                </c:pt>
                <c:pt idx="31">
                  <c:v>68.840108979144659</c:v>
                </c:pt>
                <c:pt idx="32">
                  <c:v>68.296185778373214</c:v>
                </c:pt>
                <c:pt idx="33">
                  <c:v>68.540780469761415</c:v>
                </c:pt>
                <c:pt idx="34">
                  <c:v>68.146008545941214</c:v>
                </c:pt>
                <c:pt idx="35">
                  <c:v>68.598241394266793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71-460F-B285-6E86B6854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068016"/>
        <c:axId val="1304074736"/>
      </c:lineChart>
      <c:catAx>
        <c:axId val="130406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Year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74736"/>
        <c:crosses val="autoZero"/>
        <c:auto val="1"/>
        <c:lblAlgn val="ctr"/>
        <c:lblOffset val="100"/>
        <c:tickMarkSkip val="1"/>
        <c:noMultiLvlLbl val="0"/>
      </c:catAx>
      <c:valAx>
        <c:axId val="1304074736"/>
        <c:scaling>
          <c:orientation val="minMax"/>
          <c:max val="8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 Items With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≥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1 P Value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≤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.01,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6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965675209126392"/>
          <c:y val="0.50404786151394543"/>
          <c:w val="0.21289312020538523"/>
          <c:h val="0.2434696384278128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4144539906727E-2"/>
          <c:y val="8.8420194615472569E-2"/>
          <c:w val="0.90256724678456202"/>
          <c:h val="0.69182723732949591"/>
        </c:manualLayout>
      </c:layout>
      <c:lineChart>
        <c:grouping val="standard"/>
        <c:varyColors val="0"/>
        <c:ser>
          <c:idx val="0"/>
          <c:order val="0"/>
          <c:tx>
            <c:strRef>
              <c:f>'Has0005'!$G$2</c:f>
              <c:strCache>
                <c:ptCount val="1"/>
                <c:pt idx="0">
                  <c:v>PMC full text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'Has0005'!$H$1:$AQ$1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'Has0005'!$H$2:$AQ$2</c:f>
              <c:numCache>
                <c:formatCode>General</c:formatCode>
                <c:ptCount val="36"/>
                <c:pt idx="0">
                  <c:v>33.333333333333329</c:v>
                </c:pt>
                <c:pt idx="1">
                  <c:v>72.727272727272734</c:v>
                </c:pt>
                <c:pt idx="2">
                  <c:v>42.857142857142854</c:v>
                </c:pt>
                <c:pt idx="3">
                  <c:v>56.25</c:v>
                </c:pt>
                <c:pt idx="4">
                  <c:v>41.17647058823529</c:v>
                </c:pt>
                <c:pt idx="5">
                  <c:v>37.5</c:v>
                </c:pt>
                <c:pt idx="6">
                  <c:v>41.860465116279073</c:v>
                </c:pt>
                <c:pt idx="7">
                  <c:v>45.547945205479451</c:v>
                </c:pt>
                <c:pt idx="8">
                  <c:v>47.075208913649021</c:v>
                </c:pt>
                <c:pt idx="9">
                  <c:v>48.395061728395063</c:v>
                </c:pt>
                <c:pt idx="10">
                  <c:v>45.20295202952029</c:v>
                </c:pt>
                <c:pt idx="11">
                  <c:v>52.351738241308801</c:v>
                </c:pt>
                <c:pt idx="12">
                  <c:v>53.679131483715317</c:v>
                </c:pt>
                <c:pt idx="13">
                  <c:v>57.483731019522779</c:v>
                </c:pt>
                <c:pt idx="14">
                  <c:v>59.118762766267871</c:v>
                </c:pt>
                <c:pt idx="15">
                  <c:v>57.008136094674555</c:v>
                </c:pt>
                <c:pt idx="16">
                  <c:v>58.375634517766493</c:v>
                </c:pt>
                <c:pt idx="17">
                  <c:v>59.18783608381235</c:v>
                </c:pt>
                <c:pt idx="18">
                  <c:v>59.351168139450429</c:v>
                </c:pt>
                <c:pt idx="19">
                  <c:v>59.665032325248404</c:v>
                </c:pt>
                <c:pt idx="20">
                  <c:v>58.954083924880941</c:v>
                </c:pt>
                <c:pt idx="21">
                  <c:v>58.280254777070063</c:v>
                </c:pt>
                <c:pt idx="22">
                  <c:v>57.245902614592936</c:v>
                </c:pt>
                <c:pt idx="23">
                  <c:v>57.310086332068934</c:v>
                </c:pt>
                <c:pt idx="24">
                  <c:v>56.865283758807358</c:v>
                </c:pt>
                <c:pt idx="25">
                  <c:v>57.291489137227217</c:v>
                </c:pt>
                <c:pt idx="26">
                  <c:v>57.5260492040521</c:v>
                </c:pt>
                <c:pt idx="27">
                  <c:v>57.001321843463224</c:v>
                </c:pt>
                <c:pt idx="28">
                  <c:v>57.289352749667977</c:v>
                </c:pt>
                <c:pt idx="29">
                  <c:v>57.181517187161411</c:v>
                </c:pt>
                <c:pt idx="30">
                  <c:v>58.06467745906685</c:v>
                </c:pt>
                <c:pt idx="31">
                  <c:v>59.455282349683003</c:v>
                </c:pt>
                <c:pt idx="32">
                  <c:v>59.299691737310198</c:v>
                </c:pt>
                <c:pt idx="33">
                  <c:v>60.079944132609086</c:v>
                </c:pt>
                <c:pt idx="34">
                  <c:v>60.339322158270079</c:v>
                </c:pt>
                <c:pt idx="35">
                  <c:v>62.420095403140799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C5-4FE9-8638-30DD88BEDD8D}"/>
            </c:ext>
          </c:extLst>
        </c:ser>
        <c:ser>
          <c:idx val="1"/>
          <c:order val="1"/>
          <c:tx>
            <c:strRef>
              <c:f>'Has0005'!$G$3</c:f>
              <c:strCache>
                <c:ptCount val="1"/>
                <c:pt idx="0">
                  <c:v>PMC abstracts 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'Has0005'!$H$1:$AQ$1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'Has0005'!$H$3:$AQ$3</c:f>
              <c:numCache>
                <c:formatCode>General</c:formatCode>
                <c:ptCount val="36"/>
                <c:pt idx="0">
                  <c:v>60</c:v>
                </c:pt>
                <c:pt idx="1">
                  <c:v>56.115107913669057</c:v>
                </c:pt>
                <c:pt idx="2">
                  <c:v>51.748251748251747</c:v>
                </c:pt>
                <c:pt idx="3">
                  <c:v>49.494949494949495</c:v>
                </c:pt>
                <c:pt idx="4">
                  <c:v>51.304347826086961</c:v>
                </c:pt>
                <c:pt idx="5">
                  <c:v>47.321428571428569</c:v>
                </c:pt>
                <c:pt idx="6">
                  <c:v>49.446494464944649</c:v>
                </c:pt>
                <c:pt idx="7">
                  <c:v>49.315068493150683</c:v>
                </c:pt>
                <c:pt idx="8">
                  <c:v>56.40243902439024</c:v>
                </c:pt>
                <c:pt idx="9">
                  <c:v>55.769230769230774</c:v>
                </c:pt>
                <c:pt idx="10">
                  <c:v>49.435028248587571</c:v>
                </c:pt>
                <c:pt idx="11">
                  <c:v>48.775055679287306</c:v>
                </c:pt>
                <c:pt idx="12">
                  <c:v>53.159851301115246</c:v>
                </c:pt>
                <c:pt idx="13">
                  <c:v>52.488687782805435</c:v>
                </c:pt>
                <c:pt idx="14">
                  <c:v>54.166666666666664</c:v>
                </c:pt>
                <c:pt idx="15">
                  <c:v>52.91120815138283</c:v>
                </c:pt>
                <c:pt idx="16">
                  <c:v>55.005055611729013</c:v>
                </c:pt>
                <c:pt idx="17">
                  <c:v>52.125279642058167</c:v>
                </c:pt>
                <c:pt idx="18">
                  <c:v>52.774352651048083</c:v>
                </c:pt>
                <c:pt idx="19">
                  <c:v>53.586723768736618</c:v>
                </c:pt>
                <c:pt idx="20">
                  <c:v>53.100351899041378</c:v>
                </c:pt>
                <c:pt idx="21">
                  <c:v>53.499957780967655</c:v>
                </c:pt>
                <c:pt idx="22">
                  <c:v>51.51393738194723</c:v>
                </c:pt>
                <c:pt idx="23">
                  <c:v>52.218646794817516</c:v>
                </c:pt>
                <c:pt idx="24">
                  <c:v>52.443074003795061</c:v>
                </c:pt>
                <c:pt idx="25">
                  <c:v>52.893623230701877</c:v>
                </c:pt>
                <c:pt idx="26">
                  <c:v>54.00906572651725</c:v>
                </c:pt>
                <c:pt idx="27">
                  <c:v>53.952974942046581</c:v>
                </c:pt>
                <c:pt idx="28">
                  <c:v>53.569948902085351</c:v>
                </c:pt>
                <c:pt idx="29">
                  <c:v>54.28932154960463</c:v>
                </c:pt>
                <c:pt idx="30">
                  <c:v>55.062296483486087</c:v>
                </c:pt>
                <c:pt idx="31">
                  <c:v>56.059123595292149</c:v>
                </c:pt>
                <c:pt idx="32">
                  <c:v>54.996492830693441</c:v>
                </c:pt>
                <c:pt idx="33">
                  <c:v>55.767477480762921</c:v>
                </c:pt>
                <c:pt idx="34">
                  <c:v>55.889141488641691</c:v>
                </c:pt>
                <c:pt idx="35">
                  <c:v>56.967549496526736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C5-4FE9-8638-30DD88BEDD8D}"/>
            </c:ext>
          </c:extLst>
        </c:ser>
        <c:ser>
          <c:idx val="2"/>
          <c:order val="2"/>
          <c:tx>
            <c:strRef>
              <c:f>'Has0005'!$G$4</c:f>
              <c:strCache>
                <c:ptCount val="1"/>
                <c:pt idx="0">
                  <c:v>Pubmed abstracts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'Has0005'!$H$1:$AQ$1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'Has0005'!$H$4:$AQ$4</c:f>
              <c:numCache>
                <c:formatCode>General</c:formatCode>
                <c:ptCount val="36"/>
                <c:pt idx="0">
                  <c:v>46.394023560961593</c:v>
                </c:pt>
                <c:pt idx="1">
                  <c:v>46.167362178783222</c:v>
                </c:pt>
                <c:pt idx="2">
                  <c:v>46.893803546523209</c:v>
                </c:pt>
                <c:pt idx="3">
                  <c:v>47.413444946212877</c:v>
                </c:pt>
                <c:pt idx="4">
                  <c:v>47.828144542473716</c:v>
                </c:pt>
                <c:pt idx="5">
                  <c:v>47.84593259551054</c:v>
                </c:pt>
                <c:pt idx="6">
                  <c:v>48.585893854748605</c:v>
                </c:pt>
                <c:pt idx="7">
                  <c:v>49.303621169916433</c:v>
                </c:pt>
                <c:pt idx="8">
                  <c:v>49.11429831159063</c:v>
                </c:pt>
                <c:pt idx="9">
                  <c:v>49.776682205354746</c:v>
                </c:pt>
                <c:pt idx="10">
                  <c:v>49.921473945758422</c:v>
                </c:pt>
                <c:pt idx="11">
                  <c:v>50.015224672669532</c:v>
                </c:pt>
                <c:pt idx="12">
                  <c:v>49.935157041540016</c:v>
                </c:pt>
                <c:pt idx="13">
                  <c:v>49.766969515623018</c:v>
                </c:pt>
                <c:pt idx="14">
                  <c:v>50.03523839181814</c:v>
                </c:pt>
                <c:pt idx="15">
                  <c:v>50.149491728124374</c:v>
                </c:pt>
                <c:pt idx="16">
                  <c:v>50.362018895940921</c:v>
                </c:pt>
                <c:pt idx="17">
                  <c:v>51.071197488557118</c:v>
                </c:pt>
                <c:pt idx="18">
                  <c:v>51.066506295311342</c:v>
                </c:pt>
                <c:pt idx="19">
                  <c:v>51.11737031075895</c:v>
                </c:pt>
                <c:pt idx="20">
                  <c:v>51.433818335923156</c:v>
                </c:pt>
                <c:pt idx="21">
                  <c:v>52.129380967307412</c:v>
                </c:pt>
                <c:pt idx="22">
                  <c:v>52.335263174277088</c:v>
                </c:pt>
                <c:pt idx="23">
                  <c:v>53.01509165101367</c:v>
                </c:pt>
                <c:pt idx="24">
                  <c:v>53.581446774821018</c:v>
                </c:pt>
                <c:pt idx="25">
                  <c:v>53.897608248768236</c:v>
                </c:pt>
                <c:pt idx="26">
                  <c:v>54.416193245935894</c:v>
                </c:pt>
                <c:pt idx="27">
                  <c:v>54.422671509486676</c:v>
                </c:pt>
                <c:pt idx="28">
                  <c:v>54.456085489867775</c:v>
                </c:pt>
                <c:pt idx="29">
                  <c:v>54.84756384883611</c:v>
                </c:pt>
                <c:pt idx="30">
                  <c:v>55.36911527982538</c:v>
                </c:pt>
                <c:pt idx="31">
                  <c:v>56.129592103859835</c:v>
                </c:pt>
                <c:pt idx="32">
                  <c:v>55.840590301037288</c:v>
                </c:pt>
                <c:pt idx="33">
                  <c:v>56.428535400238744</c:v>
                </c:pt>
                <c:pt idx="34">
                  <c:v>56.294623223893893</c:v>
                </c:pt>
                <c:pt idx="35">
                  <c:v>56.933086234769924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C5-4FE9-8638-30DD88BED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068016"/>
        <c:axId val="1304074736"/>
      </c:lineChart>
      <c:catAx>
        <c:axId val="130406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Year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74736"/>
        <c:crosses val="autoZero"/>
        <c:auto val="1"/>
        <c:lblAlgn val="ctr"/>
        <c:lblOffset val="100"/>
        <c:tickMarkSkip val="1"/>
        <c:noMultiLvlLbl val="0"/>
      </c:catAx>
      <c:valAx>
        <c:axId val="1304074736"/>
        <c:scaling>
          <c:orientation val="minMax"/>
          <c:max val="75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 Items With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≥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1 P Value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≤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.005,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6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965675209126392"/>
          <c:y val="0.50404786151394543"/>
          <c:w val="0.21289312020538523"/>
          <c:h val="0.2434696384278128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4144539906727E-2"/>
          <c:y val="8.8420194615472569E-2"/>
          <c:w val="0.90256724678456202"/>
          <c:h val="0.69182723732949591"/>
        </c:manualLayout>
      </c:layout>
      <c:lineChart>
        <c:grouping val="standard"/>
        <c:varyColors val="0"/>
        <c:ser>
          <c:idx val="0"/>
          <c:order val="0"/>
          <c:tx>
            <c:strRef>
              <c:f>'Has0005 (2)'!$G$2</c:f>
              <c:strCache>
                <c:ptCount val="1"/>
                <c:pt idx="0">
                  <c:v>PMC full text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'Has0005 (2)'!$H$1:$AQ$1</c15:sqref>
                  </c15:fullRef>
                </c:ext>
              </c:extLst>
              <c:f>'Has0005 (2)'!$R$1:$AQ$1</c:f>
              <c:numCache>
                <c:formatCode>General</c:formatCode>
                <c:ptCount val="26"/>
                <c:pt idx="0">
                  <c:v>2000</c:v>
                </c:pt>
                <c:pt idx="5">
                  <c:v>2005</c:v>
                </c:pt>
                <c:pt idx="10">
                  <c:v>2010</c:v>
                </c:pt>
                <c:pt idx="15">
                  <c:v>2015</c:v>
                </c:pt>
                <c:pt idx="20">
                  <c:v>2020</c:v>
                </c:pt>
                <c:pt idx="2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'Has0005 (2)'!$H$2:$AQ$2</c15:sqref>
                  </c15:fullRef>
                </c:ext>
              </c:extLst>
              <c:f>'Has0005 (2)'!$R$2:$AQ$2</c:f>
              <c:numCache>
                <c:formatCode>General</c:formatCode>
                <c:ptCount val="26"/>
                <c:pt idx="0">
                  <c:v>45.20295202952029</c:v>
                </c:pt>
                <c:pt idx="1">
                  <c:v>52.351738241308801</c:v>
                </c:pt>
                <c:pt idx="2">
                  <c:v>53.679131483715317</c:v>
                </c:pt>
                <c:pt idx="3">
                  <c:v>57.483731019522779</c:v>
                </c:pt>
                <c:pt idx="4">
                  <c:v>59.118762766267871</c:v>
                </c:pt>
                <c:pt idx="5">
                  <c:v>57.008136094674555</c:v>
                </c:pt>
                <c:pt idx="6">
                  <c:v>58.375634517766493</c:v>
                </c:pt>
                <c:pt idx="7">
                  <c:v>59.18783608381235</c:v>
                </c:pt>
                <c:pt idx="8">
                  <c:v>59.351168139450429</c:v>
                </c:pt>
                <c:pt idx="9">
                  <c:v>59.665032325248404</c:v>
                </c:pt>
                <c:pt idx="10">
                  <c:v>58.954083924880941</c:v>
                </c:pt>
                <c:pt idx="11">
                  <c:v>58.280254777070063</c:v>
                </c:pt>
                <c:pt idx="12">
                  <c:v>57.245902614592936</c:v>
                </c:pt>
                <c:pt idx="13">
                  <c:v>57.310086332068934</c:v>
                </c:pt>
                <c:pt idx="14">
                  <c:v>56.865283758807358</c:v>
                </c:pt>
                <c:pt idx="15">
                  <c:v>57.291489137227217</c:v>
                </c:pt>
                <c:pt idx="16">
                  <c:v>57.5260492040521</c:v>
                </c:pt>
                <c:pt idx="17">
                  <c:v>57.001321843463224</c:v>
                </c:pt>
                <c:pt idx="18">
                  <c:v>57.289352749667977</c:v>
                </c:pt>
                <c:pt idx="19">
                  <c:v>57.181517187161411</c:v>
                </c:pt>
                <c:pt idx="20">
                  <c:v>58.06467745906685</c:v>
                </c:pt>
                <c:pt idx="21">
                  <c:v>59.455282349683003</c:v>
                </c:pt>
                <c:pt idx="22">
                  <c:v>59.299691737310198</c:v>
                </c:pt>
                <c:pt idx="23">
                  <c:v>60.079944132609086</c:v>
                </c:pt>
                <c:pt idx="24">
                  <c:v>60.339322158270079</c:v>
                </c:pt>
                <c:pt idx="25">
                  <c:v>62.420095403140799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BC-4F33-B742-E139C1A1B6A8}"/>
            </c:ext>
          </c:extLst>
        </c:ser>
        <c:ser>
          <c:idx val="1"/>
          <c:order val="1"/>
          <c:tx>
            <c:strRef>
              <c:f>'Has0005 (2)'!$G$3</c:f>
              <c:strCache>
                <c:ptCount val="1"/>
                <c:pt idx="0">
                  <c:v>PMC abstracts 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'Has0005 (2)'!$H$1:$AQ$1</c15:sqref>
                  </c15:fullRef>
                </c:ext>
              </c:extLst>
              <c:f>'Has0005 (2)'!$R$1:$AQ$1</c:f>
              <c:numCache>
                <c:formatCode>General</c:formatCode>
                <c:ptCount val="26"/>
                <c:pt idx="0">
                  <c:v>2000</c:v>
                </c:pt>
                <c:pt idx="5">
                  <c:v>2005</c:v>
                </c:pt>
                <c:pt idx="10">
                  <c:v>2010</c:v>
                </c:pt>
                <c:pt idx="15">
                  <c:v>2015</c:v>
                </c:pt>
                <c:pt idx="20">
                  <c:v>2020</c:v>
                </c:pt>
                <c:pt idx="2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'Has0005 (2)'!$H$3:$AQ$3</c15:sqref>
                  </c15:fullRef>
                </c:ext>
              </c:extLst>
              <c:f>'Has0005 (2)'!$R$3:$AQ$3</c:f>
              <c:numCache>
                <c:formatCode>General</c:formatCode>
                <c:ptCount val="26"/>
                <c:pt idx="0">
                  <c:v>49.435028248587571</c:v>
                </c:pt>
                <c:pt idx="1">
                  <c:v>48.775055679287306</c:v>
                </c:pt>
                <c:pt idx="2">
                  <c:v>53.159851301115246</c:v>
                </c:pt>
                <c:pt idx="3">
                  <c:v>52.488687782805435</c:v>
                </c:pt>
                <c:pt idx="4">
                  <c:v>54.166666666666664</c:v>
                </c:pt>
                <c:pt idx="5">
                  <c:v>52.91120815138283</c:v>
                </c:pt>
                <c:pt idx="6">
                  <c:v>55.005055611729013</c:v>
                </c:pt>
                <c:pt idx="7">
                  <c:v>52.125279642058167</c:v>
                </c:pt>
                <c:pt idx="8">
                  <c:v>52.774352651048083</c:v>
                </c:pt>
                <c:pt idx="9">
                  <c:v>53.586723768736618</c:v>
                </c:pt>
                <c:pt idx="10">
                  <c:v>53.100351899041378</c:v>
                </c:pt>
                <c:pt idx="11">
                  <c:v>53.499957780967655</c:v>
                </c:pt>
                <c:pt idx="12">
                  <c:v>51.51393738194723</c:v>
                </c:pt>
                <c:pt idx="13">
                  <c:v>52.218646794817516</c:v>
                </c:pt>
                <c:pt idx="14">
                  <c:v>52.443074003795061</c:v>
                </c:pt>
                <c:pt idx="15">
                  <c:v>52.893623230701877</c:v>
                </c:pt>
                <c:pt idx="16">
                  <c:v>54.00906572651725</c:v>
                </c:pt>
                <c:pt idx="17">
                  <c:v>53.952974942046581</c:v>
                </c:pt>
                <c:pt idx="18">
                  <c:v>53.569948902085351</c:v>
                </c:pt>
                <c:pt idx="19">
                  <c:v>54.28932154960463</c:v>
                </c:pt>
                <c:pt idx="20">
                  <c:v>55.062296483486087</c:v>
                </c:pt>
                <c:pt idx="21">
                  <c:v>56.059123595292149</c:v>
                </c:pt>
                <c:pt idx="22">
                  <c:v>54.996492830693441</c:v>
                </c:pt>
                <c:pt idx="23">
                  <c:v>55.767477480762921</c:v>
                </c:pt>
                <c:pt idx="24">
                  <c:v>55.889141488641691</c:v>
                </c:pt>
                <c:pt idx="25">
                  <c:v>56.967549496526736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BC-4F33-B742-E139C1A1B6A8}"/>
            </c:ext>
          </c:extLst>
        </c:ser>
        <c:ser>
          <c:idx val="2"/>
          <c:order val="2"/>
          <c:tx>
            <c:strRef>
              <c:f>'Has0005 (2)'!$G$4</c:f>
              <c:strCache>
                <c:ptCount val="1"/>
                <c:pt idx="0">
                  <c:v>Pubmed abstracts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'Has0005 (2)'!$H$1:$AQ$1</c15:sqref>
                  </c15:fullRef>
                </c:ext>
              </c:extLst>
              <c:f>'Has0005 (2)'!$R$1:$AQ$1</c:f>
              <c:numCache>
                <c:formatCode>General</c:formatCode>
                <c:ptCount val="26"/>
                <c:pt idx="0">
                  <c:v>2000</c:v>
                </c:pt>
                <c:pt idx="5">
                  <c:v>2005</c:v>
                </c:pt>
                <c:pt idx="10">
                  <c:v>2010</c:v>
                </c:pt>
                <c:pt idx="15">
                  <c:v>2015</c:v>
                </c:pt>
                <c:pt idx="20">
                  <c:v>2020</c:v>
                </c:pt>
                <c:pt idx="2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'Has0005 (2)'!$H$4:$AQ$4</c15:sqref>
                  </c15:fullRef>
                </c:ext>
              </c:extLst>
              <c:f>'Has0005 (2)'!$R$4:$AQ$4</c:f>
              <c:numCache>
                <c:formatCode>General</c:formatCode>
                <c:ptCount val="26"/>
                <c:pt idx="0">
                  <c:v>49.921473945758422</c:v>
                </c:pt>
                <c:pt idx="1">
                  <c:v>50.015224672669532</c:v>
                </c:pt>
                <c:pt idx="2">
                  <c:v>49.935157041540016</c:v>
                </c:pt>
                <c:pt idx="3">
                  <c:v>49.766969515623018</c:v>
                </c:pt>
                <c:pt idx="4">
                  <c:v>50.03523839181814</c:v>
                </c:pt>
                <c:pt idx="5">
                  <c:v>50.149491728124374</c:v>
                </c:pt>
                <c:pt idx="6">
                  <c:v>50.362018895940921</c:v>
                </c:pt>
                <c:pt idx="7">
                  <c:v>51.071197488557118</c:v>
                </c:pt>
                <c:pt idx="8">
                  <c:v>51.066506295311342</c:v>
                </c:pt>
                <c:pt idx="9">
                  <c:v>51.11737031075895</c:v>
                </c:pt>
                <c:pt idx="10">
                  <c:v>51.433818335923156</c:v>
                </c:pt>
                <c:pt idx="11">
                  <c:v>52.129380967307412</c:v>
                </c:pt>
                <c:pt idx="12">
                  <c:v>52.335263174277088</c:v>
                </c:pt>
                <c:pt idx="13">
                  <c:v>53.01509165101367</c:v>
                </c:pt>
                <c:pt idx="14">
                  <c:v>53.581446774821018</c:v>
                </c:pt>
                <c:pt idx="15">
                  <c:v>53.897608248768236</c:v>
                </c:pt>
                <c:pt idx="16">
                  <c:v>54.416193245935894</c:v>
                </c:pt>
                <c:pt idx="17">
                  <c:v>54.422671509486676</c:v>
                </c:pt>
                <c:pt idx="18">
                  <c:v>54.456085489867775</c:v>
                </c:pt>
                <c:pt idx="19">
                  <c:v>54.84756384883611</c:v>
                </c:pt>
                <c:pt idx="20">
                  <c:v>55.36911527982538</c:v>
                </c:pt>
                <c:pt idx="21">
                  <c:v>56.129592103859835</c:v>
                </c:pt>
                <c:pt idx="22">
                  <c:v>55.840590301037288</c:v>
                </c:pt>
                <c:pt idx="23">
                  <c:v>56.428535400238744</c:v>
                </c:pt>
                <c:pt idx="24">
                  <c:v>56.294623223893893</c:v>
                </c:pt>
                <c:pt idx="25">
                  <c:v>56.933086234769924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BC-4F33-B742-E139C1A1B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068016"/>
        <c:axId val="1304074736"/>
      </c:lineChart>
      <c:catAx>
        <c:axId val="130406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Year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74736"/>
        <c:crosses val="autoZero"/>
        <c:auto val="1"/>
        <c:lblAlgn val="ctr"/>
        <c:lblOffset val="100"/>
        <c:tickMarkSkip val="1"/>
        <c:noMultiLvlLbl val="0"/>
      </c:catAx>
      <c:valAx>
        <c:axId val="1304074736"/>
        <c:scaling>
          <c:orientation val="minMax"/>
          <c:max val="70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 Items With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≥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1 P Value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≤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.005,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6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010659320556084"/>
          <c:y val="0.5458432291009615"/>
          <c:w val="0.17457722974505563"/>
          <c:h val="0.20167428160840734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4144539906727E-2"/>
          <c:y val="8.8420194615472569E-2"/>
          <c:w val="0.90256724678456202"/>
          <c:h val="0.69182723732949591"/>
        </c:manualLayout>
      </c:layout>
      <c:lineChart>
        <c:grouping val="standard"/>
        <c:varyColors val="0"/>
        <c:ser>
          <c:idx val="0"/>
          <c:order val="0"/>
          <c:tx>
            <c:strRef>
              <c:f>'Has0001'!$G$2</c:f>
              <c:strCache>
                <c:ptCount val="1"/>
                <c:pt idx="0">
                  <c:v>PMC full text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'Has0001'!$H$1:$AQ$1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'Has0001'!$H$2:$AQ$2</c:f>
              <c:numCache>
                <c:formatCode>General</c:formatCode>
                <c:ptCount val="36"/>
                <c:pt idx="0">
                  <c:v>25</c:v>
                </c:pt>
                <c:pt idx="1">
                  <c:v>63.636363636363633</c:v>
                </c:pt>
                <c:pt idx="2">
                  <c:v>28.571428571428569</c:v>
                </c:pt>
                <c:pt idx="3">
                  <c:v>50</c:v>
                </c:pt>
                <c:pt idx="4">
                  <c:v>38.235294117647058</c:v>
                </c:pt>
                <c:pt idx="5">
                  <c:v>34.375</c:v>
                </c:pt>
                <c:pt idx="6">
                  <c:v>37.209302325581397</c:v>
                </c:pt>
                <c:pt idx="7">
                  <c:v>35.61643835616438</c:v>
                </c:pt>
                <c:pt idx="8">
                  <c:v>38.718662952646241</c:v>
                </c:pt>
                <c:pt idx="9">
                  <c:v>39.753086419753089</c:v>
                </c:pt>
                <c:pt idx="10">
                  <c:v>37.453874538745389</c:v>
                </c:pt>
                <c:pt idx="11">
                  <c:v>44.88752556237219</c:v>
                </c:pt>
                <c:pt idx="12">
                  <c:v>47.4065138721351</c:v>
                </c:pt>
                <c:pt idx="13">
                  <c:v>50.021691973969631</c:v>
                </c:pt>
                <c:pt idx="14">
                  <c:v>51.852932594105624</c:v>
                </c:pt>
                <c:pt idx="15">
                  <c:v>50.221893491124256</c:v>
                </c:pt>
                <c:pt idx="16">
                  <c:v>52.243106050212653</c:v>
                </c:pt>
                <c:pt idx="17">
                  <c:v>52.595957722974227</c:v>
                </c:pt>
                <c:pt idx="18">
                  <c:v>52.996005326231689</c:v>
                </c:pt>
                <c:pt idx="19">
                  <c:v>53.156593048986856</c:v>
                </c:pt>
                <c:pt idx="20">
                  <c:v>52.822955042381771</c:v>
                </c:pt>
                <c:pt idx="21">
                  <c:v>52.001518538828194</c:v>
                </c:pt>
                <c:pt idx="22">
                  <c:v>51.293911181177307</c:v>
                </c:pt>
                <c:pt idx="23">
                  <c:v>51.57299956102338</c:v>
                </c:pt>
                <c:pt idx="24">
                  <c:v>51.249214256898121</c:v>
                </c:pt>
                <c:pt idx="25">
                  <c:v>51.5813308012563</c:v>
                </c:pt>
                <c:pt idx="26">
                  <c:v>51.915340086830675</c:v>
                </c:pt>
                <c:pt idx="27">
                  <c:v>51.643407305727138</c:v>
                </c:pt>
                <c:pt idx="28">
                  <c:v>52.045061880751739</c:v>
                </c:pt>
                <c:pt idx="29">
                  <c:v>52.048802366541857</c:v>
                </c:pt>
                <c:pt idx="30">
                  <c:v>52.936492059583898</c:v>
                </c:pt>
                <c:pt idx="31">
                  <c:v>54.389872754290415</c:v>
                </c:pt>
                <c:pt idx="32">
                  <c:v>54.447418299972924</c:v>
                </c:pt>
                <c:pt idx="33">
                  <c:v>55.238882769059053</c:v>
                </c:pt>
                <c:pt idx="34">
                  <c:v>55.527528721135546</c:v>
                </c:pt>
                <c:pt idx="35">
                  <c:v>57.815375270219569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B-4090-8FC3-5AE53A869166}"/>
            </c:ext>
          </c:extLst>
        </c:ser>
        <c:ser>
          <c:idx val="1"/>
          <c:order val="1"/>
          <c:tx>
            <c:strRef>
              <c:f>'Has0001'!$G$3</c:f>
              <c:strCache>
                <c:ptCount val="1"/>
                <c:pt idx="0">
                  <c:v>PMC abstracts 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'Has0001'!$H$1:$AQ$1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'Has0001'!$H$3:$AQ$3</c:f>
              <c:numCache>
                <c:formatCode>General</c:formatCode>
                <c:ptCount val="36"/>
                <c:pt idx="0">
                  <c:v>52.222222222222229</c:v>
                </c:pt>
                <c:pt idx="1">
                  <c:v>47.482014388489205</c:v>
                </c:pt>
                <c:pt idx="2">
                  <c:v>35.664335664335667</c:v>
                </c:pt>
                <c:pt idx="3">
                  <c:v>35.353535353535356</c:v>
                </c:pt>
                <c:pt idx="4">
                  <c:v>39.565217391304344</c:v>
                </c:pt>
                <c:pt idx="5">
                  <c:v>35.267857142857146</c:v>
                </c:pt>
                <c:pt idx="6">
                  <c:v>39.852398523985237</c:v>
                </c:pt>
                <c:pt idx="7">
                  <c:v>39.38356164383562</c:v>
                </c:pt>
                <c:pt idx="8">
                  <c:v>45.121951219512198</c:v>
                </c:pt>
                <c:pt idx="9">
                  <c:v>44.505494505494504</c:v>
                </c:pt>
                <c:pt idx="10">
                  <c:v>41.525423728813557</c:v>
                </c:pt>
                <c:pt idx="11">
                  <c:v>40.089086859688194</c:v>
                </c:pt>
                <c:pt idx="12">
                  <c:v>43.680297397769522</c:v>
                </c:pt>
                <c:pt idx="13">
                  <c:v>43.137254901960787</c:v>
                </c:pt>
                <c:pt idx="14">
                  <c:v>47.222222222222221</c:v>
                </c:pt>
                <c:pt idx="15">
                  <c:v>43.959243085880637</c:v>
                </c:pt>
                <c:pt idx="16">
                  <c:v>47.067745197168861</c:v>
                </c:pt>
                <c:pt idx="17">
                  <c:v>44.034302759134974</c:v>
                </c:pt>
                <c:pt idx="18">
                  <c:v>44.414303329223181</c:v>
                </c:pt>
                <c:pt idx="19">
                  <c:v>44.860813704496785</c:v>
                </c:pt>
                <c:pt idx="20">
                  <c:v>44.302875864579541</c:v>
                </c:pt>
                <c:pt idx="21">
                  <c:v>44.524191505530695</c:v>
                </c:pt>
                <c:pt idx="22">
                  <c:v>42.911109839162044</c:v>
                </c:pt>
                <c:pt idx="23">
                  <c:v>44.008806842238968</c:v>
                </c:pt>
                <c:pt idx="24">
                  <c:v>44.503930604499864</c:v>
                </c:pt>
                <c:pt idx="25">
                  <c:v>44.800817160367721</c:v>
                </c:pt>
                <c:pt idx="26">
                  <c:v>45.794510198942334</c:v>
                </c:pt>
                <c:pt idx="27">
                  <c:v>45.620929462413066</c:v>
                </c:pt>
                <c:pt idx="28">
                  <c:v>45.433740406810422</c:v>
                </c:pt>
                <c:pt idx="29">
                  <c:v>46.44162402817463</c:v>
                </c:pt>
                <c:pt idx="30">
                  <c:v>47.117766127308613</c:v>
                </c:pt>
                <c:pt idx="31">
                  <c:v>48.129114380978613</c:v>
                </c:pt>
                <c:pt idx="32">
                  <c:v>47.348416880087434</c:v>
                </c:pt>
                <c:pt idx="33">
                  <c:v>48.138288173297838</c:v>
                </c:pt>
                <c:pt idx="34">
                  <c:v>48.260243305624492</c:v>
                </c:pt>
                <c:pt idx="35">
                  <c:v>49.492522971593303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4B-4090-8FC3-5AE53A869166}"/>
            </c:ext>
          </c:extLst>
        </c:ser>
        <c:ser>
          <c:idx val="2"/>
          <c:order val="2"/>
          <c:tx>
            <c:strRef>
              <c:f>'Has0001'!$G$4</c:f>
              <c:strCache>
                <c:ptCount val="1"/>
                <c:pt idx="0">
                  <c:v>Pubmed abstracts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'Has0001'!$H$1:$AQ$1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'Has0001'!$H$4:$AQ$4</c:f>
              <c:numCache>
                <c:formatCode>General</c:formatCode>
                <c:ptCount val="36"/>
                <c:pt idx="0">
                  <c:v>39.091083229575716</c:v>
                </c:pt>
                <c:pt idx="1">
                  <c:v>38.901822973863389</c:v>
                </c:pt>
                <c:pt idx="2">
                  <c:v>38.860330743175929</c:v>
                </c:pt>
                <c:pt idx="3">
                  <c:v>39.74005947791607</c:v>
                </c:pt>
                <c:pt idx="4">
                  <c:v>39.972281377818341</c:v>
                </c:pt>
                <c:pt idx="5">
                  <c:v>39.99562308509973</c:v>
                </c:pt>
                <c:pt idx="6">
                  <c:v>40.430051210428303</c:v>
                </c:pt>
                <c:pt idx="7">
                  <c:v>41.201048664591184</c:v>
                </c:pt>
                <c:pt idx="8">
                  <c:v>41.089815078973984</c:v>
                </c:pt>
                <c:pt idx="9">
                  <c:v>41.642056964342373</c:v>
                </c:pt>
                <c:pt idx="10">
                  <c:v>41.583647828227186</c:v>
                </c:pt>
                <c:pt idx="11">
                  <c:v>41.71777806777154</c:v>
                </c:pt>
                <c:pt idx="12">
                  <c:v>41.777102330293822</c:v>
                </c:pt>
                <c:pt idx="13">
                  <c:v>41.631757430680231</c:v>
                </c:pt>
                <c:pt idx="14">
                  <c:v>41.910740334027174</c:v>
                </c:pt>
                <c:pt idx="15">
                  <c:v>42.014294256670176</c:v>
                </c:pt>
                <c:pt idx="16">
                  <c:v>42.107199642580255</c:v>
                </c:pt>
                <c:pt idx="17">
                  <c:v>42.923386613626015</c:v>
                </c:pt>
                <c:pt idx="18">
                  <c:v>42.835703960363261</c:v>
                </c:pt>
                <c:pt idx="19">
                  <c:v>42.810862118773471</c:v>
                </c:pt>
                <c:pt idx="20">
                  <c:v>43.227386165654281</c:v>
                </c:pt>
                <c:pt idx="21">
                  <c:v>43.938020484755036</c:v>
                </c:pt>
                <c:pt idx="22">
                  <c:v>44.229931210508298</c:v>
                </c:pt>
                <c:pt idx="23">
                  <c:v>44.737353455534681</c:v>
                </c:pt>
                <c:pt idx="24">
                  <c:v>45.368177505988982</c:v>
                </c:pt>
                <c:pt idx="25">
                  <c:v>45.816556269781707</c:v>
                </c:pt>
                <c:pt idx="26">
                  <c:v>46.220909612644043</c:v>
                </c:pt>
                <c:pt idx="27">
                  <c:v>46.137385385181986</c:v>
                </c:pt>
                <c:pt idx="28">
                  <c:v>46.33676409031591</c:v>
                </c:pt>
                <c:pt idx="29">
                  <c:v>46.909457167090757</c:v>
                </c:pt>
                <c:pt idx="30">
                  <c:v>47.332503294974451</c:v>
                </c:pt>
                <c:pt idx="31">
                  <c:v>48.13116279971689</c:v>
                </c:pt>
                <c:pt idx="32">
                  <c:v>48.160384061060022</c:v>
                </c:pt>
                <c:pt idx="33">
                  <c:v>48.572837679551199</c:v>
                </c:pt>
                <c:pt idx="34">
                  <c:v>48.628794501061456</c:v>
                </c:pt>
                <c:pt idx="35">
                  <c:v>49.52959268167659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4B-4090-8FC3-5AE53A869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068016"/>
        <c:axId val="1304074736"/>
      </c:lineChart>
      <c:catAx>
        <c:axId val="130406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Year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74736"/>
        <c:crosses val="autoZero"/>
        <c:auto val="1"/>
        <c:lblAlgn val="ctr"/>
        <c:lblOffset val="100"/>
        <c:tickMarkSkip val="1"/>
        <c:noMultiLvlLbl val="0"/>
      </c:catAx>
      <c:valAx>
        <c:axId val="1304074736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 Items With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≥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1 P Value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≤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.001,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6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965675209126392"/>
          <c:y val="0.50404786151394543"/>
          <c:w val="0.21289312020538523"/>
          <c:h val="0.2434696384278128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163285</xdr:colOff>
      <xdr:row>9</xdr:row>
      <xdr:rowOff>138793</xdr:rowOff>
    </xdr:from>
    <xdr:to>
      <xdr:col>19</xdr:col>
      <xdr:colOff>557893</xdr:colOff>
      <xdr:row>27</xdr:row>
      <xdr:rowOff>40822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077BDF8-6B13-9C0D-E1C4-3AA4BF75F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163285</xdr:colOff>
      <xdr:row>9</xdr:row>
      <xdr:rowOff>138793</xdr:rowOff>
    </xdr:from>
    <xdr:to>
      <xdr:col>19</xdr:col>
      <xdr:colOff>557893</xdr:colOff>
      <xdr:row>27</xdr:row>
      <xdr:rowOff>40822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D436716-43E0-4FF7-AD74-E408C70C5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163285</xdr:colOff>
      <xdr:row>9</xdr:row>
      <xdr:rowOff>138793</xdr:rowOff>
    </xdr:from>
    <xdr:to>
      <xdr:col>19</xdr:col>
      <xdr:colOff>557893</xdr:colOff>
      <xdr:row>27</xdr:row>
      <xdr:rowOff>40822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782C1E5-57F7-4E59-AD42-7CE7EA2BB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163285</xdr:colOff>
      <xdr:row>9</xdr:row>
      <xdr:rowOff>138793</xdr:rowOff>
    </xdr:from>
    <xdr:to>
      <xdr:col>19</xdr:col>
      <xdr:colOff>557893</xdr:colOff>
      <xdr:row>27</xdr:row>
      <xdr:rowOff>40822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1E2D160-2A5B-4622-89FE-FCCC68C4B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163285</xdr:colOff>
      <xdr:row>9</xdr:row>
      <xdr:rowOff>138793</xdr:rowOff>
    </xdr:from>
    <xdr:to>
      <xdr:col>19</xdr:col>
      <xdr:colOff>557893</xdr:colOff>
      <xdr:row>27</xdr:row>
      <xdr:rowOff>40822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7C2DC22-B543-41B0-968C-D23FCBC38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163285</xdr:colOff>
      <xdr:row>9</xdr:row>
      <xdr:rowOff>138793</xdr:rowOff>
    </xdr:from>
    <xdr:to>
      <xdr:col>19</xdr:col>
      <xdr:colOff>557893</xdr:colOff>
      <xdr:row>27</xdr:row>
      <xdr:rowOff>40822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D5057C7-48CC-42A8-99EB-5A5150736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hoijinhyeok/Documents/ResearchJamaPvalue/OrganizedCodeStructure/Step4_text_analysis/Figure3/PMCbody.xlsx" TargetMode="External"/><Relationship Id="rId1" Type="http://schemas.openxmlformats.org/officeDocument/2006/relationships/externalLinkPath" Target="PMCbod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hoijinhyeok/Documents/ResearchJamaPvalue/OrganizedCodeStructure/Step4_text_analysis/Figure3/PMCabs.xlsx" TargetMode="External"/><Relationship Id="rId1" Type="http://schemas.openxmlformats.org/officeDocument/2006/relationships/externalLinkPath" Target="PMCab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hoijinhyeok/Documents/ResearchJamaPvalue/OrganizedCodeStructure/Step4_text_analysis/Figure3/PubmedAbs.xlsx" TargetMode="External"/><Relationship Id="rId1" Type="http://schemas.openxmlformats.org/officeDocument/2006/relationships/externalLinkPath" Target="PubmedAb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T"/>
      <sheetName val="CT"/>
      <sheetName val="META"/>
      <sheetName val="REVIEW"/>
      <sheetName val="CCJ"/>
      <sheetName val="ALL"/>
      <sheetName val="OBS"/>
      <sheetName val="SYS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>
            <v>230</v>
          </cell>
          <cell r="C2">
            <v>12</v>
          </cell>
          <cell r="D2">
            <v>11</v>
          </cell>
          <cell r="E2">
            <v>8</v>
          </cell>
          <cell r="F2">
            <v>4</v>
          </cell>
          <cell r="G2">
            <v>3</v>
          </cell>
        </row>
        <row r="3">
          <cell r="B3">
            <v>247</v>
          </cell>
          <cell r="C3">
            <v>11</v>
          </cell>
          <cell r="D3">
            <v>11</v>
          </cell>
          <cell r="E3">
            <v>9</v>
          </cell>
          <cell r="F3">
            <v>8</v>
          </cell>
          <cell r="G3">
            <v>7</v>
          </cell>
        </row>
        <row r="4">
          <cell r="B4">
            <v>223</v>
          </cell>
          <cell r="C4">
            <v>14</v>
          </cell>
          <cell r="D4">
            <v>12</v>
          </cell>
          <cell r="E4">
            <v>8</v>
          </cell>
          <cell r="F4">
            <v>6</v>
          </cell>
          <cell r="G4">
            <v>4</v>
          </cell>
        </row>
        <row r="5">
          <cell r="B5">
            <v>218</v>
          </cell>
          <cell r="C5">
            <v>16</v>
          </cell>
          <cell r="D5">
            <v>16</v>
          </cell>
          <cell r="E5">
            <v>13</v>
          </cell>
          <cell r="F5">
            <v>9</v>
          </cell>
          <cell r="G5">
            <v>8</v>
          </cell>
        </row>
        <row r="6">
          <cell r="B6">
            <v>324</v>
          </cell>
          <cell r="C6">
            <v>34</v>
          </cell>
          <cell r="D6">
            <v>30</v>
          </cell>
          <cell r="E6">
            <v>19</v>
          </cell>
          <cell r="F6">
            <v>14</v>
          </cell>
          <cell r="G6">
            <v>13</v>
          </cell>
        </row>
        <row r="7">
          <cell r="B7">
            <v>315</v>
          </cell>
          <cell r="C7">
            <v>32</v>
          </cell>
          <cell r="D7">
            <v>28</v>
          </cell>
          <cell r="E7">
            <v>18</v>
          </cell>
          <cell r="F7">
            <v>12</v>
          </cell>
          <cell r="G7">
            <v>11</v>
          </cell>
        </row>
        <row r="8">
          <cell r="B8">
            <v>366</v>
          </cell>
          <cell r="C8">
            <v>43</v>
          </cell>
          <cell r="D8">
            <v>40</v>
          </cell>
          <cell r="E8">
            <v>29</v>
          </cell>
          <cell r="F8">
            <v>18</v>
          </cell>
          <cell r="G8">
            <v>16</v>
          </cell>
        </row>
        <row r="9">
          <cell r="B9">
            <v>1647</v>
          </cell>
          <cell r="C9">
            <v>292</v>
          </cell>
          <cell r="D9">
            <v>274</v>
          </cell>
          <cell r="E9">
            <v>195</v>
          </cell>
          <cell r="F9">
            <v>133</v>
          </cell>
          <cell r="G9">
            <v>104</v>
          </cell>
        </row>
        <row r="10">
          <cell r="B10">
            <v>1753</v>
          </cell>
          <cell r="C10">
            <v>359</v>
          </cell>
          <cell r="D10">
            <v>342</v>
          </cell>
          <cell r="E10">
            <v>241</v>
          </cell>
          <cell r="F10">
            <v>169</v>
          </cell>
          <cell r="G10">
            <v>139</v>
          </cell>
        </row>
        <row r="11">
          <cell r="B11">
            <v>1940</v>
          </cell>
          <cell r="C11">
            <v>405</v>
          </cell>
          <cell r="D11">
            <v>380</v>
          </cell>
          <cell r="E11">
            <v>262</v>
          </cell>
          <cell r="F11">
            <v>196</v>
          </cell>
          <cell r="G11">
            <v>161</v>
          </cell>
        </row>
        <row r="12">
          <cell r="B12">
            <v>2698</v>
          </cell>
          <cell r="C12">
            <v>542</v>
          </cell>
          <cell r="D12">
            <v>513</v>
          </cell>
          <cell r="E12">
            <v>337</v>
          </cell>
          <cell r="F12">
            <v>245</v>
          </cell>
          <cell r="G12">
            <v>203</v>
          </cell>
        </row>
        <row r="13">
          <cell r="B13">
            <v>3733</v>
          </cell>
          <cell r="C13">
            <v>978</v>
          </cell>
          <cell r="D13">
            <v>930</v>
          </cell>
          <cell r="E13">
            <v>655</v>
          </cell>
          <cell r="F13">
            <v>512</v>
          </cell>
          <cell r="G13">
            <v>439</v>
          </cell>
        </row>
        <row r="14">
          <cell r="B14">
            <v>5091</v>
          </cell>
          <cell r="C14">
            <v>1658</v>
          </cell>
          <cell r="D14">
            <v>1572</v>
          </cell>
          <cell r="E14">
            <v>1142</v>
          </cell>
          <cell r="F14">
            <v>890</v>
          </cell>
          <cell r="G14">
            <v>786</v>
          </cell>
        </row>
        <row r="15">
          <cell r="B15">
            <v>7005</v>
          </cell>
          <cell r="C15">
            <v>2305</v>
          </cell>
          <cell r="D15">
            <v>2186</v>
          </cell>
          <cell r="E15">
            <v>1638</v>
          </cell>
          <cell r="F15">
            <v>1325</v>
          </cell>
          <cell r="G15">
            <v>1153</v>
          </cell>
        </row>
        <row r="16">
          <cell r="B16">
            <v>10246</v>
          </cell>
          <cell r="C16">
            <v>3427</v>
          </cell>
          <cell r="D16">
            <v>3243</v>
          </cell>
          <cell r="E16">
            <v>2456</v>
          </cell>
          <cell r="F16">
            <v>2026</v>
          </cell>
          <cell r="G16">
            <v>1777</v>
          </cell>
        </row>
        <row r="17">
          <cell r="B17">
            <v>15662</v>
          </cell>
          <cell r="C17">
            <v>5408</v>
          </cell>
          <cell r="D17">
            <v>5166</v>
          </cell>
          <cell r="E17">
            <v>3825</v>
          </cell>
          <cell r="F17">
            <v>3083</v>
          </cell>
          <cell r="G17">
            <v>2716</v>
          </cell>
        </row>
        <row r="18">
          <cell r="B18">
            <v>20055</v>
          </cell>
          <cell r="C18">
            <v>7289</v>
          </cell>
          <cell r="D18">
            <v>6894</v>
          </cell>
          <cell r="E18">
            <v>5220</v>
          </cell>
          <cell r="F18">
            <v>4255</v>
          </cell>
          <cell r="G18">
            <v>3808</v>
          </cell>
        </row>
        <row r="19">
          <cell r="B19">
            <v>27529</v>
          </cell>
          <cell r="C19">
            <v>10786</v>
          </cell>
          <cell r="D19">
            <v>10274</v>
          </cell>
          <cell r="E19">
            <v>7760</v>
          </cell>
          <cell r="F19">
            <v>6384</v>
          </cell>
          <cell r="G19">
            <v>5673</v>
          </cell>
        </row>
        <row r="20">
          <cell r="B20">
            <v>43398</v>
          </cell>
          <cell r="C20">
            <v>16522</v>
          </cell>
          <cell r="D20">
            <v>15779</v>
          </cell>
          <cell r="E20">
            <v>11984</v>
          </cell>
          <cell r="F20">
            <v>9806</v>
          </cell>
          <cell r="G20">
            <v>8756</v>
          </cell>
        </row>
        <row r="21">
          <cell r="B21">
            <v>58835</v>
          </cell>
          <cell r="C21">
            <v>23047</v>
          </cell>
          <cell r="D21">
            <v>22047</v>
          </cell>
          <cell r="E21">
            <v>16746</v>
          </cell>
          <cell r="F21">
            <v>13751</v>
          </cell>
          <cell r="G21">
            <v>12251</v>
          </cell>
        </row>
        <row r="22">
          <cell r="B22">
            <v>80146</v>
          </cell>
          <cell r="C22">
            <v>33387</v>
          </cell>
          <cell r="D22">
            <v>31989</v>
          </cell>
          <cell r="E22">
            <v>23952</v>
          </cell>
          <cell r="F22">
            <v>19683</v>
          </cell>
          <cell r="G22">
            <v>17636</v>
          </cell>
        </row>
        <row r="23">
          <cell r="B23">
            <v>109511</v>
          </cell>
          <cell r="C23">
            <v>47414</v>
          </cell>
          <cell r="D23">
            <v>45531</v>
          </cell>
          <cell r="E23">
            <v>33719</v>
          </cell>
          <cell r="F23">
            <v>27633</v>
          </cell>
          <cell r="G23">
            <v>24656</v>
          </cell>
        </row>
        <row r="24">
          <cell r="B24">
            <v>146163</v>
          </cell>
          <cell r="C24">
            <v>67238</v>
          </cell>
          <cell r="D24">
            <v>64759</v>
          </cell>
          <cell r="E24">
            <v>47404</v>
          </cell>
          <cell r="F24">
            <v>38491</v>
          </cell>
          <cell r="G24">
            <v>34489</v>
          </cell>
        </row>
        <row r="25">
          <cell r="B25">
            <v>184796</v>
          </cell>
          <cell r="C25">
            <v>88843</v>
          </cell>
          <cell r="D25">
            <v>85547</v>
          </cell>
          <cell r="E25">
            <v>62412</v>
          </cell>
          <cell r="F25">
            <v>50916</v>
          </cell>
          <cell r="G25">
            <v>45819</v>
          </cell>
        </row>
        <row r="26">
          <cell r="B26">
            <v>221453</v>
          </cell>
          <cell r="C26">
            <v>106587</v>
          </cell>
          <cell r="D26">
            <v>102694</v>
          </cell>
          <cell r="E26">
            <v>74194</v>
          </cell>
          <cell r="F26">
            <v>60611</v>
          </cell>
          <cell r="G26">
            <v>54625</v>
          </cell>
        </row>
        <row r="27">
          <cell r="B27">
            <v>252039</v>
          </cell>
          <cell r="C27">
            <v>123219</v>
          </cell>
          <cell r="D27">
            <v>118816</v>
          </cell>
          <cell r="E27">
            <v>85973</v>
          </cell>
          <cell r="F27">
            <v>70594</v>
          </cell>
          <cell r="G27">
            <v>63558</v>
          </cell>
        </row>
        <row r="28">
          <cell r="B28">
            <v>274180</v>
          </cell>
          <cell r="C28">
            <v>138200</v>
          </cell>
          <cell r="D28">
            <v>133587</v>
          </cell>
          <cell r="E28">
            <v>96091</v>
          </cell>
          <cell r="F28">
            <v>79501</v>
          </cell>
          <cell r="G28">
            <v>71747</v>
          </cell>
        </row>
        <row r="29">
          <cell r="B29">
            <v>306531</v>
          </cell>
          <cell r="C29">
            <v>157356</v>
          </cell>
          <cell r="D29">
            <v>151878</v>
          </cell>
          <cell r="E29">
            <v>108458</v>
          </cell>
          <cell r="F29">
            <v>89695</v>
          </cell>
          <cell r="G29">
            <v>81264</v>
          </cell>
        </row>
        <row r="30">
          <cell r="B30">
            <v>339348</v>
          </cell>
          <cell r="C30">
            <v>170166</v>
          </cell>
          <cell r="D30">
            <v>164142</v>
          </cell>
          <cell r="E30">
            <v>117197</v>
          </cell>
          <cell r="F30">
            <v>97487</v>
          </cell>
          <cell r="G30">
            <v>88563</v>
          </cell>
        </row>
        <row r="31">
          <cell r="B31">
            <v>390414</v>
          </cell>
          <cell r="C31">
            <v>198433</v>
          </cell>
          <cell r="D31">
            <v>191429</v>
          </cell>
          <cell r="E31">
            <v>135657</v>
          </cell>
          <cell r="F31">
            <v>113467</v>
          </cell>
          <cell r="G31">
            <v>103282</v>
          </cell>
        </row>
        <row r="32">
          <cell r="B32">
            <v>542079</v>
          </cell>
          <cell r="C32">
            <v>259936</v>
          </cell>
          <cell r="D32">
            <v>250823</v>
          </cell>
          <cell r="E32">
            <v>178735</v>
          </cell>
          <cell r="F32">
            <v>150931</v>
          </cell>
          <cell r="G32">
            <v>137601</v>
          </cell>
        </row>
        <row r="33">
          <cell r="B33">
            <v>677988</v>
          </cell>
          <cell r="C33">
            <v>335807</v>
          </cell>
          <cell r="D33">
            <v>324437</v>
          </cell>
          <cell r="E33">
            <v>234367</v>
          </cell>
          <cell r="F33">
            <v>199655</v>
          </cell>
          <cell r="G33">
            <v>182645</v>
          </cell>
        </row>
        <row r="34">
          <cell r="B34">
            <v>769707</v>
          </cell>
          <cell r="C34">
            <v>384088</v>
          </cell>
          <cell r="D34">
            <v>371382</v>
          </cell>
          <cell r="E34">
            <v>267169</v>
          </cell>
          <cell r="F34">
            <v>227763</v>
          </cell>
          <cell r="G34">
            <v>209126</v>
          </cell>
        </row>
        <row r="35">
          <cell r="B35">
            <v>693210</v>
          </cell>
          <cell r="C35">
            <v>342239</v>
          </cell>
          <cell r="D35">
            <v>330819</v>
          </cell>
          <cell r="E35">
            <v>239044</v>
          </cell>
          <cell r="F35">
            <v>205617</v>
          </cell>
          <cell r="G35">
            <v>189049</v>
          </cell>
        </row>
        <row r="36">
          <cell r="B36">
            <v>683803</v>
          </cell>
          <cell r="C36">
            <v>348872</v>
          </cell>
          <cell r="D36">
            <v>337493</v>
          </cell>
          <cell r="E36">
            <v>243814</v>
          </cell>
          <cell r="F36">
            <v>210507</v>
          </cell>
          <cell r="G36">
            <v>193720</v>
          </cell>
        </row>
        <row r="37">
          <cell r="B37">
            <v>524904</v>
          </cell>
          <cell r="C37">
            <v>279865</v>
          </cell>
          <cell r="D37">
            <v>271084</v>
          </cell>
          <cell r="E37">
            <v>200342</v>
          </cell>
          <cell r="F37">
            <v>174692</v>
          </cell>
          <cell r="G37">
            <v>161805</v>
          </cell>
        </row>
        <row r="38">
          <cell r="B38">
            <v>6397787</v>
          </cell>
          <cell r="D38">
            <v>3046158</v>
          </cell>
        </row>
      </sheetData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T"/>
      <sheetName val="CT"/>
      <sheetName val="META"/>
      <sheetName val="REVIEW"/>
      <sheetName val="CCJ"/>
      <sheetName val="ALL"/>
      <sheetName val="OBS"/>
      <sheetName val="SYS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>
            <v>2340</v>
          </cell>
          <cell r="C2">
            <v>90</v>
          </cell>
          <cell r="D2">
            <v>86</v>
          </cell>
          <cell r="E2">
            <v>66</v>
          </cell>
          <cell r="F2">
            <v>54</v>
          </cell>
          <cell r="G2">
            <v>47</v>
          </cell>
        </row>
        <row r="3">
          <cell r="B3">
            <v>2408</v>
          </cell>
          <cell r="C3">
            <v>139</v>
          </cell>
          <cell r="D3">
            <v>135</v>
          </cell>
          <cell r="E3">
            <v>104</v>
          </cell>
          <cell r="F3">
            <v>78</v>
          </cell>
          <cell r="G3">
            <v>66</v>
          </cell>
        </row>
        <row r="4">
          <cell r="B4">
            <v>2444</v>
          </cell>
          <cell r="C4">
            <v>143</v>
          </cell>
          <cell r="D4">
            <v>138</v>
          </cell>
          <cell r="E4">
            <v>103</v>
          </cell>
          <cell r="F4">
            <v>74</v>
          </cell>
          <cell r="G4">
            <v>51</v>
          </cell>
        </row>
        <row r="5">
          <cell r="B5">
            <v>2815</v>
          </cell>
          <cell r="C5">
            <v>198</v>
          </cell>
          <cell r="D5">
            <v>188</v>
          </cell>
          <cell r="E5">
            <v>136</v>
          </cell>
          <cell r="F5">
            <v>98</v>
          </cell>
          <cell r="G5">
            <v>70</v>
          </cell>
        </row>
        <row r="6">
          <cell r="B6">
            <v>3102</v>
          </cell>
          <cell r="C6">
            <v>230</v>
          </cell>
          <cell r="D6">
            <v>219</v>
          </cell>
          <cell r="E6">
            <v>157</v>
          </cell>
          <cell r="F6">
            <v>118</v>
          </cell>
          <cell r="G6">
            <v>91</v>
          </cell>
        </row>
        <row r="7">
          <cell r="B7">
            <v>2947</v>
          </cell>
          <cell r="C7">
            <v>224</v>
          </cell>
          <cell r="D7">
            <v>213</v>
          </cell>
          <cell r="E7">
            <v>155</v>
          </cell>
          <cell r="F7">
            <v>106</v>
          </cell>
          <cell r="G7">
            <v>79</v>
          </cell>
        </row>
        <row r="8">
          <cell r="B8">
            <v>3102</v>
          </cell>
          <cell r="C8">
            <v>271</v>
          </cell>
          <cell r="D8">
            <v>255</v>
          </cell>
          <cell r="E8">
            <v>186</v>
          </cell>
          <cell r="F8">
            <v>134</v>
          </cell>
          <cell r="G8">
            <v>108</v>
          </cell>
        </row>
        <row r="9">
          <cell r="B9">
            <v>3244</v>
          </cell>
          <cell r="C9">
            <v>292</v>
          </cell>
          <cell r="D9">
            <v>272</v>
          </cell>
          <cell r="E9">
            <v>196</v>
          </cell>
          <cell r="F9">
            <v>144</v>
          </cell>
          <cell r="G9">
            <v>115</v>
          </cell>
        </row>
        <row r="10">
          <cell r="B10">
            <v>3421</v>
          </cell>
          <cell r="C10">
            <v>328</v>
          </cell>
          <cell r="D10">
            <v>309</v>
          </cell>
          <cell r="E10">
            <v>232</v>
          </cell>
          <cell r="F10">
            <v>185</v>
          </cell>
          <cell r="G10">
            <v>148</v>
          </cell>
        </row>
        <row r="11">
          <cell r="B11">
            <v>3516</v>
          </cell>
          <cell r="C11">
            <v>364</v>
          </cell>
          <cell r="D11">
            <v>351</v>
          </cell>
          <cell r="E11">
            <v>270</v>
          </cell>
          <cell r="F11">
            <v>203</v>
          </cell>
          <cell r="G11">
            <v>162</v>
          </cell>
        </row>
        <row r="12">
          <cell r="B12">
            <v>3833</v>
          </cell>
          <cell r="C12">
            <v>354</v>
          </cell>
          <cell r="D12">
            <v>331</v>
          </cell>
          <cell r="E12">
            <v>233</v>
          </cell>
          <cell r="F12">
            <v>175</v>
          </cell>
          <cell r="G12">
            <v>147</v>
          </cell>
        </row>
        <row r="13">
          <cell r="B13">
            <v>4861</v>
          </cell>
          <cell r="C13">
            <v>449</v>
          </cell>
          <cell r="D13">
            <v>419</v>
          </cell>
          <cell r="E13">
            <v>314</v>
          </cell>
          <cell r="F13">
            <v>219</v>
          </cell>
          <cell r="G13">
            <v>180</v>
          </cell>
        </row>
        <row r="14">
          <cell r="B14">
            <v>5456</v>
          </cell>
          <cell r="C14">
            <v>538</v>
          </cell>
          <cell r="D14">
            <v>508</v>
          </cell>
          <cell r="E14">
            <v>373</v>
          </cell>
          <cell r="F14">
            <v>286</v>
          </cell>
          <cell r="G14">
            <v>235</v>
          </cell>
        </row>
        <row r="15">
          <cell r="B15">
            <v>6348</v>
          </cell>
          <cell r="C15">
            <v>663</v>
          </cell>
          <cell r="D15">
            <v>628</v>
          </cell>
          <cell r="E15">
            <v>451</v>
          </cell>
          <cell r="F15">
            <v>348</v>
          </cell>
          <cell r="G15">
            <v>286</v>
          </cell>
        </row>
        <row r="16">
          <cell r="B16">
            <v>8615</v>
          </cell>
          <cell r="C16">
            <v>936</v>
          </cell>
          <cell r="D16">
            <v>871</v>
          </cell>
          <cell r="E16">
            <v>646</v>
          </cell>
          <cell r="F16">
            <v>507</v>
          </cell>
          <cell r="G16">
            <v>442</v>
          </cell>
        </row>
        <row r="17">
          <cell r="B17">
            <v>13145</v>
          </cell>
          <cell r="C17">
            <v>1374</v>
          </cell>
          <cell r="D17">
            <v>1287</v>
          </cell>
          <cell r="E17">
            <v>943</v>
          </cell>
          <cell r="F17">
            <v>727</v>
          </cell>
          <cell r="G17">
            <v>604</v>
          </cell>
        </row>
        <row r="18">
          <cell r="B18">
            <v>17503</v>
          </cell>
          <cell r="C18">
            <v>1978</v>
          </cell>
          <cell r="D18">
            <v>1855</v>
          </cell>
          <cell r="E18">
            <v>1357</v>
          </cell>
          <cell r="F18">
            <v>1088</v>
          </cell>
          <cell r="G18">
            <v>931</v>
          </cell>
        </row>
        <row r="19">
          <cell r="B19">
            <v>24455</v>
          </cell>
          <cell r="C19">
            <v>2682</v>
          </cell>
          <cell r="D19">
            <v>2513</v>
          </cell>
          <cell r="E19">
            <v>1779</v>
          </cell>
          <cell r="F19">
            <v>1398</v>
          </cell>
          <cell r="G19">
            <v>1181</v>
          </cell>
        </row>
        <row r="20">
          <cell r="B20">
            <v>38979</v>
          </cell>
          <cell r="C20">
            <v>4055</v>
          </cell>
          <cell r="D20">
            <v>3815</v>
          </cell>
          <cell r="E20">
            <v>2745</v>
          </cell>
          <cell r="F20">
            <v>2140</v>
          </cell>
          <cell r="G20">
            <v>1801</v>
          </cell>
        </row>
        <row r="21">
          <cell r="B21">
            <v>52975</v>
          </cell>
          <cell r="C21">
            <v>5604</v>
          </cell>
          <cell r="D21">
            <v>5274</v>
          </cell>
          <cell r="E21">
            <v>3798</v>
          </cell>
          <cell r="F21">
            <v>3003</v>
          </cell>
          <cell r="G21">
            <v>2514</v>
          </cell>
        </row>
        <row r="22">
          <cell r="B22">
            <v>71976</v>
          </cell>
          <cell r="C22">
            <v>8241</v>
          </cell>
          <cell r="D22">
            <v>7739</v>
          </cell>
          <cell r="E22">
            <v>5536</v>
          </cell>
          <cell r="F22">
            <v>4376</v>
          </cell>
          <cell r="G22">
            <v>3651</v>
          </cell>
        </row>
        <row r="23">
          <cell r="B23">
            <v>98163</v>
          </cell>
          <cell r="C23">
            <v>11843</v>
          </cell>
          <cell r="D23">
            <v>11140</v>
          </cell>
          <cell r="E23">
            <v>7969</v>
          </cell>
          <cell r="F23">
            <v>6336</v>
          </cell>
          <cell r="G23">
            <v>5273</v>
          </cell>
        </row>
        <row r="24">
          <cell r="B24">
            <v>132750</v>
          </cell>
          <cell r="C24">
            <v>17471</v>
          </cell>
          <cell r="D24">
            <v>16487</v>
          </cell>
          <cell r="E24">
            <v>11501</v>
          </cell>
          <cell r="F24">
            <v>9000</v>
          </cell>
          <cell r="G24">
            <v>7497</v>
          </cell>
        </row>
        <row r="25">
          <cell r="B25">
            <v>165606</v>
          </cell>
          <cell r="C25">
            <v>23618</v>
          </cell>
          <cell r="D25">
            <v>22199</v>
          </cell>
          <cell r="E25">
            <v>15674</v>
          </cell>
          <cell r="F25">
            <v>12333</v>
          </cell>
          <cell r="G25">
            <v>10394</v>
          </cell>
        </row>
        <row r="26">
          <cell r="B26">
            <v>199504</v>
          </cell>
          <cell r="C26">
            <v>29512</v>
          </cell>
          <cell r="D26">
            <v>27799</v>
          </cell>
          <cell r="E26">
            <v>19404</v>
          </cell>
          <cell r="F26">
            <v>15477</v>
          </cell>
          <cell r="G26">
            <v>13134</v>
          </cell>
        </row>
        <row r="27">
          <cell r="B27">
            <v>224992</v>
          </cell>
          <cell r="C27">
            <v>34265</v>
          </cell>
          <cell r="D27">
            <v>32189</v>
          </cell>
          <cell r="E27">
            <v>22659</v>
          </cell>
          <cell r="F27">
            <v>18124</v>
          </cell>
          <cell r="G27">
            <v>15351</v>
          </cell>
        </row>
        <row r="28">
          <cell r="B28">
            <v>254848</v>
          </cell>
          <cell r="C28">
            <v>39710</v>
          </cell>
          <cell r="D28">
            <v>37400</v>
          </cell>
          <cell r="E28">
            <v>26562</v>
          </cell>
          <cell r="F28">
            <v>21447</v>
          </cell>
          <cell r="G28">
            <v>18185</v>
          </cell>
        </row>
        <row r="29">
          <cell r="B29">
            <v>288944</v>
          </cell>
          <cell r="C29">
            <v>45295</v>
          </cell>
          <cell r="D29">
            <v>42494</v>
          </cell>
          <cell r="E29">
            <v>30428</v>
          </cell>
          <cell r="F29">
            <v>24438</v>
          </cell>
          <cell r="G29">
            <v>20664</v>
          </cell>
        </row>
        <row r="30">
          <cell r="B30">
            <v>321135</v>
          </cell>
          <cell r="C30">
            <v>50687</v>
          </cell>
          <cell r="D30">
            <v>47609</v>
          </cell>
          <cell r="E30">
            <v>33743</v>
          </cell>
          <cell r="F30">
            <v>27153</v>
          </cell>
          <cell r="G30">
            <v>23029</v>
          </cell>
        </row>
        <row r="31">
          <cell r="B31">
            <v>376411</v>
          </cell>
          <cell r="C31">
            <v>60196</v>
          </cell>
          <cell r="D31">
            <v>56622</v>
          </cell>
          <cell r="E31">
            <v>40347</v>
          </cell>
          <cell r="F31">
            <v>32680</v>
          </cell>
          <cell r="G31">
            <v>27956</v>
          </cell>
        </row>
        <row r="32">
          <cell r="B32">
            <v>503238</v>
          </cell>
          <cell r="C32">
            <v>79539</v>
          </cell>
          <cell r="D32">
            <v>74988</v>
          </cell>
          <cell r="E32">
            <v>53761</v>
          </cell>
          <cell r="F32">
            <v>43796</v>
          </cell>
          <cell r="G32">
            <v>37477</v>
          </cell>
        </row>
        <row r="33">
          <cell r="B33">
            <v>636841</v>
          </cell>
          <cell r="C33">
            <v>105271</v>
          </cell>
          <cell r="D33">
            <v>99373</v>
          </cell>
          <cell r="E33">
            <v>71585</v>
          </cell>
          <cell r="F33">
            <v>59014</v>
          </cell>
          <cell r="G33">
            <v>50666</v>
          </cell>
        </row>
        <row r="34">
          <cell r="B34">
            <v>728254</v>
          </cell>
          <cell r="C34">
            <v>122606</v>
          </cell>
          <cell r="D34">
            <v>115643</v>
          </cell>
          <cell r="E34">
            <v>82038</v>
          </cell>
          <cell r="F34">
            <v>67429</v>
          </cell>
          <cell r="G34">
            <v>58052</v>
          </cell>
        </row>
        <row r="35">
          <cell r="B35">
            <v>653607</v>
          </cell>
          <cell r="C35">
            <v>109684</v>
          </cell>
          <cell r="D35">
            <v>103374</v>
          </cell>
          <cell r="E35">
            <v>73914</v>
          </cell>
          <cell r="F35">
            <v>61168</v>
          </cell>
          <cell r="G35">
            <v>52800</v>
          </cell>
        </row>
        <row r="36">
          <cell r="B36">
            <v>656318</v>
          </cell>
          <cell r="C36">
            <v>115246</v>
          </cell>
          <cell r="D36">
            <v>108679</v>
          </cell>
          <cell r="E36">
            <v>77496</v>
          </cell>
          <cell r="F36">
            <v>64410</v>
          </cell>
          <cell r="G36">
            <v>55618</v>
          </cell>
        </row>
        <row r="37">
          <cell r="B37">
            <v>513363</v>
          </cell>
          <cell r="C37">
            <v>99906</v>
          </cell>
          <cell r="D37">
            <v>94665</v>
          </cell>
          <cell r="E37">
            <v>68293</v>
          </cell>
          <cell r="F37">
            <v>56914</v>
          </cell>
          <cell r="G37">
            <v>49446</v>
          </cell>
        </row>
        <row r="38">
          <cell r="D38">
            <v>918067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T"/>
      <sheetName val="CT"/>
      <sheetName val="META"/>
      <sheetName val="REVIEW"/>
      <sheetName val="CCJ"/>
      <sheetName val="ALL"/>
      <sheetName val="OBS"/>
      <sheetName val="SYSREV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>
            <v>278716</v>
          </cell>
          <cell r="C2">
            <v>20882</v>
          </cell>
          <cell r="D2">
            <v>20465</v>
          </cell>
          <cell r="E2">
            <v>14811</v>
          </cell>
          <cell r="F2">
            <v>9688</v>
          </cell>
          <cell r="G2">
            <v>8163</v>
          </cell>
        </row>
        <row r="3">
          <cell r="B3">
            <v>281501</v>
          </cell>
          <cell r="C3">
            <v>22765</v>
          </cell>
          <cell r="D3">
            <v>22305</v>
          </cell>
          <cell r="E3">
            <v>16102</v>
          </cell>
          <cell r="F3">
            <v>10510</v>
          </cell>
          <cell r="G3">
            <v>8856</v>
          </cell>
        </row>
        <row r="4">
          <cell r="B4">
            <v>287106</v>
          </cell>
          <cell r="C4">
            <v>25095</v>
          </cell>
          <cell r="D4">
            <v>24478</v>
          </cell>
          <cell r="E4">
            <v>17783</v>
          </cell>
          <cell r="F4">
            <v>11768</v>
          </cell>
          <cell r="G4">
            <v>9752</v>
          </cell>
        </row>
        <row r="5">
          <cell r="B5">
            <v>292438</v>
          </cell>
          <cell r="C5">
            <v>27237</v>
          </cell>
          <cell r="D5">
            <v>26255</v>
          </cell>
          <cell r="E5">
            <v>18947</v>
          </cell>
          <cell r="F5">
            <v>12914</v>
          </cell>
          <cell r="G5">
            <v>10824</v>
          </cell>
        </row>
        <row r="6">
          <cell r="B6">
            <v>300383</v>
          </cell>
          <cell r="C6">
            <v>29583</v>
          </cell>
          <cell r="D6">
            <v>28446</v>
          </cell>
          <cell r="E6">
            <v>20594</v>
          </cell>
          <cell r="F6">
            <v>14149</v>
          </cell>
          <cell r="G6">
            <v>11825</v>
          </cell>
        </row>
        <row r="7">
          <cell r="B7">
            <v>309682</v>
          </cell>
          <cell r="C7">
            <v>31986</v>
          </cell>
          <cell r="D7">
            <v>30706</v>
          </cell>
          <cell r="E7">
            <v>22115</v>
          </cell>
          <cell r="F7">
            <v>15304</v>
          </cell>
          <cell r="G7">
            <v>12793</v>
          </cell>
        </row>
        <row r="8">
          <cell r="B8">
            <v>315735</v>
          </cell>
          <cell r="C8">
            <v>34368</v>
          </cell>
          <cell r="D8">
            <v>32990</v>
          </cell>
          <cell r="E8">
            <v>23823</v>
          </cell>
          <cell r="F8">
            <v>16698</v>
          </cell>
          <cell r="G8">
            <v>13895</v>
          </cell>
        </row>
        <row r="9">
          <cell r="B9">
            <v>324663</v>
          </cell>
          <cell r="C9">
            <v>36618</v>
          </cell>
          <cell r="D9">
            <v>35101</v>
          </cell>
          <cell r="E9">
            <v>25173</v>
          </cell>
          <cell r="F9">
            <v>18054</v>
          </cell>
          <cell r="G9">
            <v>15087</v>
          </cell>
        </row>
        <row r="10">
          <cell r="B10">
            <v>340071</v>
          </cell>
          <cell r="C10">
            <v>38557</v>
          </cell>
          <cell r="D10">
            <v>36850</v>
          </cell>
          <cell r="E10">
            <v>26421</v>
          </cell>
          <cell r="F10">
            <v>18937</v>
          </cell>
          <cell r="G10">
            <v>15843</v>
          </cell>
        </row>
        <row r="11">
          <cell r="B11">
            <v>349352</v>
          </cell>
          <cell r="C11">
            <v>40973</v>
          </cell>
          <cell r="D11">
            <v>39173</v>
          </cell>
          <cell r="E11">
            <v>28125</v>
          </cell>
          <cell r="F11">
            <v>20395</v>
          </cell>
          <cell r="G11">
            <v>17062</v>
          </cell>
        </row>
        <row r="12">
          <cell r="B12">
            <v>376786</v>
          </cell>
          <cell r="C12">
            <v>42661</v>
          </cell>
          <cell r="D12">
            <v>40651</v>
          </cell>
          <cell r="E12">
            <v>29171</v>
          </cell>
          <cell r="F12">
            <v>21297</v>
          </cell>
          <cell r="G12">
            <v>17740</v>
          </cell>
        </row>
        <row r="13">
          <cell r="B13">
            <v>396538</v>
          </cell>
          <cell r="C13">
            <v>45978</v>
          </cell>
          <cell r="D13">
            <v>43864</v>
          </cell>
          <cell r="E13">
            <v>31557</v>
          </cell>
          <cell r="F13">
            <v>22996</v>
          </cell>
          <cell r="G13">
            <v>19181</v>
          </cell>
        </row>
        <row r="14">
          <cell r="B14">
            <v>416028</v>
          </cell>
          <cell r="C14">
            <v>49350</v>
          </cell>
          <cell r="D14">
            <v>46908</v>
          </cell>
          <cell r="E14">
            <v>33740</v>
          </cell>
          <cell r="F14">
            <v>24643</v>
          </cell>
          <cell r="G14">
            <v>20617</v>
          </cell>
        </row>
        <row r="15">
          <cell r="B15">
            <v>445521</v>
          </cell>
          <cell r="C15">
            <v>55143</v>
          </cell>
          <cell r="D15">
            <v>52333</v>
          </cell>
          <cell r="E15">
            <v>37473</v>
          </cell>
          <cell r="F15">
            <v>27443</v>
          </cell>
          <cell r="G15">
            <v>22957</v>
          </cell>
        </row>
        <row r="16">
          <cell r="B16">
            <v>481295</v>
          </cell>
          <cell r="C16">
            <v>61013</v>
          </cell>
          <cell r="D16">
            <v>57741</v>
          </cell>
          <cell r="E16">
            <v>41346</v>
          </cell>
          <cell r="F16">
            <v>30528</v>
          </cell>
          <cell r="G16">
            <v>25571</v>
          </cell>
        </row>
        <row r="17">
          <cell r="B17">
            <v>536057</v>
          </cell>
          <cell r="C17">
            <v>70238</v>
          </cell>
          <cell r="D17">
            <v>66427</v>
          </cell>
          <cell r="E17">
            <v>47556</v>
          </cell>
          <cell r="F17">
            <v>35224</v>
          </cell>
          <cell r="G17">
            <v>29510</v>
          </cell>
        </row>
        <row r="18">
          <cell r="B18">
            <v>579809</v>
          </cell>
          <cell r="C18">
            <v>76101</v>
          </cell>
          <cell r="D18">
            <v>71880</v>
          </cell>
          <cell r="E18">
            <v>51546</v>
          </cell>
          <cell r="F18">
            <v>38326</v>
          </cell>
          <cell r="G18">
            <v>32044</v>
          </cell>
        </row>
        <row r="19">
          <cell r="B19">
            <v>616538</v>
          </cell>
          <cell r="C19">
            <v>83458</v>
          </cell>
          <cell r="D19">
            <v>78859</v>
          </cell>
          <cell r="E19">
            <v>56688</v>
          </cell>
          <cell r="F19">
            <v>42623</v>
          </cell>
          <cell r="G19">
            <v>35823</v>
          </cell>
        </row>
        <row r="20">
          <cell r="B20">
            <v>648270</v>
          </cell>
          <cell r="C20">
            <v>90623</v>
          </cell>
          <cell r="D20">
            <v>85589</v>
          </cell>
          <cell r="E20">
            <v>61505</v>
          </cell>
          <cell r="F20">
            <v>46278</v>
          </cell>
          <cell r="G20">
            <v>38819</v>
          </cell>
        </row>
        <row r="21">
          <cell r="B21">
            <v>676468</v>
          </cell>
          <cell r="C21">
            <v>96924</v>
          </cell>
          <cell r="D21">
            <v>91445</v>
          </cell>
          <cell r="E21">
            <v>65414</v>
          </cell>
          <cell r="F21">
            <v>49545</v>
          </cell>
          <cell r="G21">
            <v>41494</v>
          </cell>
        </row>
        <row r="22">
          <cell r="B22">
            <v>725028</v>
          </cell>
          <cell r="C22">
            <v>106185</v>
          </cell>
          <cell r="D22">
            <v>100017</v>
          </cell>
          <cell r="E22">
            <v>71482</v>
          </cell>
          <cell r="F22">
            <v>54615</v>
          </cell>
          <cell r="G22">
            <v>45901</v>
          </cell>
        </row>
        <row r="23">
          <cell r="B23">
            <v>776404</v>
          </cell>
          <cell r="C23">
            <v>118039</v>
          </cell>
          <cell r="D23">
            <v>111292</v>
          </cell>
          <cell r="E23">
            <v>79847</v>
          </cell>
          <cell r="F23">
            <v>61533</v>
          </cell>
          <cell r="G23">
            <v>51864</v>
          </cell>
        </row>
        <row r="24">
          <cell r="B24">
            <v>820315</v>
          </cell>
          <cell r="C24">
            <v>128508</v>
          </cell>
          <cell r="D24">
            <v>121084</v>
          </cell>
          <cell r="E24">
            <v>86947</v>
          </cell>
          <cell r="F24">
            <v>67255</v>
          </cell>
          <cell r="G24">
            <v>56839</v>
          </cell>
        </row>
        <row r="25">
          <cell r="B25">
            <v>855653</v>
          </cell>
          <cell r="C25">
            <v>138951</v>
          </cell>
          <cell r="D25">
            <v>130815</v>
          </cell>
          <cell r="E25">
            <v>94397</v>
          </cell>
          <cell r="F25">
            <v>73665</v>
          </cell>
          <cell r="G25">
            <v>62163</v>
          </cell>
        </row>
        <row r="26">
          <cell r="B26">
            <v>876761</v>
          </cell>
          <cell r="C26">
            <v>146519</v>
          </cell>
          <cell r="D26">
            <v>137904</v>
          </cell>
          <cell r="E26">
            <v>100014</v>
          </cell>
          <cell r="F26">
            <v>78507</v>
          </cell>
          <cell r="G26">
            <v>66473</v>
          </cell>
        </row>
        <row r="27">
          <cell r="B27">
            <v>884808</v>
          </cell>
          <cell r="C27">
            <v>153235</v>
          </cell>
          <cell r="D27">
            <v>144154</v>
          </cell>
          <cell r="E27">
            <v>104463</v>
          </cell>
          <cell r="F27">
            <v>82590</v>
          </cell>
          <cell r="G27">
            <v>70207</v>
          </cell>
        </row>
        <row r="28">
          <cell r="B28">
            <v>881192</v>
          </cell>
          <cell r="C28">
            <v>155077</v>
          </cell>
          <cell r="D28">
            <v>145675</v>
          </cell>
          <cell r="E28">
            <v>106349</v>
          </cell>
          <cell r="F28">
            <v>84387</v>
          </cell>
          <cell r="G28">
            <v>71678</v>
          </cell>
        </row>
        <row r="29">
          <cell r="B29">
            <v>882495</v>
          </cell>
          <cell r="C29">
            <v>157484</v>
          </cell>
          <cell r="D29">
            <v>147760</v>
          </cell>
          <cell r="E29">
            <v>107470</v>
          </cell>
          <cell r="F29">
            <v>85707</v>
          </cell>
          <cell r="G29">
            <v>72659</v>
          </cell>
        </row>
        <row r="30">
          <cell r="B30">
            <v>900568</v>
          </cell>
          <cell r="C30">
            <v>162452</v>
          </cell>
          <cell r="D30">
            <v>152207</v>
          </cell>
          <cell r="E30">
            <v>110820</v>
          </cell>
          <cell r="F30">
            <v>88465</v>
          </cell>
          <cell r="G30">
            <v>75275</v>
          </cell>
        </row>
        <row r="31">
          <cell r="B31">
            <v>941231</v>
          </cell>
          <cell r="C31">
            <v>169776</v>
          </cell>
          <cell r="D31">
            <v>159169</v>
          </cell>
          <cell r="E31">
            <v>115883</v>
          </cell>
          <cell r="F31">
            <v>93118</v>
          </cell>
          <cell r="G31">
            <v>79641</v>
          </cell>
        </row>
        <row r="32">
          <cell r="B32">
            <v>1043379</v>
          </cell>
          <cell r="C32">
            <v>191959</v>
          </cell>
          <cell r="D32">
            <v>179986</v>
          </cell>
          <cell r="E32">
            <v>131420</v>
          </cell>
          <cell r="F32">
            <v>106286</v>
          </cell>
          <cell r="G32">
            <v>90859</v>
          </cell>
        </row>
        <row r="33">
          <cell r="B33">
            <v>1112394</v>
          </cell>
          <cell r="C33">
            <v>206278</v>
          </cell>
          <cell r="D33">
            <v>193401</v>
          </cell>
          <cell r="E33">
            <v>142002</v>
          </cell>
          <cell r="F33">
            <v>115783</v>
          </cell>
          <cell r="G33">
            <v>99284</v>
          </cell>
        </row>
        <row r="34">
          <cell r="B34">
            <v>1092792</v>
          </cell>
          <cell r="C34">
            <v>197052</v>
          </cell>
          <cell r="D34">
            <v>184800</v>
          </cell>
          <cell r="E34">
            <v>134579</v>
          </cell>
          <cell r="F34">
            <v>110035</v>
          </cell>
          <cell r="G34">
            <v>94901</v>
          </cell>
        </row>
        <row r="35">
          <cell r="B35">
            <v>978968</v>
          </cell>
          <cell r="C35">
            <v>178431</v>
          </cell>
          <cell r="D35">
            <v>167424</v>
          </cell>
          <cell r="E35">
            <v>122298</v>
          </cell>
          <cell r="F35">
            <v>100686</v>
          </cell>
          <cell r="G35">
            <v>86669</v>
          </cell>
        </row>
        <row r="36">
          <cell r="B36">
            <v>1018395</v>
          </cell>
          <cell r="C36">
            <v>184181</v>
          </cell>
          <cell r="D36">
            <v>173022</v>
          </cell>
          <cell r="E36">
            <v>125512</v>
          </cell>
          <cell r="F36">
            <v>103684</v>
          </cell>
          <cell r="G36">
            <v>89565</v>
          </cell>
        </row>
        <row r="37">
          <cell r="B37">
            <v>691456</v>
          </cell>
          <cell r="C37">
            <v>126805</v>
          </cell>
          <cell r="D37">
            <v>119525</v>
          </cell>
          <cell r="E37">
            <v>86986</v>
          </cell>
          <cell r="F37">
            <v>72194</v>
          </cell>
          <cell r="G37">
            <v>62806</v>
          </cell>
        </row>
        <row r="38">
          <cell r="B38">
            <v>22734796</v>
          </cell>
          <cell r="D38">
            <v>3300701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0"/>
  <sheetViews>
    <sheetView topLeftCell="E4" zoomScale="85" zoomScaleNormal="85" workbookViewId="0">
      <selection activeCell="H31" sqref="H31"/>
    </sheetView>
  </sheetViews>
  <sheetFormatPr baseColWidth="10" defaultColWidth="8.83203125" defaultRowHeight="15" x14ac:dyDescent="0.2"/>
  <cols>
    <col min="1" max="1" width="9" style="1"/>
    <col min="9" max="9" width="14.1640625" bestFit="1" customWidth="1"/>
  </cols>
  <sheetData>
    <row r="1" spans="1:43" x14ac:dyDescent="0.2">
      <c r="A1" s="1" t="s">
        <v>4</v>
      </c>
      <c r="B1" t="s">
        <v>0</v>
      </c>
      <c r="C1" t="s">
        <v>1</v>
      </c>
      <c r="D1" t="s">
        <v>2</v>
      </c>
      <c r="F1" t="s">
        <v>3</v>
      </c>
      <c r="G1" t="str">
        <f t="shared" ref="G1:AQ1" si="0">G6</f>
        <v>Year</v>
      </c>
      <c r="H1">
        <f t="shared" si="0"/>
        <v>1990</v>
      </c>
      <c r="M1">
        <f t="shared" si="0"/>
        <v>1995</v>
      </c>
      <c r="R1">
        <f t="shared" si="0"/>
        <v>2000</v>
      </c>
      <c r="W1">
        <f t="shared" si="0"/>
        <v>2005</v>
      </c>
      <c r="AB1">
        <f t="shared" si="0"/>
        <v>2010</v>
      </c>
      <c r="AG1">
        <f t="shared" si="0"/>
        <v>2015</v>
      </c>
      <c r="AL1">
        <f t="shared" si="0"/>
        <v>2020</v>
      </c>
      <c r="AQ1">
        <f t="shared" si="0"/>
        <v>2025</v>
      </c>
    </row>
    <row r="2" spans="1:43" x14ac:dyDescent="0.2">
      <c r="A2" s="1">
        <v>1990</v>
      </c>
      <c r="B2">
        <f>[1]ALL!$C2/[1]ALL!$B2*100</f>
        <v>5.2173913043478262</v>
      </c>
      <c r="C2">
        <f>[2]ALL!$C2/[2]ALL!$B2*100</f>
        <v>3.8461538461538463</v>
      </c>
      <c r="D2">
        <f>[3]ALL!$C2/[3]ALL!$B2*100</f>
        <v>7.4922142969904844</v>
      </c>
      <c r="G2" t="str">
        <f t="shared" ref="G2:AQ2" si="1">G7</f>
        <v>PMC full text</v>
      </c>
      <c r="H2">
        <f t="shared" si="1"/>
        <v>5.2173913043478262</v>
      </c>
      <c r="I2">
        <f t="shared" si="1"/>
        <v>4.4534412955465585</v>
      </c>
      <c r="J2">
        <f t="shared" si="1"/>
        <v>6.2780269058295968</v>
      </c>
      <c r="K2">
        <f t="shared" si="1"/>
        <v>7.3394495412844041</v>
      </c>
      <c r="L2">
        <f t="shared" si="1"/>
        <v>10.493827160493826</v>
      </c>
      <c r="M2">
        <f t="shared" si="1"/>
        <v>10.158730158730158</v>
      </c>
      <c r="N2">
        <f t="shared" si="1"/>
        <v>11.748633879781421</v>
      </c>
      <c r="O2">
        <f t="shared" si="1"/>
        <v>17.729204614450516</v>
      </c>
      <c r="P2">
        <f t="shared" si="1"/>
        <v>20.479178551055334</v>
      </c>
      <c r="Q2">
        <f t="shared" si="1"/>
        <v>20.876288659793815</v>
      </c>
      <c r="R2">
        <f t="shared" si="1"/>
        <v>20.088954781319497</v>
      </c>
      <c r="S2">
        <f t="shared" si="1"/>
        <v>26.198767747120279</v>
      </c>
      <c r="T2">
        <f t="shared" si="1"/>
        <v>32.567275584364566</v>
      </c>
      <c r="U2">
        <f t="shared" si="1"/>
        <v>32.905067808708068</v>
      </c>
      <c r="V2">
        <f t="shared" si="1"/>
        <v>33.447198906890499</v>
      </c>
      <c r="W2">
        <f t="shared" si="1"/>
        <v>34.529434299578597</v>
      </c>
      <c r="X2">
        <f t="shared" si="1"/>
        <v>36.345051109449017</v>
      </c>
      <c r="Y2">
        <f t="shared" si="1"/>
        <v>39.180500563042607</v>
      </c>
      <c r="Z2">
        <f t="shared" si="1"/>
        <v>38.070878842342964</v>
      </c>
      <c r="AA2">
        <f t="shared" si="1"/>
        <v>39.172261409025239</v>
      </c>
      <c r="AB2">
        <f t="shared" si="1"/>
        <v>41.657724652509174</v>
      </c>
      <c r="AC2">
        <f t="shared" si="1"/>
        <v>43.296107240368549</v>
      </c>
      <c r="AD2">
        <f t="shared" si="1"/>
        <v>46.002066186380958</v>
      </c>
      <c r="AE2">
        <f t="shared" si="1"/>
        <v>48.076257061841169</v>
      </c>
      <c r="AF2">
        <f t="shared" si="1"/>
        <v>48.130754607072376</v>
      </c>
      <c r="AG2">
        <f t="shared" si="1"/>
        <v>48.888862437956035</v>
      </c>
      <c r="AH2">
        <f t="shared" si="1"/>
        <v>50.404843533445188</v>
      </c>
      <c r="AI2">
        <f t="shared" si="1"/>
        <v>51.334449044305472</v>
      </c>
      <c r="AJ2">
        <f t="shared" si="1"/>
        <v>50.144983910322146</v>
      </c>
      <c r="AK2">
        <f t="shared" si="1"/>
        <v>50.826302335469528</v>
      </c>
      <c r="AL2">
        <f t="shared" si="1"/>
        <v>47.951682319366732</v>
      </c>
      <c r="AM2">
        <f t="shared" si="1"/>
        <v>49.52993268317433</v>
      </c>
      <c r="AN2">
        <f t="shared" si="1"/>
        <v>49.900546571617511</v>
      </c>
      <c r="AO2">
        <f t="shared" si="1"/>
        <v>49.370176425614169</v>
      </c>
      <c r="AP2">
        <f t="shared" si="1"/>
        <v>51.019372538582019</v>
      </c>
      <c r="AQ2">
        <f t="shared" si="1"/>
        <v>53.317368509289324</v>
      </c>
    </row>
    <row r="3" spans="1:43" x14ac:dyDescent="0.2">
      <c r="A3" s="1">
        <v>1991</v>
      </c>
      <c r="B3">
        <f>[1]ALL!$C3/[1]ALL!$B3*100</f>
        <v>4.4534412955465585</v>
      </c>
      <c r="C3">
        <f>[2]ALL!$C3/[2]ALL!$B3*100</f>
        <v>5.7724252491694354</v>
      </c>
      <c r="D3">
        <f>[3]ALL!$C3/[3]ALL!$B3*100</f>
        <v>8.0870050195203582</v>
      </c>
      <c r="G3" t="str">
        <f t="shared" ref="G3:AQ3" si="2">G8</f>
        <v xml:space="preserve">PMC abstracts </v>
      </c>
      <c r="H3">
        <f t="shared" si="2"/>
        <v>3.8461538461538463</v>
      </c>
      <c r="I3">
        <f t="shared" si="2"/>
        <v>5.7724252491694354</v>
      </c>
      <c r="J3">
        <f t="shared" si="2"/>
        <v>5.8510638297872344</v>
      </c>
      <c r="K3">
        <f t="shared" si="2"/>
        <v>7.0337477797513319</v>
      </c>
      <c r="L3">
        <f t="shared" si="2"/>
        <v>7.4145712443584779</v>
      </c>
      <c r="M3">
        <f t="shared" si="2"/>
        <v>7.6009501187648461</v>
      </c>
      <c r="N3">
        <f t="shared" si="2"/>
        <v>8.7362991618310772</v>
      </c>
      <c r="O3">
        <f t="shared" si="2"/>
        <v>9.001233045622687</v>
      </c>
      <c r="P3">
        <f t="shared" si="2"/>
        <v>9.5878398129201994</v>
      </c>
      <c r="Q3">
        <f t="shared" si="2"/>
        <v>10.352673492605232</v>
      </c>
      <c r="R3">
        <f t="shared" si="2"/>
        <v>9.2355857031046185</v>
      </c>
      <c r="S3">
        <f t="shared" si="2"/>
        <v>9.2367825550298299</v>
      </c>
      <c r="T3">
        <f t="shared" si="2"/>
        <v>9.8607038123167143</v>
      </c>
      <c r="U3">
        <f t="shared" si="2"/>
        <v>10.444234404536862</v>
      </c>
      <c r="V3">
        <f t="shared" si="2"/>
        <v>10.864770748694138</v>
      </c>
      <c r="W3">
        <f t="shared" si="2"/>
        <v>10.452643590718905</v>
      </c>
      <c r="X3">
        <f t="shared" si="2"/>
        <v>11.300919842312746</v>
      </c>
      <c r="Y3">
        <f t="shared" si="2"/>
        <v>10.967082396237988</v>
      </c>
      <c r="Z3">
        <f t="shared" si="2"/>
        <v>10.403037533030608</v>
      </c>
      <c r="AA3">
        <f t="shared" si="2"/>
        <v>10.578574799433694</v>
      </c>
      <c r="AB3">
        <f t="shared" si="2"/>
        <v>11.44964988329443</v>
      </c>
      <c r="AC3">
        <f t="shared" si="2"/>
        <v>12.06462720169514</v>
      </c>
      <c r="AD3">
        <f t="shared" si="2"/>
        <v>13.160828625235405</v>
      </c>
      <c r="AE3">
        <f t="shared" si="2"/>
        <v>14.261560571476878</v>
      </c>
      <c r="AF3">
        <f t="shared" si="2"/>
        <v>14.792685860935121</v>
      </c>
      <c r="AG3">
        <f t="shared" si="2"/>
        <v>15.229430379746836</v>
      </c>
      <c r="AH3">
        <f t="shared" si="2"/>
        <v>15.581837016574585</v>
      </c>
      <c r="AI3">
        <f t="shared" si="2"/>
        <v>15.676047953928791</v>
      </c>
      <c r="AJ3">
        <f t="shared" si="2"/>
        <v>15.783704672489762</v>
      </c>
      <c r="AK3">
        <f t="shared" si="2"/>
        <v>15.992093748588642</v>
      </c>
      <c r="AL3">
        <f t="shared" si="2"/>
        <v>15.805443945012101</v>
      </c>
      <c r="AM3">
        <f t="shared" si="2"/>
        <v>16.530185713545453</v>
      </c>
      <c r="AN3">
        <f t="shared" si="2"/>
        <v>16.835609553809523</v>
      </c>
      <c r="AO3">
        <f t="shared" si="2"/>
        <v>16.781338021165624</v>
      </c>
      <c r="AP3">
        <f t="shared" si="2"/>
        <v>17.559475741942169</v>
      </c>
      <c r="AQ3">
        <f t="shared" si="2"/>
        <v>19.461083093249805</v>
      </c>
    </row>
    <row r="4" spans="1:43" x14ac:dyDescent="0.2">
      <c r="A4" s="1">
        <v>1992</v>
      </c>
      <c r="B4">
        <f>[1]ALL!$C4/[1]ALL!$B4*100</f>
        <v>6.2780269058295968</v>
      </c>
      <c r="C4">
        <f>[2]ALL!$C4/[2]ALL!$B4*100</f>
        <v>5.8510638297872344</v>
      </c>
      <c r="D4">
        <f>[3]ALL!$C4/[3]ALL!$B4*100</f>
        <v>8.7406741760882749</v>
      </c>
      <c r="G4" t="str">
        <f t="shared" ref="G4:AQ4" si="3">G9</f>
        <v>Pubmed abstracts</v>
      </c>
      <c r="H4">
        <f t="shared" si="3"/>
        <v>7.4922142969904844</v>
      </c>
      <c r="I4">
        <f t="shared" si="3"/>
        <v>8.0870050195203582</v>
      </c>
      <c r="J4">
        <f t="shared" si="3"/>
        <v>8.7406741760882749</v>
      </c>
      <c r="K4">
        <f t="shared" si="3"/>
        <v>9.3137690724187685</v>
      </c>
      <c r="L4">
        <f t="shared" si="3"/>
        <v>9.8484268417320546</v>
      </c>
      <c r="M4">
        <f t="shared" si="3"/>
        <v>10.328659721908281</v>
      </c>
      <c r="N4">
        <f t="shared" si="3"/>
        <v>10.885077675899092</v>
      </c>
      <c r="O4">
        <f t="shared" si="3"/>
        <v>11.278772142190517</v>
      </c>
      <c r="P4">
        <f t="shared" si="3"/>
        <v>11.337926491820825</v>
      </c>
      <c r="Q4">
        <f t="shared" si="3"/>
        <v>11.72828551146122</v>
      </c>
      <c r="R4">
        <f t="shared" si="3"/>
        <v>11.322342125238199</v>
      </c>
      <c r="S4">
        <f t="shared" si="3"/>
        <v>11.594853456667458</v>
      </c>
      <c r="T4">
        <f t="shared" si="3"/>
        <v>11.862182353110848</v>
      </c>
      <c r="U4">
        <f t="shared" si="3"/>
        <v>12.377194341007494</v>
      </c>
      <c r="V4">
        <f t="shared" si="3"/>
        <v>12.676840607112061</v>
      </c>
      <c r="W4">
        <f t="shared" si="3"/>
        <v>13.102711092290559</v>
      </c>
      <c r="X4">
        <f t="shared" si="3"/>
        <v>13.125184327942478</v>
      </c>
      <c r="Y4">
        <f t="shared" si="3"/>
        <v>13.536554113452862</v>
      </c>
      <c r="Z4">
        <f t="shared" si="3"/>
        <v>13.979206194949636</v>
      </c>
      <c r="AA4">
        <f t="shared" si="3"/>
        <v>14.32795047215833</v>
      </c>
      <c r="AB4">
        <f t="shared" si="3"/>
        <v>14.645641271785365</v>
      </c>
      <c r="AC4">
        <f t="shared" si="3"/>
        <v>15.203296222069953</v>
      </c>
      <c r="AD4">
        <f t="shared" si="3"/>
        <v>15.665689399803734</v>
      </c>
      <c r="AE4">
        <f t="shared" si="3"/>
        <v>16.239176395104092</v>
      </c>
      <c r="AF4">
        <f t="shared" si="3"/>
        <v>16.711395693923428</v>
      </c>
      <c r="AG4">
        <f t="shared" si="3"/>
        <v>17.318446487825607</v>
      </c>
      <c r="AH4">
        <f t="shared" si="3"/>
        <v>17.598548329989377</v>
      </c>
      <c r="AI4">
        <f t="shared" si="3"/>
        <v>17.845313571181705</v>
      </c>
      <c r="AJ4">
        <f t="shared" si="3"/>
        <v>18.038837711311086</v>
      </c>
      <c r="AK4">
        <f t="shared" si="3"/>
        <v>18.037654943366718</v>
      </c>
      <c r="AL4">
        <f t="shared" si="3"/>
        <v>18.397820926048926</v>
      </c>
      <c r="AM4">
        <f t="shared" si="3"/>
        <v>18.5436095484154</v>
      </c>
      <c r="AN4">
        <f t="shared" si="3"/>
        <v>18.031976808029341</v>
      </c>
      <c r="AO4">
        <f t="shared" si="3"/>
        <v>18.226438453555172</v>
      </c>
      <c r="AP4">
        <f t="shared" si="3"/>
        <v>18.085418722597812</v>
      </c>
      <c r="AQ4">
        <f t="shared" si="3"/>
        <v>18.338838624583488</v>
      </c>
    </row>
    <row r="5" spans="1:43" x14ac:dyDescent="0.2">
      <c r="A5" s="1">
        <v>1993</v>
      </c>
      <c r="B5">
        <f>[1]ALL!$C5/[1]ALL!$B5*100</f>
        <v>7.3394495412844041</v>
      </c>
      <c r="C5">
        <f>[2]ALL!$C5/[2]ALL!$B5*100</f>
        <v>7.0337477797513319</v>
      </c>
      <c r="D5">
        <f>[3]ALL!$C5/[3]ALL!$B5*100</f>
        <v>9.3137690724187685</v>
      </c>
    </row>
    <row r="6" spans="1:43" x14ac:dyDescent="0.2">
      <c r="A6" s="1">
        <v>1994</v>
      </c>
      <c r="B6">
        <f>[1]ALL!$C6/[1]ALL!$B6*100</f>
        <v>10.493827160493826</v>
      </c>
      <c r="C6">
        <f>[2]ALL!$C6/[2]ALL!$B6*100</f>
        <v>7.4145712443584779</v>
      </c>
      <c r="D6">
        <f>[3]ALL!$C6/[3]ALL!$B6*100</f>
        <v>9.8484268417320546</v>
      </c>
      <c r="G6" t="str" cm="1">
        <f t="array" ref="G6:AQ9">TRANSPOSE(A1:D37)</f>
        <v>Year</v>
      </c>
      <c r="H6">
        <v>1990</v>
      </c>
      <c r="I6">
        <v>1991</v>
      </c>
      <c r="J6">
        <v>1992</v>
      </c>
      <c r="K6">
        <v>1993</v>
      </c>
      <c r="L6">
        <v>1994</v>
      </c>
      <c r="M6">
        <v>1995</v>
      </c>
      <c r="N6">
        <v>1996</v>
      </c>
      <c r="O6">
        <v>1997</v>
      </c>
      <c r="P6">
        <v>1998</v>
      </c>
      <c r="Q6">
        <v>1999</v>
      </c>
      <c r="R6">
        <v>2000</v>
      </c>
      <c r="S6">
        <v>2001</v>
      </c>
      <c r="T6">
        <v>2002</v>
      </c>
      <c r="U6">
        <v>2003</v>
      </c>
      <c r="V6">
        <v>2004</v>
      </c>
      <c r="W6">
        <v>2005</v>
      </c>
      <c r="X6">
        <v>2006</v>
      </c>
      <c r="Y6">
        <v>2007</v>
      </c>
      <c r="Z6">
        <v>2008</v>
      </c>
      <c r="AA6">
        <v>2009</v>
      </c>
      <c r="AB6">
        <v>2010</v>
      </c>
      <c r="AC6">
        <v>2011</v>
      </c>
      <c r="AD6">
        <v>2012</v>
      </c>
      <c r="AE6">
        <v>2013</v>
      </c>
      <c r="AF6">
        <v>2014</v>
      </c>
      <c r="AG6">
        <v>2015</v>
      </c>
      <c r="AH6">
        <v>2016</v>
      </c>
      <c r="AI6">
        <v>2017</v>
      </c>
      <c r="AJ6">
        <v>2018</v>
      </c>
      <c r="AK6">
        <v>2019</v>
      </c>
      <c r="AL6">
        <v>2020</v>
      </c>
      <c r="AM6">
        <v>2021</v>
      </c>
      <c r="AN6">
        <v>2022</v>
      </c>
      <c r="AO6">
        <v>2023</v>
      </c>
      <c r="AP6">
        <v>2024</v>
      </c>
      <c r="AQ6">
        <v>2025</v>
      </c>
    </row>
    <row r="7" spans="1:43" x14ac:dyDescent="0.2">
      <c r="A7" s="1">
        <v>1995</v>
      </c>
      <c r="B7">
        <f>[1]ALL!$C7/[1]ALL!$B7*100</f>
        <v>10.158730158730158</v>
      </c>
      <c r="C7">
        <f>[2]ALL!$C7/[2]ALL!$B7*100</f>
        <v>7.6009501187648461</v>
      </c>
      <c r="D7">
        <f>[3]ALL!$C7/[3]ALL!$B7*100</f>
        <v>10.328659721908281</v>
      </c>
      <c r="G7" t="str">
        <v>PMC full text</v>
      </c>
      <c r="H7">
        <v>5.2173913043478262</v>
      </c>
      <c r="I7">
        <v>4.4534412955465585</v>
      </c>
      <c r="J7">
        <v>6.2780269058295968</v>
      </c>
      <c r="K7">
        <v>7.3394495412844041</v>
      </c>
      <c r="L7">
        <v>10.493827160493826</v>
      </c>
      <c r="M7">
        <v>10.158730158730158</v>
      </c>
      <c r="N7">
        <v>11.748633879781421</v>
      </c>
      <c r="O7">
        <v>17.729204614450516</v>
      </c>
      <c r="P7">
        <v>20.479178551055334</v>
      </c>
      <c r="Q7">
        <v>20.876288659793815</v>
      </c>
      <c r="R7">
        <v>20.088954781319497</v>
      </c>
      <c r="S7">
        <v>26.198767747120279</v>
      </c>
      <c r="T7">
        <v>32.567275584364566</v>
      </c>
      <c r="U7">
        <v>32.905067808708068</v>
      </c>
      <c r="V7">
        <v>33.447198906890499</v>
      </c>
      <c r="W7">
        <v>34.529434299578597</v>
      </c>
      <c r="X7">
        <v>36.345051109449017</v>
      </c>
      <c r="Y7">
        <v>39.180500563042607</v>
      </c>
      <c r="Z7">
        <v>38.070878842342964</v>
      </c>
      <c r="AA7">
        <v>39.172261409025239</v>
      </c>
      <c r="AB7">
        <v>41.657724652509174</v>
      </c>
      <c r="AC7">
        <v>43.296107240368549</v>
      </c>
      <c r="AD7">
        <v>46.002066186380958</v>
      </c>
      <c r="AE7">
        <v>48.076257061841169</v>
      </c>
      <c r="AF7">
        <v>48.130754607072376</v>
      </c>
      <c r="AG7">
        <v>48.888862437956035</v>
      </c>
      <c r="AH7">
        <v>50.404843533445188</v>
      </c>
      <c r="AI7">
        <v>51.334449044305472</v>
      </c>
      <c r="AJ7">
        <v>50.144983910322146</v>
      </c>
      <c r="AK7">
        <v>50.826302335469528</v>
      </c>
      <c r="AL7">
        <v>47.951682319366732</v>
      </c>
      <c r="AM7">
        <v>49.52993268317433</v>
      </c>
      <c r="AN7">
        <v>49.900546571617511</v>
      </c>
      <c r="AO7">
        <v>49.370176425614169</v>
      </c>
      <c r="AP7">
        <v>51.019372538582019</v>
      </c>
      <c r="AQ7">
        <v>53.317368509289324</v>
      </c>
    </row>
    <row r="8" spans="1:43" x14ac:dyDescent="0.2">
      <c r="A8" s="1">
        <v>1996</v>
      </c>
      <c r="B8">
        <f>[1]ALL!$C8/[1]ALL!$B8*100</f>
        <v>11.748633879781421</v>
      </c>
      <c r="C8">
        <f>[2]ALL!$C8/[2]ALL!$B8*100</f>
        <v>8.7362991618310772</v>
      </c>
      <c r="D8">
        <f>[3]ALL!$C8/[3]ALL!$B8*100</f>
        <v>10.885077675899092</v>
      </c>
      <c r="G8" t="str">
        <v xml:space="preserve">PMC abstracts </v>
      </c>
      <c r="H8">
        <v>3.8461538461538463</v>
      </c>
      <c r="I8">
        <v>5.7724252491694354</v>
      </c>
      <c r="J8">
        <v>5.8510638297872344</v>
      </c>
      <c r="K8">
        <v>7.0337477797513319</v>
      </c>
      <c r="L8">
        <v>7.4145712443584779</v>
      </c>
      <c r="M8">
        <v>7.6009501187648461</v>
      </c>
      <c r="N8">
        <v>8.7362991618310772</v>
      </c>
      <c r="O8">
        <v>9.001233045622687</v>
      </c>
      <c r="P8">
        <v>9.5878398129201994</v>
      </c>
      <c r="Q8">
        <v>10.352673492605232</v>
      </c>
      <c r="R8">
        <v>9.2355857031046185</v>
      </c>
      <c r="S8">
        <v>9.2367825550298299</v>
      </c>
      <c r="T8">
        <v>9.8607038123167143</v>
      </c>
      <c r="U8">
        <v>10.444234404536862</v>
      </c>
      <c r="V8">
        <v>10.864770748694138</v>
      </c>
      <c r="W8">
        <v>10.452643590718905</v>
      </c>
      <c r="X8">
        <v>11.300919842312746</v>
      </c>
      <c r="Y8">
        <v>10.967082396237988</v>
      </c>
      <c r="Z8">
        <v>10.403037533030608</v>
      </c>
      <c r="AA8">
        <v>10.578574799433694</v>
      </c>
      <c r="AB8">
        <v>11.44964988329443</v>
      </c>
      <c r="AC8">
        <v>12.06462720169514</v>
      </c>
      <c r="AD8">
        <v>13.160828625235405</v>
      </c>
      <c r="AE8">
        <v>14.261560571476878</v>
      </c>
      <c r="AF8">
        <v>14.792685860935121</v>
      </c>
      <c r="AG8">
        <v>15.229430379746836</v>
      </c>
      <c r="AH8">
        <v>15.581837016574585</v>
      </c>
      <c r="AI8">
        <v>15.676047953928791</v>
      </c>
      <c r="AJ8">
        <v>15.783704672489762</v>
      </c>
      <c r="AK8">
        <v>15.992093748588642</v>
      </c>
      <c r="AL8">
        <v>15.805443945012101</v>
      </c>
      <c r="AM8">
        <v>16.530185713545453</v>
      </c>
      <c r="AN8">
        <v>16.835609553809523</v>
      </c>
      <c r="AO8">
        <v>16.781338021165624</v>
      </c>
      <c r="AP8">
        <v>17.559475741942169</v>
      </c>
      <c r="AQ8">
        <v>19.461083093249805</v>
      </c>
    </row>
    <row r="9" spans="1:43" x14ac:dyDescent="0.2">
      <c r="A9" s="1">
        <v>1997</v>
      </c>
      <c r="B9">
        <f>[1]ALL!$C9/[1]ALL!$B9*100</f>
        <v>17.729204614450516</v>
      </c>
      <c r="C9">
        <f>[2]ALL!$C9/[2]ALL!$B9*100</f>
        <v>9.001233045622687</v>
      </c>
      <c r="D9">
        <f>[3]ALL!$C9/[3]ALL!$B9*100</f>
        <v>11.278772142190517</v>
      </c>
      <c r="G9" t="str">
        <v>Pubmed abstracts</v>
      </c>
      <c r="H9">
        <v>7.4922142969904844</v>
      </c>
      <c r="I9">
        <v>8.0870050195203582</v>
      </c>
      <c r="J9">
        <v>8.7406741760882749</v>
      </c>
      <c r="K9">
        <v>9.3137690724187685</v>
      </c>
      <c r="L9">
        <v>9.8484268417320546</v>
      </c>
      <c r="M9">
        <v>10.328659721908281</v>
      </c>
      <c r="N9">
        <v>10.885077675899092</v>
      </c>
      <c r="O9">
        <v>11.278772142190517</v>
      </c>
      <c r="P9">
        <v>11.337926491820825</v>
      </c>
      <c r="Q9">
        <v>11.72828551146122</v>
      </c>
      <c r="R9">
        <v>11.322342125238199</v>
      </c>
      <c r="S9">
        <v>11.594853456667458</v>
      </c>
      <c r="T9">
        <v>11.862182353110848</v>
      </c>
      <c r="U9">
        <v>12.377194341007494</v>
      </c>
      <c r="V9">
        <v>12.676840607112061</v>
      </c>
      <c r="W9">
        <v>13.102711092290559</v>
      </c>
      <c r="X9">
        <v>13.125184327942478</v>
      </c>
      <c r="Y9">
        <v>13.536554113452862</v>
      </c>
      <c r="Z9">
        <v>13.979206194949636</v>
      </c>
      <c r="AA9">
        <v>14.32795047215833</v>
      </c>
      <c r="AB9">
        <v>14.645641271785365</v>
      </c>
      <c r="AC9">
        <v>15.203296222069953</v>
      </c>
      <c r="AD9">
        <v>15.665689399803734</v>
      </c>
      <c r="AE9">
        <v>16.239176395104092</v>
      </c>
      <c r="AF9">
        <v>16.711395693923428</v>
      </c>
      <c r="AG9">
        <v>17.318446487825607</v>
      </c>
      <c r="AH9">
        <v>17.598548329989377</v>
      </c>
      <c r="AI9">
        <v>17.845313571181705</v>
      </c>
      <c r="AJ9">
        <v>18.038837711311086</v>
      </c>
      <c r="AK9">
        <v>18.037654943366718</v>
      </c>
      <c r="AL9">
        <v>18.397820926048926</v>
      </c>
      <c r="AM9">
        <v>18.5436095484154</v>
      </c>
      <c r="AN9">
        <v>18.031976808029341</v>
      </c>
      <c r="AO9">
        <v>18.226438453555172</v>
      </c>
      <c r="AP9">
        <v>18.085418722597812</v>
      </c>
      <c r="AQ9">
        <v>18.338838624583488</v>
      </c>
    </row>
    <row r="10" spans="1:43" x14ac:dyDescent="0.2">
      <c r="A10" s="1">
        <v>1998</v>
      </c>
      <c r="B10">
        <f>[1]ALL!$C10/[1]ALL!$B10*100</f>
        <v>20.479178551055334</v>
      </c>
      <c r="C10">
        <f>[2]ALL!$C10/[2]ALL!$B10*100</f>
        <v>9.5878398129201994</v>
      </c>
      <c r="D10">
        <f>[3]ALL!$C10/[3]ALL!$B10*100</f>
        <v>11.337926491820825</v>
      </c>
    </row>
    <row r="11" spans="1:43" x14ac:dyDescent="0.2">
      <c r="A11" s="1">
        <v>1999</v>
      </c>
      <c r="B11">
        <f>[1]ALL!$C11/[1]ALL!$B11*100</f>
        <v>20.876288659793815</v>
      </c>
      <c r="C11">
        <f>[2]ALL!$C11/[2]ALL!$B11*100</f>
        <v>10.352673492605232</v>
      </c>
      <c r="D11">
        <f>[3]ALL!$C11/[3]ALL!$B11*100</f>
        <v>11.72828551146122</v>
      </c>
    </row>
    <row r="12" spans="1:43" x14ac:dyDescent="0.2">
      <c r="A12" s="1">
        <v>2000</v>
      </c>
      <c r="B12">
        <f>[1]ALL!$C12/[1]ALL!$B12*100</f>
        <v>20.088954781319497</v>
      </c>
      <c r="C12">
        <f>[2]ALL!$C12/[2]ALL!$B12*100</f>
        <v>9.2355857031046185</v>
      </c>
      <c r="D12">
        <f>[3]ALL!$C12/[3]ALL!$B12*100</f>
        <v>11.322342125238199</v>
      </c>
    </row>
    <row r="13" spans="1:43" x14ac:dyDescent="0.2">
      <c r="A13" s="1">
        <v>2001</v>
      </c>
      <c r="B13">
        <f>[1]ALL!$C13/[1]ALL!$B13*100</f>
        <v>26.198767747120279</v>
      </c>
      <c r="C13">
        <f>[2]ALL!$C13/[2]ALL!$B13*100</f>
        <v>9.2367825550298299</v>
      </c>
      <c r="D13">
        <f>[3]ALL!$C13/[3]ALL!$B13*100</f>
        <v>11.594853456667458</v>
      </c>
    </row>
    <row r="14" spans="1:43" x14ac:dyDescent="0.2">
      <c r="A14" s="1">
        <v>2002</v>
      </c>
      <c r="B14">
        <f>[1]ALL!$C14/[1]ALL!$B14*100</f>
        <v>32.567275584364566</v>
      </c>
      <c r="C14">
        <f>[2]ALL!$C14/[2]ALL!$B14*100</f>
        <v>9.8607038123167143</v>
      </c>
      <c r="D14">
        <f>[3]ALL!$C14/[3]ALL!$B14*100</f>
        <v>11.862182353110848</v>
      </c>
    </row>
    <row r="15" spans="1:43" x14ac:dyDescent="0.2">
      <c r="A15" s="1">
        <v>2003</v>
      </c>
      <c r="B15">
        <f>[1]ALL!$C15/[1]ALL!$B15*100</f>
        <v>32.905067808708068</v>
      </c>
      <c r="C15">
        <f>[2]ALL!$C15/[2]ALL!$B15*100</f>
        <v>10.444234404536862</v>
      </c>
      <c r="D15">
        <f>[3]ALL!$C15/[3]ALL!$B15*100</f>
        <v>12.377194341007494</v>
      </c>
    </row>
    <row r="16" spans="1:43" x14ac:dyDescent="0.2">
      <c r="A16" s="1">
        <v>2004</v>
      </c>
      <c r="B16">
        <f>[1]ALL!$C16/[1]ALL!$B16*100</f>
        <v>33.447198906890499</v>
      </c>
      <c r="C16">
        <f>[2]ALL!$C16/[2]ALL!$B16*100</f>
        <v>10.864770748694138</v>
      </c>
      <c r="D16">
        <f>[3]ALL!$C16/[3]ALL!$B16*100</f>
        <v>12.676840607112061</v>
      </c>
    </row>
    <row r="17" spans="1:9" x14ac:dyDescent="0.2">
      <c r="A17" s="1">
        <v>2005</v>
      </c>
      <c r="B17">
        <f>[1]ALL!$C17/[1]ALL!$B17*100</f>
        <v>34.529434299578597</v>
      </c>
      <c r="C17">
        <f>[2]ALL!$C17/[2]ALL!$B17*100</f>
        <v>10.452643590718905</v>
      </c>
      <c r="D17">
        <f>[3]ALL!$C17/[3]ALL!$B17*100</f>
        <v>13.102711092290559</v>
      </c>
    </row>
    <row r="18" spans="1:9" x14ac:dyDescent="0.2">
      <c r="A18" s="1">
        <v>2006</v>
      </c>
      <c r="B18">
        <f>[1]ALL!$C18/[1]ALL!$B18*100</f>
        <v>36.345051109449017</v>
      </c>
      <c r="C18">
        <f>[2]ALL!$C18/[2]ALL!$B18*100</f>
        <v>11.300919842312746</v>
      </c>
      <c r="D18">
        <f>[3]ALL!$C18/[3]ALL!$B18*100</f>
        <v>13.125184327942478</v>
      </c>
    </row>
    <row r="19" spans="1:9" x14ac:dyDescent="0.2">
      <c r="A19" s="1">
        <v>2007</v>
      </c>
      <c r="B19">
        <f>[1]ALL!$C19/[1]ALL!$B19*100</f>
        <v>39.180500563042607</v>
      </c>
      <c r="C19">
        <f>[2]ALL!$C19/[2]ALL!$B19*100</f>
        <v>10.967082396237988</v>
      </c>
      <c r="D19">
        <f>[3]ALL!$C19/[3]ALL!$B19*100</f>
        <v>13.536554113452862</v>
      </c>
    </row>
    <row r="20" spans="1:9" x14ac:dyDescent="0.2">
      <c r="A20" s="1">
        <v>2008</v>
      </c>
      <c r="B20">
        <f>[1]ALL!$C20/[1]ALL!$B20*100</f>
        <v>38.070878842342964</v>
      </c>
      <c r="C20">
        <f>[2]ALL!$C20/[2]ALL!$B20*100</f>
        <v>10.403037533030608</v>
      </c>
      <c r="D20">
        <f>[3]ALL!$C20/[3]ALL!$B20*100</f>
        <v>13.979206194949636</v>
      </c>
    </row>
    <row r="21" spans="1:9" x14ac:dyDescent="0.2">
      <c r="A21" s="1">
        <v>2009</v>
      </c>
      <c r="B21">
        <f>[1]ALL!$C21/[1]ALL!$B21*100</f>
        <v>39.172261409025239</v>
      </c>
      <c r="C21">
        <f>[2]ALL!$C21/[2]ALL!$B21*100</f>
        <v>10.578574799433694</v>
      </c>
      <c r="D21">
        <f>[3]ALL!$C21/[3]ALL!$B21*100</f>
        <v>14.32795047215833</v>
      </c>
    </row>
    <row r="22" spans="1:9" x14ac:dyDescent="0.2">
      <c r="A22" s="1">
        <v>2010</v>
      </c>
      <c r="B22">
        <f>[1]ALL!$C22/[1]ALL!$B22*100</f>
        <v>41.657724652509174</v>
      </c>
      <c r="C22">
        <f>[2]ALL!$C22/[2]ALL!$B22*100</f>
        <v>11.44964988329443</v>
      </c>
      <c r="D22">
        <f>[3]ALL!$C22/[3]ALL!$B22*100</f>
        <v>14.645641271785365</v>
      </c>
    </row>
    <row r="23" spans="1:9" x14ac:dyDescent="0.2">
      <c r="A23" s="1">
        <v>2011</v>
      </c>
      <c r="B23">
        <f>[1]ALL!$C23/[1]ALL!$B23*100</f>
        <v>43.296107240368549</v>
      </c>
      <c r="C23">
        <f>[2]ALL!$C23/[2]ALL!$B23*100</f>
        <v>12.06462720169514</v>
      </c>
      <c r="D23">
        <f>[3]ALL!$C23/[3]ALL!$B23*100</f>
        <v>15.203296222069953</v>
      </c>
    </row>
    <row r="24" spans="1:9" x14ac:dyDescent="0.2">
      <c r="A24" s="1">
        <v>2012</v>
      </c>
      <c r="B24">
        <f>[1]ALL!$C24/[1]ALL!$B24*100</f>
        <v>46.002066186380958</v>
      </c>
      <c r="C24">
        <f>[2]ALL!$C24/[2]ALL!$B24*100</f>
        <v>13.160828625235405</v>
      </c>
      <c r="D24">
        <f>[3]ALL!$C24/[3]ALL!$B24*100</f>
        <v>15.665689399803734</v>
      </c>
    </row>
    <row r="25" spans="1:9" x14ac:dyDescent="0.2">
      <c r="A25" s="1">
        <v>2013</v>
      </c>
      <c r="B25">
        <f>[1]ALL!$C25/[1]ALL!$B25*100</f>
        <v>48.076257061841169</v>
      </c>
      <c r="C25">
        <f>[2]ALL!$C25/[2]ALL!$B25*100</f>
        <v>14.261560571476878</v>
      </c>
      <c r="D25">
        <f>[3]ALL!$C25/[3]ALL!$B25*100</f>
        <v>16.239176395104092</v>
      </c>
    </row>
    <row r="26" spans="1:9" x14ac:dyDescent="0.2">
      <c r="A26" s="1">
        <v>2014</v>
      </c>
      <c r="B26">
        <f>[1]ALL!$C26/[1]ALL!$B26*100</f>
        <v>48.130754607072376</v>
      </c>
      <c r="C26">
        <f>[2]ALL!$C26/[2]ALL!$B26*100</f>
        <v>14.792685860935121</v>
      </c>
      <c r="D26">
        <f>[3]ALL!$C26/[3]ALL!$B26*100</f>
        <v>16.711395693923428</v>
      </c>
    </row>
    <row r="27" spans="1:9" x14ac:dyDescent="0.2">
      <c r="A27" s="1">
        <v>2015</v>
      </c>
      <c r="B27">
        <f>[1]ALL!$C27/[1]ALL!$B27*100</f>
        <v>48.888862437956035</v>
      </c>
      <c r="C27">
        <f>[2]ALL!$C27/[2]ALL!$B27*100</f>
        <v>15.229430379746836</v>
      </c>
      <c r="D27">
        <f>[3]ALL!$C27/[3]ALL!$B27*100</f>
        <v>17.318446487825607</v>
      </c>
    </row>
    <row r="28" spans="1:9" x14ac:dyDescent="0.2">
      <c r="A28" s="1">
        <v>2016</v>
      </c>
      <c r="B28">
        <f>[1]ALL!$C28/[1]ALL!$B28*100</f>
        <v>50.404843533445188</v>
      </c>
      <c r="C28">
        <f>[2]ALL!$C28/[2]ALL!$B28*100</f>
        <v>15.581837016574585</v>
      </c>
      <c r="D28">
        <f>[3]ALL!$C28/[3]ALL!$B28*100</f>
        <v>17.598548329989377</v>
      </c>
    </row>
    <row r="29" spans="1:9" x14ac:dyDescent="0.2">
      <c r="A29" s="1">
        <v>2017</v>
      </c>
      <c r="B29">
        <f>[1]ALL!$C29/[1]ALL!$B29*100</f>
        <v>51.334449044305472</v>
      </c>
      <c r="C29">
        <f>[2]ALL!$C29/[2]ALL!$B29*100</f>
        <v>15.676047953928791</v>
      </c>
      <c r="D29">
        <f>[3]ALL!$C29/[3]ALL!$B29*100</f>
        <v>17.845313571181705</v>
      </c>
    </row>
    <row r="30" spans="1:9" x14ac:dyDescent="0.2">
      <c r="A30" s="1">
        <v>2018</v>
      </c>
      <c r="B30">
        <f>[1]ALL!$C30/[1]ALL!$B30*100</f>
        <v>50.144983910322146</v>
      </c>
      <c r="C30">
        <f>[2]ALL!$C30/[2]ALL!$B30*100</f>
        <v>15.783704672489762</v>
      </c>
      <c r="D30">
        <f>[3]ALL!$C30/[3]ALL!$B30*100</f>
        <v>18.038837711311086</v>
      </c>
      <c r="G30" s="1" t="s">
        <v>8</v>
      </c>
      <c r="H30" s="1" t="s">
        <v>14</v>
      </c>
      <c r="I30" s="1" t="s">
        <v>15</v>
      </c>
    </row>
    <row r="31" spans="1:9" x14ac:dyDescent="0.2">
      <c r="A31" s="1">
        <v>2019</v>
      </c>
      <c r="B31">
        <f>[1]ALL!$C31/[1]ALL!$B31*100</f>
        <v>50.826302335469528</v>
      </c>
      <c r="C31">
        <f>[2]ALL!$C31/[2]ALL!$B31*100</f>
        <v>15.992093748588642</v>
      </c>
      <c r="D31">
        <f>[3]ALL!$C31/[3]ALL!$B31*100</f>
        <v>18.037654943366718</v>
      </c>
      <c r="G31" t="s">
        <v>0</v>
      </c>
      <c r="H31" s="1">
        <f>[1]ALL!$B$38</f>
        <v>6397787</v>
      </c>
      <c r="I31" s="1" t="s">
        <v>16</v>
      </c>
    </row>
    <row r="32" spans="1:9" x14ac:dyDescent="0.2">
      <c r="A32" s="1">
        <v>2020</v>
      </c>
      <c r="B32">
        <f>[1]ALL!$C32/[1]ALL!$B32*100</f>
        <v>47.951682319366732</v>
      </c>
      <c r="C32">
        <f>[2]ALL!$C32/[2]ALL!$B32*100</f>
        <v>15.805443945012101</v>
      </c>
      <c r="D32">
        <f>[3]ALL!$C32/[3]ALL!$B32*100</f>
        <v>18.397820926048926</v>
      </c>
      <c r="G32" t="s">
        <v>1</v>
      </c>
      <c r="H32" s="1">
        <v>6031459</v>
      </c>
      <c r="I32" s="1" t="s">
        <v>12</v>
      </c>
    </row>
    <row r="33" spans="1:9" x14ac:dyDescent="0.2">
      <c r="A33" s="1">
        <v>2021</v>
      </c>
      <c r="B33">
        <f>[1]ALL!$C33/[1]ALL!$B33*100</f>
        <v>49.52993268317433</v>
      </c>
      <c r="C33">
        <f>[2]ALL!$C33/[2]ALL!$B33*100</f>
        <v>16.530185713545453</v>
      </c>
      <c r="D33">
        <f>[3]ALL!$C33/[3]ALL!$B33*100</f>
        <v>18.5436095484154</v>
      </c>
      <c r="G33" t="s">
        <v>2</v>
      </c>
      <c r="H33" s="1">
        <f>[3]ALL!$B$38</f>
        <v>22734796</v>
      </c>
      <c r="I33" s="2" t="s">
        <v>13</v>
      </c>
    </row>
    <row r="34" spans="1:9" x14ac:dyDescent="0.2">
      <c r="A34" s="1">
        <v>2022</v>
      </c>
      <c r="B34">
        <f>[1]ALL!$C34/[1]ALL!$B34*100</f>
        <v>49.900546571617511</v>
      </c>
      <c r="C34">
        <f>[2]ALL!$C34/[2]ALL!$B34*100</f>
        <v>16.835609553809523</v>
      </c>
      <c r="D34">
        <f>[3]ALL!$C34/[3]ALL!$B34*100</f>
        <v>18.031976808029341</v>
      </c>
      <c r="G34" s="1"/>
      <c r="H34" s="1"/>
      <c r="I34" s="1"/>
    </row>
    <row r="35" spans="1:9" x14ac:dyDescent="0.2">
      <c r="A35" s="1">
        <v>2023</v>
      </c>
      <c r="B35">
        <f>[1]ALL!$C35/[1]ALL!$B35*100</f>
        <v>49.370176425614169</v>
      </c>
      <c r="C35">
        <f>[2]ALL!$C35/[2]ALL!$B35*100</f>
        <v>16.781338021165624</v>
      </c>
      <c r="D35">
        <f>[3]ALL!$C35/[3]ALL!$B35*100</f>
        <v>18.226438453555172</v>
      </c>
      <c r="G35" s="1"/>
      <c r="H35" s="1"/>
      <c r="I35" s="1"/>
    </row>
    <row r="36" spans="1:9" x14ac:dyDescent="0.2">
      <c r="A36" s="1">
        <v>2024</v>
      </c>
      <c r="B36">
        <f>[1]ALL!$C36/[1]ALL!$B36*100</f>
        <v>51.019372538582019</v>
      </c>
      <c r="C36">
        <f>[2]ALL!$C36/[2]ALL!$B36*100</f>
        <v>17.559475741942169</v>
      </c>
      <c r="D36">
        <f>[3]ALL!$C36/[3]ALL!$B36*100</f>
        <v>18.085418722597812</v>
      </c>
      <c r="G36" s="1"/>
      <c r="H36" s="1"/>
      <c r="I36" s="1"/>
    </row>
    <row r="37" spans="1:9" x14ac:dyDescent="0.2">
      <c r="A37" s="1">
        <v>2025</v>
      </c>
      <c r="B37">
        <f>[1]ALL!$C37/[1]ALL!$B37*100</f>
        <v>53.317368509289324</v>
      </c>
      <c r="C37">
        <f>[2]ALL!$C37/[2]ALL!$B37*100</f>
        <v>19.461083093249805</v>
      </c>
      <c r="D37">
        <f>[3]ALL!$C37/[3]ALL!$B37*100</f>
        <v>18.338838624583488</v>
      </c>
      <c r="G37" s="1"/>
      <c r="H37" s="1"/>
      <c r="I37" s="1"/>
    </row>
    <row r="38" spans="1:9" x14ac:dyDescent="0.2">
      <c r="A38" s="1" t="s">
        <v>5</v>
      </c>
      <c r="G38" s="1"/>
      <c r="H38" s="1"/>
      <c r="I38" s="1"/>
    </row>
    <row r="39" spans="1:9" x14ac:dyDescent="0.2">
      <c r="A39" s="1" t="s">
        <v>6</v>
      </c>
    </row>
    <row r="40" spans="1:9" x14ac:dyDescent="0.2">
      <c r="A40" s="1" t="s">
        <v>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4E93-F041-489E-AF05-A0E412C0B97C}">
  <dimension ref="A1:AQ40"/>
  <sheetViews>
    <sheetView topLeftCell="H9" zoomScale="171" zoomScaleNormal="85" workbookViewId="0">
      <selection activeCell="L30" sqref="L30"/>
    </sheetView>
  </sheetViews>
  <sheetFormatPr baseColWidth="10" defaultColWidth="8.83203125" defaultRowHeight="15" x14ac:dyDescent="0.2"/>
  <cols>
    <col min="1" max="1" width="9" style="1"/>
  </cols>
  <sheetData>
    <row r="1" spans="1:43" x14ac:dyDescent="0.2">
      <c r="A1" s="1" t="s">
        <v>4</v>
      </c>
      <c r="B1" t="s">
        <v>0</v>
      </c>
      <c r="C1" t="s">
        <v>1</v>
      </c>
      <c r="D1" t="s">
        <v>2</v>
      </c>
      <c r="F1" t="s">
        <v>3</v>
      </c>
      <c r="G1" t="str">
        <f t="shared" ref="G1:AQ4" si="0">G6</f>
        <v>Year</v>
      </c>
      <c r="H1">
        <f t="shared" si="0"/>
        <v>1990</v>
      </c>
      <c r="M1">
        <f t="shared" si="0"/>
        <v>1995</v>
      </c>
      <c r="R1">
        <f t="shared" si="0"/>
        <v>2000</v>
      </c>
      <c r="W1">
        <f t="shared" si="0"/>
        <v>2005</v>
      </c>
      <c r="AB1">
        <f t="shared" si="0"/>
        <v>2010</v>
      </c>
      <c r="AG1">
        <f t="shared" si="0"/>
        <v>2015</v>
      </c>
      <c r="AL1">
        <f t="shared" si="0"/>
        <v>2020</v>
      </c>
      <c r="AQ1">
        <f t="shared" si="0"/>
        <v>2025</v>
      </c>
    </row>
    <row r="2" spans="1:43" x14ac:dyDescent="0.2">
      <c r="A2" s="1">
        <v>1990</v>
      </c>
      <c r="B2">
        <f>[1]ALL!$D2/[1]ALL!$C2*100</f>
        <v>91.666666666666657</v>
      </c>
      <c r="C2">
        <f>[2]ALL!$D2/[2]ALL!$C2*100</f>
        <v>95.555555555555557</v>
      </c>
      <c r="D2">
        <f>[3]ALL!$D2/[3]ALL!$C2*100</f>
        <v>98.003064840532517</v>
      </c>
      <c r="G2" t="str">
        <f t="shared" si="0"/>
        <v>PMC full text</v>
      </c>
      <c r="H2">
        <f t="shared" si="0"/>
        <v>91.666666666666657</v>
      </c>
      <c r="I2">
        <f t="shared" si="0"/>
        <v>100</v>
      </c>
      <c r="J2">
        <f t="shared" si="0"/>
        <v>85.714285714285708</v>
      </c>
      <c r="K2">
        <f t="shared" si="0"/>
        <v>100</v>
      </c>
      <c r="L2">
        <f t="shared" si="0"/>
        <v>88.235294117647058</v>
      </c>
      <c r="M2">
        <f t="shared" si="0"/>
        <v>87.5</v>
      </c>
      <c r="N2">
        <f t="shared" si="0"/>
        <v>93.023255813953483</v>
      </c>
      <c r="O2">
        <f t="shared" si="0"/>
        <v>93.835616438356169</v>
      </c>
      <c r="P2">
        <f t="shared" si="0"/>
        <v>95.264623955431759</v>
      </c>
      <c r="Q2">
        <f t="shared" si="0"/>
        <v>93.827160493827151</v>
      </c>
      <c r="R2">
        <f t="shared" si="0"/>
        <v>94.649446494464939</v>
      </c>
      <c r="S2">
        <f t="shared" si="0"/>
        <v>95.092024539877301</v>
      </c>
      <c r="T2">
        <f t="shared" si="0"/>
        <v>94.813027744270201</v>
      </c>
      <c r="U2">
        <f t="shared" si="0"/>
        <v>94.837310195227758</v>
      </c>
      <c r="V2">
        <f t="shared" si="0"/>
        <v>94.630872483221466</v>
      </c>
      <c r="W2">
        <f t="shared" si="0"/>
        <v>95.525147928994087</v>
      </c>
      <c r="X2">
        <f t="shared" si="0"/>
        <v>94.580875291535193</v>
      </c>
      <c r="Y2">
        <f t="shared" si="0"/>
        <v>95.253105877989981</v>
      </c>
      <c r="Z2">
        <f t="shared" si="0"/>
        <v>95.502965742646168</v>
      </c>
      <c r="AA2">
        <f t="shared" si="0"/>
        <v>95.661040482492297</v>
      </c>
      <c r="AB2">
        <f t="shared" si="0"/>
        <v>95.812741486207216</v>
      </c>
      <c r="AC2">
        <f t="shared" si="0"/>
        <v>96.02859914793099</v>
      </c>
      <c r="AD2">
        <f t="shared" si="0"/>
        <v>96.313096760760288</v>
      </c>
      <c r="AE2">
        <f t="shared" si="0"/>
        <v>96.290084756255411</v>
      </c>
      <c r="AF2">
        <f t="shared" si="0"/>
        <v>96.347584602249796</v>
      </c>
      <c r="AG2">
        <f t="shared" si="0"/>
        <v>96.42668744268336</v>
      </c>
      <c r="AH2">
        <f t="shared" si="0"/>
        <v>96.662083936324166</v>
      </c>
      <c r="AI2">
        <f t="shared" si="0"/>
        <v>96.518721879051327</v>
      </c>
      <c r="AJ2">
        <f t="shared" si="0"/>
        <v>96.459927365043541</v>
      </c>
      <c r="AK2">
        <f t="shared" si="0"/>
        <v>96.470345154283805</v>
      </c>
      <c r="AL2">
        <f t="shared" si="0"/>
        <v>96.494137018342968</v>
      </c>
      <c r="AM2">
        <f t="shared" si="0"/>
        <v>96.614126566748155</v>
      </c>
      <c r="AN2">
        <f t="shared" si="0"/>
        <v>96.691903938680724</v>
      </c>
      <c r="AO2">
        <f t="shared" si="0"/>
        <v>96.663150605278773</v>
      </c>
      <c r="AP2">
        <f t="shared" si="0"/>
        <v>96.738345295695837</v>
      </c>
      <c r="AQ2">
        <f t="shared" si="0"/>
        <v>96.862415807621531</v>
      </c>
    </row>
    <row r="3" spans="1:43" x14ac:dyDescent="0.2">
      <c r="A3" s="1">
        <v>1991</v>
      </c>
      <c r="B3">
        <f>[1]ALL!$D3/[1]ALL!$C3*100</f>
        <v>100</v>
      </c>
      <c r="C3">
        <f>[2]ALL!$D3/[2]ALL!$C3*100</f>
        <v>97.122302158273371</v>
      </c>
      <c r="D3">
        <f>[3]ALL!$D3/[3]ALL!$C3*100</f>
        <v>97.979354271908633</v>
      </c>
      <c r="G3" t="str">
        <f t="shared" si="0"/>
        <v xml:space="preserve">PMC abstracts </v>
      </c>
      <c r="H3">
        <f t="shared" si="0"/>
        <v>95.555555555555557</v>
      </c>
      <c r="I3">
        <f t="shared" si="0"/>
        <v>97.122302158273371</v>
      </c>
      <c r="J3">
        <f t="shared" si="0"/>
        <v>96.503496503496507</v>
      </c>
      <c r="K3">
        <f t="shared" si="0"/>
        <v>94.949494949494948</v>
      </c>
      <c r="L3">
        <f t="shared" si="0"/>
        <v>95.217391304347828</v>
      </c>
      <c r="M3">
        <f t="shared" si="0"/>
        <v>95.089285714285708</v>
      </c>
      <c r="N3">
        <f t="shared" si="0"/>
        <v>94.095940959409603</v>
      </c>
      <c r="O3">
        <f t="shared" si="0"/>
        <v>93.150684931506845</v>
      </c>
      <c r="P3">
        <f t="shared" si="0"/>
        <v>94.207317073170728</v>
      </c>
      <c r="Q3">
        <f t="shared" si="0"/>
        <v>96.428571428571431</v>
      </c>
      <c r="R3">
        <f t="shared" si="0"/>
        <v>93.502824858757066</v>
      </c>
      <c r="S3">
        <f t="shared" si="0"/>
        <v>93.318485523385291</v>
      </c>
      <c r="T3">
        <f t="shared" si="0"/>
        <v>94.423791821561338</v>
      </c>
      <c r="U3">
        <f t="shared" si="0"/>
        <v>94.720965309200594</v>
      </c>
      <c r="V3">
        <f t="shared" si="0"/>
        <v>93.055555555555557</v>
      </c>
      <c r="W3">
        <f t="shared" si="0"/>
        <v>93.668122270742359</v>
      </c>
      <c r="X3">
        <f t="shared" si="0"/>
        <v>93.781597573306371</v>
      </c>
      <c r="Y3">
        <f t="shared" si="0"/>
        <v>93.69873228933632</v>
      </c>
      <c r="Z3">
        <f t="shared" si="0"/>
        <v>94.081381011097406</v>
      </c>
      <c r="AA3">
        <f t="shared" si="0"/>
        <v>94.111349036402572</v>
      </c>
      <c r="AB3">
        <f t="shared" si="0"/>
        <v>93.908506249241597</v>
      </c>
      <c r="AC3">
        <f t="shared" si="0"/>
        <v>94.064004053027105</v>
      </c>
      <c r="AD3">
        <f t="shared" si="0"/>
        <v>94.367809512907115</v>
      </c>
      <c r="AE3">
        <f t="shared" si="0"/>
        <v>93.991870607164032</v>
      </c>
      <c r="AF3">
        <f t="shared" si="0"/>
        <v>94.19558145838981</v>
      </c>
      <c r="AG3">
        <f t="shared" si="0"/>
        <v>93.941339559317086</v>
      </c>
      <c r="AH3">
        <f t="shared" si="0"/>
        <v>94.18282548476455</v>
      </c>
      <c r="AI3">
        <f t="shared" si="0"/>
        <v>93.816094491665751</v>
      </c>
      <c r="AJ3">
        <f t="shared" si="0"/>
        <v>93.927437015408287</v>
      </c>
      <c r="AK3">
        <f t="shared" si="0"/>
        <v>94.062728420493059</v>
      </c>
      <c r="AL3">
        <f t="shared" si="0"/>
        <v>94.278278580319082</v>
      </c>
      <c r="AM3">
        <f t="shared" si="0"/>
        <v>94.397317399853705</v>
      </c>
      <c r="AN3">
        <f t="shared" si="0"/>
        <v>94.320832585680961</v>
      </c>
      <c r="AO3">
        <f t="shared" si="0"/>
        <v>94.247109879289596</v>
      </c>
      <c r="AP3">
        <f t="shared" si="0"/>
        <v>94.301754507748655</v>
      </c>
      <c r="AQ3">
        <f t="shared" si="0"/>
        <v>94.75406882469521</v>
      </c>
    </row>
    <row r="4" spans="1:43" x14ac:dyDescent="0.2">
      <c r="A4" s="1">
        <v>1992</v>
      </c>
      <c r="B4">
        <f>[1]ALL!$D4/[1]ALL!$C4*100</f>
        <v>85.714285714285708</v>
      </c>
      <c r="C4">
        <f>[2]ALL!$D4/[2]ALL!$C4*100</f>
        <v>96.503496503496507</v>
      </c>
      <c r="D4">
        <f>[3]ALL!$D4/[3]ALL!$C4*100</f>
        <v>97.541342896991438</v>
      </c>
      <c r="G4" t="str">
        <f t="shared" si="0"/>
        <v>Pubmed abstracts</v>
      </c>
      <c r="H4">
        <f t="shared" si="0"/>
        <v>98.003064840532517</v>
      </c>
      <c r="I4">
        <f t="shared" si="0"/>
        <v>97.979354271908633</v>
      </c>
      <c r="J4">
        <f t="shared" si="0"/>
        <v>97.541342896991438</v>
      </c>
      <c r="K4">
        <f t="shared" si="0"/>
        <v>96.394610272790686</v>
      </c>
      <c r="L4">
        <f t="shared" si="0"/>
        <v>96.156576412128587</v>
      </c>
      <c r="M4">
        <f t="shared" si="0"/>
        <v>95.998249234039889</v>
      </c>
      <c r="N4">
        <f t="shared" si="0"/>
        <v>95.990456238361261</v>
      </c>
      <c r="O4">
        <f t="shared" si="0"/>
        <v>95.857228685346001</v>
      </c>
      <c r="P4">
        <f t="shared" si="0"/>
        <v>95.572788339341756</v>
      </c>
      <c r="Q4">
        <f t="shared" si="0"/>
        <v>95.606863056158929</v>
      </c>
      <c r="R4">
        <f t="shared" si="0"/>
        <v>95.288436745505265</v>
      </c>
      <c r="S4">
        <f t="shared" si="0"/>
        <v>95.402148853799645</v>
      </c>
      <c r="T4">
        <f t="shared" si="0"/>
        <v>95.051671732522792</v>
      </c>
      <c r="U4">
        <f t="shared" si="0"/>
        <v>94.904158279382699</v>
      </c>
      <c r="V4">
        <f t="shared" si="0"/>
        <v>94.637208463770023</v>
      </c>
      <c r="W4">
        <f t="shared" si="0"/>
        <v>94.574162134457126</v>
      </c>
      <c r="X4">
        <f t="shared" si="0"/>
        <v>94.453423739504089</v>
      </c>
      <c r="Y4">
        <f t="shared" si="0"/>
        <v>94.48944379208703</v>
      </c>
      <c r="Z4">
        <f t="shared" si="0"/>
        <v>94.445118788828438</v>
      </c>
      <c r="AA4">
        <f t="shared" si="0"/>
        <v>94.347117329041311</v>
      </c>
      <c r="AB4">
        <f t="shared" si="0"/>
        <v>94.191269953383255</v>
      </c>
      <c r="AC4">
        <f t="shared" si="0"/>
        <v>94.284092545684047</v>
      </c>
      <c r="AD4">
        <f t="shared" si="0"/>
        <v>94.222927755470479</v>
      </c>
      <c r="AE4">
        <f t="shared" si="0"/>
        <v>94.144698490834898</v>
      </c>
      <c r="AF4">
        <f t="shared" si="0"/>
        <v>94.120216490694048</v>
      </c>
      <c r="AG4">
        <f t="shared" si="0"/>
        <v>94.073808203086756</v>
      </c>
      <c r="AH4">
        <f t="shared" si="0"/>
        <v>93.937205388290977</v>
      </c>
      <c r="AI4">
        <f t="shared" si="0"/>
        <v>93.825404485535032</v>
      </c>
      <c r="AJ4">
        <f t="shared" si="0"/>
        <v>93.693521778740802</v>
      </c>
      <c r="AK4">
        <f t="shared" si="0"/>
        <v>93.752356045613041</v>
      </c>
      <c r="AL4">
        <f t="shared" si="0"/>
        <v>93.762730583093273</v>
      </c>
      <c r="AM4">
        <f t="shared" si="0"/>
        <v>93.757453533580886</v>
      </c>
      <c r="AN4">
        <f t="shared" si="0"/>
        <v>93.782351866512386</v>
      </c>
      <c r="AO4">
        <f t="shared" si="0"/>
        <v>93.831228878389965</v>
      </c>
      <c r="AP4">
        <f t="shared" si="0"/>
        <v>93.941286017558809</v>
      </c>
      <c r="AQ4">
        <f t="shared" si="0"/>
        <v>94.258901462876068</v>
      </c>
    </row>
    <row r="5" spans="1:43" x14ac:dyDescent="0.2">
      <c r="A5" s="1">
        <v>1993</v>
      </c>
      <c r="B5">
        <f>[1]ALL!$D5/[1]ALL!$C5*100</f>
        <v>100</v>
      </c>
      <c r="C5">
        <f>[2]ALL!$D5/[2]ALL!$C5*100</f>
        <v>94.949494949494948</v>
      </c>
      <c r="D5">
        <f>[3]ALL!$D5/[3]ALL!$C5*100</f>
        <v>96.394610272790686</v>
      </c>
    </row>
    <row r="6" spans="1:43" x14ac:dyDescent="0.2">
      <c r="A6" s="1">
        <v>1994</v>
      </c>
      <c r="B6">
        <f>[1]ALL!$D6/[1]ALL!$C6*100</f>
        <v>88.235294117647058</v>
      </c>
      <c r="C6">
        <f>[2]ALL!$D6/[2]ALL!$C6*100</f>
        <v>95.217391304347828</v>
      </c>
      <c r="D6">
        <f>[3]ALL!$D6/[3]ALL!$C6*100</f>
        <v>96.156576412128587</v>
      </c>
      <c r="G6" t="str" cm="1">
        <f t="array" ref="G6:AQ9">TRANSPOSE(A1:D37)</f>
        <v>Year</v>
      </c>
      <c r="H6">
        <v>1990</v>
      </c>
      <c r="I6">
        <v>1991</v>
      </c>
      <c r="J6">
        <v>1992</v>
      </c>
      <c r="K6">
        <v>1993</v>
      </c>
      <c r="L6">
        <v>1994</v>
      </c>
      <c r="M6">
        <v>1995</v>
      </c>
      <c r="N6">
        <v>1996</v>
      </c>
      <c r="O6">
        <v>1997</v>
      </c>
      <c r="P6">
        <v>1998</v>
      </c>
      <c r="Q6">
        <v>1999</v>
      </c>
      <c r="R6">
        <v>2000</v>
      </c>
      <c r="S6">
        <v>2001</v>
      </c>
      <c r="T6">
        <v>2002</v>
      </c>
      <c r="U6">
        <v>2003</v>
      </c>
      <c r="V6">
        <v>2004</v>
      </c>
      <c r="W6">
        <v>2005</v>
      </c>
      <c r="X6">
        <v>2006</v>
      </c>
      <c r="Y6">
        <v>2007</v>
      </c>
      <c r="Z6">
        <v>2008</v>
      </c>
      <c r="AA6">
        <v>2009</v>
      </c>
      <c r="AB6">
        <v>2010</v>
      </c>
      <c r="AC6">
        <v>2011</v>
      </c>
      <c r="AD6">
        <v>2012</v>
      </c>
      <c r="AE6">
        <v>2013</v>
      </c>
      <c r="AF6">
        <v>2014</v>
      </c>
      <c r="AG6">
        <v>2015</v>
      </c>
      <c r="AH6">
        <v>2016</v>
      </c>
      <c r="AI6">
        <v>2017</v>
      </c>
      <c r="AJ6">
        <v>2018</v>
      </c>
      <c r="AK6">
        <v>2019</v>
      </c>
      <c r="AL6">
        <v>2020</v>
      </c>
      <c r="AM6">
        <v>2021</v>
      </c>
      <c r="AN6">
        <v>2022</v>
      </c>
      <c r="AO6">
        <v>2023</v>
      </c>
      <c r="AP6">
        <v>2024</v>
      </c>
      <c r="AQ6">
        <v>2025</v>
      </c>
    </row>
    <row r="7" spans="1:43" x14ac:dyDescent="0.2">
      <c r="A7" s="1">
        <v>1995</v>
      </c>
      <c r="B7">
        <f>[1]ALL!$D7/[1]ALL!$C7*100</f>
        <v>87.5</v>
      </c>
      <c r="C7">
        <f>[2]ALL!$D7/[2]ALL!$C7*100</f>
        <v>95.089285714285708</v>
      </c>
      <c r="D7">
        <f>[3]ALL!$D7/[3]ALL!$C7*100</f>
        <v>95.998249234039889</v>
      </c>
      <c r="G7" t="str">
        <v>PMC full text</v>
      </c>
      <c r="H7">
        <v>91.666666666666657</v>
      </c>
      <c r="I7">
        <v>100</v>
      </c>
      <c r="J7">
        <v>85.714285714285708</v>
      </c>
      <c r="K7">
        <v>100</v>
      </c>
      <c r="L7">
        <v>88.235294117647058</v>
      </c>
      <c r="M7">
        <v>87.5</v>
      </c>
      <c r="N7">
        <v>93.023255813953483</v>
      </c>
      <c r="O7">
        <v>93.835616438356169</v>
      </c>
      <c r="P7">
        <v>95.264623955431759</v>
      </c>
      <c r="Q7">
        <v>93.827160493827151</v>
      </c>
      <c r="R7">
        <v>94.649446494464939</v>
      </c>
      <c r="S7">
        <v>95.092024539877301</v>
      </c>
      <c r="T7">
        <v>94.813027744270201</v>
      </c>
      <c r="U7">
        <v>94.837310195227758</v>
      </c>
      <c r="V7">
        <v>94.630872483221466</v>
      </c>
      <c r="W7">
        <v>95.525147928994087</v>
      </c>
      <c r="X7">
        <v>94.580875291535193</v>
      </c>
      <c r="Y7">
        <v>95.253105877989981</v>
      </c>
      <c r="Z7">
        <v>95.502965742646168</v>
      </c>
      <c r="AA7">
        <v>95.661040482492297</v>
      </c>
      <c r="AB7">
        <v>95.812741486207216</v>
      </c>
      <c r="AC7">
        <v>96.02859914793099</v>
      </c>
      <c r="AD7">
        <v>96.313096760760288</v>
      </c>
      <c r="AE7">
        <v>96.290084756255411</v>
      </c>
      <c r="AF7">
        <v>96.347584602249796</v>
      </c>
      <c r="AG7">
        <v>96.42668744268336</v>
      </c>
      <c r="AH7">
        <v>96.662083936324166</v>
      </c>
      <c r="AI7">
        <v>96.518721879051327</v>
      </c>
      <c r="AJ7">
        <v>96.459927365043541</v>
      </c>
      <c r="AK7">
        <v>96.470345154283805</v>
      </c>
      <c r="AL7">
        <v>96.494137018342968</v>
      </c>
      <c r="AM7">
        <v>96.614126566748155</v>
      </c>
      <c r="AN7">
        <v>96.691903938680724</v>
      </c>
      <c r="AO7">
        <v>96.663150605278773</v>
      </c>
      <c r="AP7">
        <v>96.738345295695837</v>
      </c>
      <c r="AQ7">
        <v>96.862415807621531</v>
      </c>
    </row>
    <row r="8" spans="1:43" x14ac:dyDescent="0.2">
      <c r="A8" s="1">
        <v>1996</v>
      </c>
      <c r="B8">
        <f>[1]ALL!$D8/[1]ALL!$C8*100</f>
        <v>93.023255813953483</v>
      </c>
      <c r="C8">
        <f>[2]ALL!$D8/[2]ALL!$C8*100</f>
        <v>94.095940959409603</v>
      </c>
      <c r="D8">
        <f>[3]ALL!$D8/[3]ALL!$C8*100</f>
        <v>95.990456238361261</v>
      </c>
      <c r="G8" t="str">
        <v xml:space="preserve">PMC abstracts </v>
      </c>
      <c r="H8">
        <v>95.555555555555557</v>
      </c>
      <c r="I8">
        <v>97.122302158273371</v>
      </c>
      <c r="J8">
        <v>96.503496503496507</v>
      </c>
      <c r="K8">
        <v>94.949494949494948</v>
      </c>
      <c r="L8">
        <v>95.217391304347828</v>
      </c>
      <c r="M8">
        <v>95.089285714285708</v>
      </c>
      <c r="N8">
        <v>94.095940959409603</v>
      </c>
      <c r="O8">
        <v>93.150684931506845</v>
      </c>
      <c r="P8">
        <v>94.207317073170728</v>
      </c>
      <c r="Q8">
        <v>96.428571428571431</v>
      </c>
      <c r="R8">
        <v>93.502824858757066</v>
      </c>
      <c r="S8">
        <v>93.318485523385291</v>
      </c>
      <c r="T8">
        <v>94.423791821561338</v>
      </c>
      <c r="U8">
        <v>94.720965309200594</v>
      </c>
      <c r="V8">
        <v>93.055555555555557</v>
      </c>
      <c r="W8">
        <v>93.668122270742359</v>
      </c>
      <c r="X8">
        <v>93.781597573306371</v>
      </c>
      <c r="Y8">
        <v>93.69873228933632</v>
      </c>
      <c r="Z8">
        <v>94.081381011097406</v>
      </c>
      <c r="AA8">
        <v>94.111349036402572</v>
      </c>
      <c r="AB8">
        <v>93.908506249241597</v>
      </c>
      <c r="AC8">
        <v>94.064004053027105</v>
      </c>
      <c r="AD8">
        <v>94.367809512907115</v>
      </c>
      <c r="AE8">
        <v>93.991870607164032</v>
      </c>
      <c r="AF8">
        <v>94.19558145838981</v>
      </c>
      <c r="AG8">
        <v>93.941339559317086</v>
      </c>
      <c r="AH8">
        <v>94.18282548476455</v>
      </c>
      <c r="AI8">
        <v>93.816094491665751</v>
      </c>
      <c r="AJ8">
        <v>93.927437015408287</v>
      </c>
      <c r="AK8">
        <v>94.062728420493059</v>
      </c>
      <c r="AL8">
        <v>94.278278580319082</v>
      </c>
      <c r="AM8">
        <v>94.397317399853705</v>
      </c>
      <c r="AN8">
        <v>94.320832585680961</v>
      </c>
      <c r="AO8">
        <v>94.247109879289596</v>
      </c>
      <c r="AP8">
        <v>94.301754507748655</v>
      </c>
      <c r="AQ8">
        <v>94.75406882469521</v>
      </c>
    </row>
    <row r="9" spans="1:43" x14ac:dyDescent="0.2">
      <c r="A9" s="1">
        <v>1997</v>
      </c>
      <c r="B9">
        <f>[1]ALL!$D9/[1]ALL!$C9*100</f>
        <v>93.835616438356169</v>
      </c>
      <c r="C9">
        <f>[2]ALL!$D9/[2]ALL!$C9*100</f>
        <v>93.150684931506845</v>
      </c>
      <c r="D9">
        <f>[3]ALL!$D9/[3]ALL!$C9*100</f>
        <v>95.857228685346001</v>
      </c>
      <c r="G9" t="str">
        <v>Pubmed abstracts</v>
      </c>
      <c r="H9">
        <v>98.003064840532517</v>
      </c>
      <c r="I9">
        <v>97.979354271908633</v>
      </c>
      <c r="J9">
        <v>97.541342896991438</v>
      </c>
      <c r="K9">
        <v>96.394610272790686</v>
      </c>
      <c r="L9">
        <v>96.156576412128587</v>
      </c>
      <c r="M9">
        <v>95.998249234039889</v>
      </c>
      <c r="N9">
        <v>95.990456238361261</v>
      </c>
      <c r="O9">
        <v>95.857228685346001</v>
      </c>
      <c r="P9">
        <v>95.572788339341756</v>
      </c>
      <c r="Q9">
        <v>95.606863056158929</v>
      </c>
      <c r="R9">
        <v>95.288436745505265</v>
      </c>
      <c r="S9">
        <v>95.402148853799645</v>
      </c>
      <c r="T9">
        <v>95.051671732522792</v>
      </c>
      <c r="U9">
        <v>94.904158279382699</v>
      </c>
      <c r="V9">
        <v>94.637208463770023</v>
      </c>
      <c r="W9">
        <v>94.574162134457126</v>
      </c>
      <c r="X9">
        <v>94.453423739504089</v>
      </c>
      <c r="Y9">
        <v>94.48944379208703</v>
      </c>
      <c r="Z9">
        <v>94.445118788828438</v>
      </c>
      <c r="AA9">
        <v>94.347117329041311</v>
      </c>
      <c r="AB9">
        <v>94.191269953383255</v>
      </c>
      <c r="AC9">
        <v>94.284092545684047</v>
      </c>
      <c r="AD9">
        <v>94.222927755470479</v>
      </c>
      <c r="AE9">
        <v>94.144698490834898</v>
      </c>
      <c r="AF9">
        <v>94.120216490694048</v>
      </c>
      <c r="AG9">
        <v>94.073808203086756</v>
      </c>
      <c r="AH9">
        <v>93.937205388290977</v>
      </c>
      <c r="AI9">
        <v>93.825404485535032</v>
      </c>
      <c r="AJ9">
        <v>93.693521778740802</v>
      </c>
      <c r="AK9">
        <v>93.752356045613041</v>
      </c>
      <c r="AL9">
        <v>93.762730583093273</v>
      </c>
      <c r="AM9">
        <v>93.757453533580886</v>
      </c>
      <c r="AN9">
        <v>93.782351866512386</v>
      </c>
      <c r="AO9">
        <v>93.831228878389965</v>
      </c>
      <c r="AP9">
        <v>93.941286017558809</v>
      </c>
      <c r="AQ9">
        <v>94.258901462876068</v>
      </c>
    </row>
    <row r="10" spans="1:43" x14ac:dyDescent="0.2">
      <c r="A10" s="1">
        <v>1998</v>
      </c>
      <c r="B10">
        <f>[1]ALL!$D10/[1]ALL!$C10*100</f>
        <v>95.264623955431759</v>
      </c>
      <c r="C10">
        <f>[2]ALL!$D10/[2]ALL!$C10*100</f>
        <v>94.207317073170728</v>
      </c>
      <c r="D10">
        <f>[3]ALL!$D10/[3]ALL!$C10*100</f>
        <v>95.572788339341756</v>
      </c>
    </row>
    <row r="11" spans="1:43" x14ac:dyDescent="0.2">
      <c r="A11" s="1">
        <v>1999</v>
      </c>
      <c r="B11">
        <f>[1]ALL!$D11/[1]ALL!$C11*100</f>
        <v>93.827160493827151</v>
      </c>
      <c r="C11">
        <f>[2]ALL!$D11/[2]ALL!$C11*100</f>
        <v>96.428571428571431</v>
      </c>
      <c r="D11">
        <f>[3]ALL!$D11/[3]ALL!$C11*100</f>
        <v>95.606863056158929</v>
      </c>
    </row>
    <row r="12" spans="1:43" x14ac:dyDescent="0.2">
      <c r="A12" s="1">
        <v>2000</v>
      </c>
      <c r="B12">
        <f>[1]ALL!$D12/[1]ALL!$C12*100</f>
        <v>94.649446494464939</v>
      </c>
      <c r="C12">
        <f>[2]ALL!$D12/[2]ALL!$C12*100</f>
        <v>93.502824858757066</v>
      </c>
      <c r="D12">
        <f>[3]ALL!$D12/[3]ALL!$C12*100</f>
        <v>95.288436745505265</v>
      </c>
    </row>
    <row r="13" spans="1:43" x14ac:dyDescent="0.2">
      <c r="A13" s="1">
        <v>2001</v>
      </c>
      <c r="B13">
        <f>[1]ALL!$D13/[1]ALL!$C13*100</f>
        <v>95.092024539877301</v>
      </c>
      <c r="C13">
        <f>[2]ALL!$D13/[2]ALL!$C13*100</f>
        <v>93.318485523385291</v>
      </c>
      <c r="D13">
        <f>[3]ALL!$D13/[3]ALL!$C13*100</f>
        <v>95.402148853799645</v>
      </c>
    </row>
    <row r="14" spans="1:43" x14ac:dyDescent="0.2">
      <c r="A14" s="1">
        <v>2002</v>
      </c>
      <c r="B14">
        <f>[1]ALL!$D14/[1]ALL!$C14*100</f>
        <v>94.813027744270201</v>
      </c>
      <c r="C14">
        <f>[2]ALL!$D14/[2]ALL!$C14*100</f>
        <v>94.423791821561338</v>
      </c>
      <c r="D14">
        <f>[3]ALL!$D14/[3]ALL!$C14*100</f>
        <v>95.051671732522792</v>
      </c>
    </row>
    <row r="15" spans="1:43" x14ac:dyDescent="0.2">
      <c r="A15" s="1">
        <v>2003</v>
      </c>
      <c r="B15">
        <f>[1]ALL!$D15/[1]ALL!$C15*100</f>
        <v>94.837310195227758</v>
      </c>
      <c r="C15">
        <f>[2]ALL!$D15/[2]ALL!$C15*100</f>
        <v>94.720965309200594</v>
      </c>
      <c r="D15">
        <f>[3]ALL!$D15/[3]ALL!$C15*100</f>
        <v>94.904158279382699</v>
      </c>
    </row>
    <row r="16" spans="1:43" x14ac:dyDescent="0.2">
      <c r="A16" s="1">
        <v>2004</v>
      </c>
      <c r="B16">
        <f>[1]ALL!$D16/[1]ALL!$C16*100</f>
        <v>94.630872483221466</v>
      </c>
      <c r="C16">
        <f>[2]ALL!$D16/[2]ALL!$C16*100</f>
        <v>93.055555555555557</v>
      </c>
      <c r="D16">
        <f>[3]ALL!$D16/[3]ALL!$C16*100</f>
        <v>94.637208463770023</v>
      </c>
    </row>
    <row r="17" spans="1:9" x14ac:dyDescent="0.2">
      <c r="A17" s="1">
        <v>2005</v>
      </c>
      <c r="B17">
        <f>[1]ALL!$D17/[1]ALL!$C17*100</f>
        <v>95.525147928994087</v>
      </c>
      <c r="C17">
        <f>[2]ALL!$D17/[2]ALL!$C17*100</f>
        <v>93.668122270742359</v>
      </c>
      <c r="D17">
        <f>[3]ALL!$D17/[3]ALL!$C17*100</f>
        <v>94.574162134457126</v>
      </c>
    </row>
    <row r="18" spans="1:9" x14ac:dyDescent="0.2">
      <c r="A18" s="1">
        <v>2006</v>
      </c>
      <c r="B18">
        <f>[1]ALL!$D18/[1]ALL!$C18*100</f>
        <v>94.580875291535193</v>
      </c>
      <c r="C18">
        <f>[2]ALL!$D18/[2]ALL!$C18*100</f>
        <v>93.781597573306371</v>
      </c>
      <c r="D18">
        <f>[3]ALL!$D18/[3]ALL!$C18*100</f>
        <v>94.453423739504089</v>
      </c>
    </row>
    <row r="19" spans="1:9" x14ac:dyDescent="0.2">
      <c r="A19" s="1">
        <v>2007</v>
      </c>
      <c r="B19">
        <f>[1]ALL!$D19/[1]ALL!$C19*100</f>
        <v>95.253105877989981</v>
      </c>
      <c r="C19">
        <f>[2]ALL!$D19/[2]ALL!$C19*100</f>
        <v>93.69873228933632</v>
      </c>
      <c r="D19">
        <f>[3]ALL!$D19/[3]ALL!$C19*100</f>
        <v>94.48944379208703</v>
      </c>
    </row>
    <row r="20" spans="1:9" x14ac:dyDescent="0.2">
      <c r="A20" s="1">
        <v>2008</v>
      </c>
      <c r="B20">
        <f>[1]ALL!$D20/[1]ALL!$C20*100</f>
        <v>95.502965742646168</v>
      </c>
      <c r="C20">
        <f>[2]ALL!$D20/[2]ALL!$C20*100</f>
        <v>94.081381011097406</v>
      </c>
      <c r="D20">
        <f>[3]ALL!$D20/[3]ALL!$C20*100</f>
        <v>94.445118788828438</v>
      </c>
    </row>
    <row r="21" spans="1:9" x14ac:dyDescent="0.2">
      <c r="A21" s="1">
        <v>2009</v>
      </c>
      <c r="B21">
        <f>[1]ALL!$D21/[1]ALL!$C21*100</f>
        <v>95.661040482492297</v>
      </c>
      <c r="C21">
        <f>[2]ALL!$D21/[2]ALL!$C21*100</f>
        <v>94.111349036402572</v>
      </c>
      <c r="D21">
        <f>[3]ALL!$D21/[3]ALL!$C21*100</f>
        <v>94.347117329041311</v>
      </c>
    </row>
    <row r="22" spans="1:9" x14ac:dyDescent="0.2">
      <c r="A22" s="1">
        <v>2010</v>
      </c>
      <c r="B22">
        <f>[1]ALL!$D22/[1]ALL!$C22*100</f>
        <v>95.812741486207216</v>
      </c>
      <c r="C22">
        <f>[2]ALL!$D22/[2]ALL!$C22*100</f>
        <v>93.908506249241597</v>
      </c>
      <c r="D22">
        <f>[3]ALL!$D22/[3]ALL!$C22*100</f>
        <v>94.191269953383255</v>
      </c>
    </row>
    <row r="23" spans="1:9" x14ac:dyDescent="0.2">
      <c r="A23" s="1">
        <v>2011</v>
      </c>
      <c r="B23">
        <f>[1]ALL!$D23/[1]ALL!$C23*100</f>
        <v>96.02859914793099</v>
      </c>
      <c r="C23">
        <f>[2]ALL!$D23/[2]ALL!$C23*100</f>
        <v>94.064004053027105</v>
      </c>
      <c r="D23">
        <f>[3]ALL!$D23/[3]ALL!$C23*100</f>
        <v>94.284092545684047</v>
      </c>
    </row>
    <row r="24" spans="1:9" x14ac:dyDescent="0.2">
      <c r="A24" s="1">
        <v>2012</v>
      </c>
      <c r="B24">
        <f>[1]ALL!$D24/[1]ALL!$C24*100</f>
        <v>96.313096760760288</v>
      </c>
      <c r="C24">
        <f>[2]ALL!$D24/[2]ALL!$C24*100</f>
        <v>94.367809512907115</v>
      </c>
      <c r="D24">
        <f>[3]ALL!$D24/[3]ALL!$C24*100</f>
        <v>94.222927755470479</v>
      </c>
    </row>
    <row r="25" spans="1:9" x14ac:dyDescent="0.2">
      <c r="A25" s="1">
        <v>2013</v>
      </c>
      <c r="B25">
        <f>[1]ALL!$D25/[1]ALL!$C25*100</f>
        <v>96.290084756255411</v>
      </c>
      <c r="C25">
        <f>[2]ALL!$D25/[2]ALL!$C25*100</f>
        <v>93.991870607164032</v>
      </c>
      <c r="D25">
        <f>[3]ALL!$D25/[3]ALL!$C25*100</f>
        <v>94.144698490834898</v>
      </c>
    </row>
    <row r="26" spans="1:9" x14ac:dyDescent="0.2">
      <c r="A26" s="1">
        <v>2014</v>
      </c>
      <c r="B26">
        <f>[1]ALL!$D26/[1]ALL!$C26*100</f>
        <v>96.347584602249796</v>
      </c>
      <c r="C26">
        <f>[2]ALL!$D26/[2]ALL!$C26*100</f>
        <v>94.19558145838981</v>
      </c>
      <c r="D26">
        <f>[3]ALL!$D26/[3]ALL!$C26*100</f>
        <v>94.120216490694048</v>
      </c>
    </row>
    <row r="27" spans="1:9" x14ac:dyDescent="0.2">
      <c r="A27" s="1">
        <v>2015</v>
      </c>
      <c r="B27">
        <f>[1]ALL!$D27/[1]ALL!$C27*100</f>
        <v>96.42668744268336</v>
      </c>
      <c r="C27">
        <f>[2]ALL!$D27/[2]ALL!$C27*100</f>
        <v>93.941339559317086</v>
      </c>
      <c r="D27">
        <f>[3]ALL!$D27/[3]ALL!$C27*100</f>
        <v>94.073808203086756</v>
      </c>
    </row>
    <row r="28" spans="1:9" x14ac:dyDescent="0.2">
      <c r="A28" s="1">
        <v>2016</v>
      </c>
      <c r="B28">
        <f>[1]ALL!$D28/[1]ALL!$C28*100</f>
        <v>96.662083936324166</v>
      </c>
      <c r="C28">
        <f>[2]ALL!$D28/[2]ALL!$C28*100</f>
        <v>94.18282548476455</v>
      </c>
      <c r="D28">
        <f>[3]ALL!$D28/[3]ALL!$C28*100</f>
        <v>93.937205388290977</v>
      </c>
    </row>
    <row r="29" spans="1:9" x14ac:dyDescent="0.2">
      <c r="A29" s="1">
        <v>2017</v>
      </c>
      <c r="B29">
        <f>[1]ALL!$D29/[1]ALL!$C29*100</f>
        <v>96.518721879051327</v>
      </c>
      <c r="C29">
        <f>[2]ALL!$D29/[2]ALL!$C29*100</f>
        <v>93.816094491665751</v>
      </c>
      <c r="D29">
        <f>[3]ALL!$D29/[3]ALL!$C29*100</f>
        <v>93.825404485535032</v>
      </c>
    </row>
    <row r="30" spans="1:9" ht="16" x14ac:dyDescent="0.2">
      <c r="A30" s="1">
        <v>2018</v>
      </c>
      <c r="B30">
        <f>[1]ALL!$D30/[1]ALL!$C30*100</f>
        <v>96.459927365043541</v>
      </c>
      <c r="C30">
        <f>[2]ALL!$D30/[2]ALL!$C30*100</f>
        <v>93.927437015408287</v>
      </c>
      <c r="D30">
        <f>[3]ALL!$D30/[3]ALL!$C30*100</f>
        <v>93.693521778740802</v>
      </c>
      <c r="G30" s="1" t="s">
        <v>8</v>
      </c>
      <c r="H30" s="1" t="s">
        <v>17</v>
      </c>
      <c r="I30" s="1" t="s">
        <v>15</v>
      </c>
    </row>
    <row r="31" spans="1:9" x14ac:dyDescent="0.2">
      <c r="A31" s="1">
        <v>2019</v>
      </c>
      <c r="B31">
        <f>[1]ALL!$D31/[1]ALL!$C31*100</f>
        <v>96.470345154283805</v>
      </c>
      <c r="C31">
        <f>[2]ALL!$D31/[2]ALL!$C31*100</f>
        <v>94.062728420493059</v>
      </c>
      <c r="D31">
        <f>[3]ALL!$D31/[3]ALL!$C31*100</f>
        <v>93.752356045613041</v>
      </c>
      <c r="G31" t="s">
        <v>0</v>
      </c>
      <c r="H31" s="1">
        <f>[1]ALL!$D$38</f>
        <v>3046158</v>
      </c>
      <c r="I31" s="1" t="s">
        <v>16</v>
      </c>
    </row>
    <row r="32" spans="1:9" x14ac:dyDescent="0.2">
      <c r="A32" s="1">
        <v>2020</v>
      </c>
      <c r="B32">
        <f>[1]ALL!$D32/[1]ALL!$C32*100</f>
        <v>96.494137018342968</v>
      </c>
      <c r="C32">
        <f>[2]ALL!$D32/[2]ALL!$C32*100</f>
        <v>94.278278580319082</v>
      </c>
      <c r="D32">
        <f>[3]ALL!$D32/[3]ALL!$C32*100</f>
        <v>93.762730583093273</v>
      </c>
      <c r="G32" t="s">
        <v>1</v>
      </c>
      <c r="H32" s="1">
        <f>[2]ALL!$D$38</f>
        <v>918067</v>
      </c>
      <c r="I32" s="1" t="s">
        <v>12</v>
      </c>
    </row>
    <row r="33" spans="1:14" x14ac:dyDescent="0.2">
      <c r="A33" s="1">
        <v>2021</v>
      </c>
      <c r="B33">
        <f>[1]ALL!$D33/[1]ALL!$C33*100</f>
        <v>96.614126566748155</v>
      </c>
      <c r="C33">
        <f>[2]ALL!$D33/[2]ALL!$C33*100</f>
        <v>94.397317399853705</v>
      </c>
      <c r="D33">
        <f>[3]ALL!$D33/[3]ALL!$C33*100</f>
        <v>93.757453533580886</v>
      </c>
      <c r="G33" t="s">
        <v>2</v>
      </c>
      <c r="H33" s="1">
        <f>[3]ALL!$D$38</f>
        <v>3300701</v>
      </c>
      <c r="I33" s="2" t="s">
        <v>13</v>
      </c>
      <c r="L33" s="1"/>
      <c r="M33" s="1"/>
      <c r="N33" s="1"/>
    </row>
    <row r="34" spans="1:14" x14ac:dyDescent="0.2">
      <c r="A34" s="1">
        <v>2022</v>
      </c>
      <c r="B34">
        <f>[1]ALL!$D34/[1]ALL!$C34*100</f>
        <v>96.691903938680724</v>
      </c>
      <c r="C34">
        <f>[2]ALL!$D34/[2]ALL!$C34*100</f>
        <v>94.320832585680961</v>
      </c>
      <c r="D34">
        <f>[3]ALL!$D34/[3]ALL!$C34*100</f>
        <v>93.782351866512386</v>
      </c>
      <c r="L34" s="1"/>
      <c r="M34" s="1"/>
      <c r="N34" s="1"/>
    </row>
    <row r="35" spans="1:14" x14ac:dyDescent="0.2">
      <c r="A35" s="1">
        <v>2023</v>
      </c>
      <c r="B35">
        <f>[1]ALL!$D35/[1]ALL!$C35*100</f>
        <v>96.663150605278773</v>
      </c>
      <c r="C35">
        <f>[2]ALL!$D35/[2]ALL!$C35*100</f>
        <v>94.247109879289596</v>
      </c>
      <c r="D35">
        <f>[3]ALL!$D35/[3]ALL!$C35*100</f>
        <v>93.831228878389965</v>
      </c>
      <c r="L35" s="1"/>
      <c r="M35" s="1"/>
      <c r="N35" s="1"/>
    </row>
    <row r="36" spans="1:14" x14ac:dyDescent="0.2">
      <c r="A36" s="1">
        <v>2024</v>
      </c>
      <c r="B36">
        <f>[1]ALL!$D36/[1]ALL!$C36*100</f>
        <v>96.738345295695837</v>
      </c>
      <c r="C36">
        <f>[2]ALL!$D36/[2]ALL!$C36*100</f>
        <v>94.301754507748655</v>
      </c>
      <c r="D36">
        <f>[3]ALL!$D36/[3]ALL!$C36*100</f>
        <v>93.941286017558809</v>
      </c>
      <c r="L36" s="1"/>
      <c r="M36" s="1"/>
      <c r="N36" s="1"/>
    </row>
    <row r="37" spans="1:14" x14ac:dyDescent="0.2">
      <c r="A37" s="1">
        <v>2025</v>
      </c>
      <c r="B37">
        <f>[1]ALL!$D37/[1]ALL!$C37*100</f>
        <v>96.862415807621531</v>
      </c>
      <c r="C37">
        <f>[2]ALL!$D37/[2]ALL!$C37*100</f>
        <v>94.75406882469521</v>
      </c>
      <c r="D37">
        <f>[3]ALL!$D37/[3]ALL!$C37*100</f>
        <v>94.258901462876068</v>
      </c>
      <c r="L37" s="1"/>
      <c r="M37" s="1"/>
      <c r="N37" s="1"/>
    </row>
    <row r="38" spans="1:14" x14ac:dyDescent="0.2">
      <c r="A38" s="1" t="s">
        <v>5</v>
      </c>
      <c r="L38" s="1"/>
      <c r="M38" s="1"/>
      <c r="N38" s="1"/>
    </row>
    <row r="39" spans="1:14" x14ac:dyDescent="0.2">
      <c r="A39" s="1" t="s">
        <v>6</v>
      </c>
      <c r="L39" s="1"/>
      <c r="M39" s="1"/>
      <c r="N39" s="1"/>
    </row>
    <row r="40" spans="1:14" x14ac:dyDescent="0.2">
      <c r="A40" s="1" t="s">
        <v>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FCB9-DC10-4843-8F70-977F4320C839}">
  <dimension ref="A1:AQ40"/>
  <sheetViews>
    <sheetView zoomScale="85" zoomScaleNormal="85" workbookViewId="0">
      <selection activeCell="H31" sqref="H31"/>
    </sheetView>
  </sheetViews>
  <sheetFormatPr baseColWidth="10" defaultColWidth="8.83203125" defaultRowHeight="15" x14ac:dyDescent="0.2"/>
  <cols>
    <col min="1" max="1" width="9" style="1"/>
  </cols>
  <sheetData>
    <row r="1" spans="1:43" x14ac:dyDescent="0.2">
      <c r="A1" s="1" t="s">
        <v>4</v>
      </c>
      <c r="B1" t="s">
        <v>0</v>
      </c>
      <c r="C1" t="s">
        <v>1</v>
      </c>
      <c r="D1" t="s">
        <v>2</v>
      </c>
      <c r="F1" t="s">
        <v>3</v>
      </c>
      <c r="G1" t="str">
        <f t="shared" ref="G1:AQ4" si="0">G6</f>
        <v>Year</v>
      </c>
      <c r="H1">
        <f t="shared" si="0"/>
        <v>1990</v>
      </c>
      <c r="M1">
        <f t="shared" si="0"/>
        <v>1995</v>
      </c>
      <c r="R1">
        <f t="shared" si="0"/>
        <v>2000</v>
      </c>
      <c r="W1">
        <f t="shared" si="0"/>
        <v>2005</v>
      </c>
      <c r="AB1">
        <f t="shared" si="0"/>
        <v>2010</v>
      </c>
      <c r="AG1">
        <f t="shared" si="0"/>
        <v>2015</v>
      </c>
      <c r="AL1">
        <f t="shared" si="0"/>
        <v>2020</v>
      </c>
      <c r="AQ1">
        <f t="shared" si="0"/>
        <v>2025</v>
      </c>
    </row>
    <row r="2" spans="1:43" x14ac:dyDescent="0.2">
      <c r="A2" s="1">
        <v>1990</v>
      </c>
      <c r="B2">
        <f>[1]ALL!$E2/[1]ALL!$C2*100</f>
        <v>66.666666666666657</v>
      </c>
      <c r="C2">
        <f>[2]ALL!$E2/[2]ALL!$C2*100</f>
        <v>73.333333333333329</v>
      </c>
      <c r="D2">
        <f>[3]ALL!$E2/[3]ALL!$C2*100</f>
        <v>70.927114261086103</v>
      </c>
      <c r="G2" t="str">
        <f t="shared" si="0"/>
        <v>PMC full text</v>
      </c>
      <c r="H2">
        <f t="shared" si="0"/>
        <v>66.666666666666657</v>
      </c>
      <c r="I2">
        <f t="shared" si="0"/>
        <v>81.818181818181827</v>
      </c>
      <c r="J2">
        <f t="shared" si="0"/>
        <v>57.142857142857139</v>
      </c>
      <c r="K2">
        <f t="shared" si="0"/>
        <v>81.25</v>
      </c>
      <c r="L2">
        <f t="shared" si="0"/>
        <v>55.882352941176471</v>
      </c>
      <c r="M2">
        <f t="shared" si="0"/>
        <v>56.25</v>
      </c>
      <c r="N2">
        <f t="shared" si="0"/>
        <v>67.441860465116278</v>
      </c>
      <c r="O2">
        <f t="shared" si="0"/>
        <v>66.780821917808225</v>
      </c>
      <c r="P2">
        <f t="shared" si="0"/>
        <v>67.130919220055702</v>
      </c>
      <c r="Q2">
        <f t="shared" si="0"/>
        <v>64.691358024691354</v>
      </c>
      <c r="R2">
        <f t="shared" si="0"/>
        <v>62.177121771217713</v>
      </c>
      <c r="S2">
        <f t="shared" si="0"/>
        <v>66.97341513292433</v>
      </c>
      <c r="T2">
        <f t="shared" si="0"/>
        <v>68.87816646562122</v>
      </c>
      <c r="U2">
        <f t="shared" si="0"/>
        <v>71.062906724511933</v>
      </c>
      <c r="V2">
        <f t="shared" si="0"/>
        <v>71.666180332652459</v>
      </c>
      <c r="W2">
        <f t="shared" si="0"/>
        <v>70.728550295857985</v>
      </c>
      <c r="X2">
        <f t="shared" si="0"/>
        <v>71.614761970091919</v>
      </c>
      <c r="Y2">
        <f t="shared" si="0"/>
        <v>71.945114036714259</v>
      </c>
      <c r="Z2">
        <f t="shared" si="0"/>
        <v>72.533591574869874</v>
      </c>
      <c r="AA2">
        <f t="shared" si="0"/>
        <v>72.660216080183972</v>
      </c>
      <c r="AB2">
        <f t="shared" si="0"/>
        <v>71.74049779854434</v>
      </c>
      <c r="AC2">
        <f t="shared" si="0"/>
        <v>71.11612603872274</v>
      </c>
      <c r="AD2">
        <f t="shared" si="0"/>
        <v>70.501799577619792</v>
      </c>
      <c r="AE2">
        <f t="shared" si="0"/>
        <v>70.249766441925644</v>
      </c>
      <c r="AF2">
        <f t="shared" si="0"/>
        <v>69.60886412038991</v>
      </c>
      <c r="AG2">
        <f t="shared" si="0"/>
        <v>69.772518848554199</v>
      </c>
      <c r="AH2">
        <f t="shared" si="0"/>
        <v>69.530390738060774</v>
      </c>
      <c r="AI2">
        <f t="shared" si="0"/>
        <v>68.925239584127709</v>
      </c>
      <c r="AJ2">
        <f t="shared" si="0"/>
        <v>68.872160125994625</v>
      </c>
      <c r="AK2">
        <f t="shared" si="0"/>
        <v>68.364132981913301</v>
      </c>
      <c r="AL2">
        <f t="shared" si="0"/>
        <v>68.76115659239197</v>
      </c>
      <c r="AM2">
        <f t="shared" si="0"/>
        <v>69.792172289440074</v>
      </c>
      <c r="AN2">
        <f t="shared" si="0"/>
        <v>69.559319739226424</v>
      </c>
      <c r="AO2">
        <f t="shared" si="0"/>
        <v>69.847095158646439</v>
      </c>
      <c r="AP2">
        <f t="shared" si="0"/>
        <v>69.886376665367251</v>
      </c>
      <c r="AQ2">
        <f t="shared" si="0"/>
        <v>71.585228592357026</v>
      </c>
    </row>
    <row r="3" spans="1:43" x14ac:dyDescent="0.2">
      <c r="A3" s="1">
        <v>1991</v>
      </c>
      <c r="B3">
        <f>[1]ALL!$E3/[1]ALL!$C3*100</f>
        <v>81.818181818181827</v>
      </c>
      <c r="C3">
        <f>[2]ALL!$E3/[2]ALL!$C3*100</f>
        <v>74.82014388489209</v>
      </c>
      <c r="D3">
        <f>[3]ALL!$E3/[3]ALL!$C3*100</f>
        <v>70.731385899406988</v>
      </c>
      <c r="G3" t="str">
        <f t="shared" si="0"/>
        <v xml:space="preserve">PMC abstracts </v>
      </c>
      <c r="H3">
        <f t="shared" si="0"/>
        <v>73.333333333333329</v>
      </c>
      <c r="I3">
        <f t="shared" si="0"/>
        <v>74.82014388489209</v>
      </c>
      <c r="J3">
        <f t="shared" si="0"/>
        <v>72.027972027972027</v>
      </c>
      <c r="K3">
        <f t="shared" si="0"/>
        <v>68.686868686868678</v>
      </c>
      <c r="L3">
        <f t="shared" si="0"/>
        <v>68.260869565217391</v>
      </c>
      <c r="M3">
        <f t="shared" si="0"/>
        <v>69.196428571428569</v>
      </c>
      <c r="N3">
        <f t="shared" si="0"/>
        <v>68.634686346863475</v>
      </c>
      <c r="O3">
        <f t="shared" si="0"/>
        <v>67.123287671232873</v>
      </c>
      <c r="P3">
        <f t="shared" si="0"/>
        <v>70.731707317073173</v>
      </c>
      <c r="Q3">
        <f t="shared" si="0"/>
        <v>74.175824175824175</v>
      </c>
      <c r="R3">
        <f t="shared" si="0"/>
        <v>65.819209039548028</v>
      </c>
      <c r="S3">
        <f t="shared" si="0"/>
        <v>69.933184855233861</v>
      </c>
      <c r="T3">
        <f t="shared" si="0"/>
        <v>69.330855018587357</v>
      </c>
      <c r="U3">
        <f t="shared" si="0"/>
        <v>68.024132730015083</v>
      </c>
      <c r="V3">
        <f t="shared" si="0"/>
        <v>69.01709401709401</v>
      </c>
      <c r="W3">
        <f t="shared" si="0"/>
        <v>68.631732168850064</v>
      </c>
      <c r="X3">
        <f t="shared" si="0"/>
        <v>68.604651162790702</v>
      </c>
      <c r="Y3">
        <f t="shared" si="0"/>
        <v>66.331096196868018</v>
      </c>
      <c r="Z3">
        <f t="shared" si="0"/>
        <v>67.694204685573368</v>
      </c>
      <c r="AA3">
        <f t="shared" si="0"/>
        <v>67.773019271948613</v>
      </c>
      <c r="AB3">
        <f t="shared" si="0"/>
        <v>67.176313554180325</v>
      </c>
      <c r="AC3">
        <f t="shared" si="0"/>
        <v>67.288693743139405</v>
      </c>
      <c r="AD3">
        <f t="shared" si="0"/>
        <v>65.829088203308345</v>
      </c>
      <c r="AE3">
        <f t="shared" si="0"/>
        <v>66.364637141163513</v>
      </c>
      <c r="AF3">
        <f t="shared" si="0"/>
        <v>65.749525616698293</v>
      </c>
      <c r="AG3">
        <f t="shared" si="0"/>
        <v>66.12870275791623</v>
      </c>
      <c r="AH3">
        <f t="shared" si="0"/>
        <v>66.889952153110045</v>
      </c>
      <c r="AI3">
        <f t="shared" si="0"/>
        <v>67.177392648195166</v>
      </c>
      <c r="AJ3">
        <f t="shared" si="0"/>
        <v>66.571310197881118</v>
      </c>
      <c r="AK3">
        <f t="shared" si="0"/>
        <v>67.026048242408137</v>
      </c>
      <c r="AL3">
        <f t="shared" si="0"/>
        <v>67.590741648750935</v>
      </c>
      <c r="AM3">
        <f t="shared" si="0"/>
        <v>68.000683949045793</v>
      </c>
      <c r="AN3">
        <f t="shared" si="0"/>
        <v>66.911896644536156</v>
      </c>
      <c r="AO3">
        <f t="shared" si="0"/>
        <v>67.388133182597272</v>
      </c>
      <c r="AP3">
        <f t="shared" si="0"/>
        <v>67.243982437568334</v>
      </c>
      <c r="AQ3">
        <f t="shared" si="0"/>
        <v>68.357255820471238</v>
      </c>
    </row>
    <row r="4" spans="1:43" x14ac:dyDescent="0.2">
      <c r="A4" s="1">
        <v>1992</v>
      </c>
      <c r="B4">
        <f>[1]ALL!$E4/[1]ALL!$C4*100</f>
        <v>57.142857142857139</v>
      </c>
      <c r="C4">
        <f>[2]ALL!$E4/[2]ALL!$C4*100</f>
        <v>72.027972027972027</v>
      </c>
      <c r="D4">
        <f>[3]ALL!$E4/[3]ALL!$C4*100</f>
        <v>70.862721657700732</v>
      </c>
      <c r="G4" t="str">
        <f t="shared" si="0"/>
        <v>Pubmed abstracts</v>
      </c>
      <c r="H4">
        <f t="shared" si="0"/>
        <v>70.927114261086103</v>
      </c>
      <c r="I4">
        <f t="shared" si="0"/>
        <v>70.731385899406988</v>
      </c>
      <c r="J4">
        <f t="shared" si="0"/>
        <v>70.862721657700732</v>
      </c>
      <c r="K4">
        <f t="shared" si="0"/>
        <v>69.563461467856229</v>
      </c>
      <c r="L4">
        <f t="shared" si="0"/>
        <v>69.614305513301559</v>
      </c>
      <c r="M4">
        <f t="shared" si="0"/>
        <v>69.139623585318574</v>
      </c>
      <c r="N4">
        <f t="shared" si="0"/>
        <v>69.317388268156421</v>
      </c>
      <c r="O4">
        <f t="shared" si="0"/>
        <v>68.744879567425855</v>
      </c>
      <c r="P4">
        <f t="shared" si="0"/>
        <v>68.524522136058309</v>
      </c>
      <c r="Q4">
        <f t="shared" si="0"/>
        <v>68.642764747516665</v>
      </c>
      <c r="R4">
        <f t="shared" si="0"/>
        <v>68.378612784510437</v>
      </c>
      <c r="S4">
        <f t="shared" si="0"/>
        <v>68.634999347514025</v>
      </c>
      <c r="T4">
        <f t="shared" si="0"/>
        <v>68.36879432624113</v>
      </c>
      <c r="U4">
        <f t="shared" si="0"/>
        <v>67.956041564659159</v>
      </c>
      <c r="V4">
        <f t="shared" si="0"/>
        <v>67.765885958730109</v>
      </c>
      <c r="W4">
        <f t="shared" si="0"/>
        <v>67.706939263646461</v>
      </c>
      <c r="X4">
        <f t="shared" si="0"/>
        <v>67.733669728387284</v>
      </c>
      <c r="Y4">
        <f t="shared" si="0"/>
        <v>67.923985717366818</v>
      </c>
      <c r="Z4">
        <f t="shared" si="0"/>
        <v>67.8690840073712</v>
      </c>
      <c r="AA4">
        <f t="shared" si="0"/>
        <v>67.489992158804839</v>
      </c>
      <c r="AB4">
        <f t="shared" si="0"/>
        <v>67.318359466968019</v>
      </c>
      <c r="AC4">
        <f t="shared" si="0"/>
        <v>67.644592041613365</v>
      </c>
      <c r="AD4">
        <f t="shared" si="0"/>
        <v>67.658822797024314</v>
      </c>
      <c r="AE4">
        <f t="shared" si="0"/>
        <v>67.935459262617755</v>
      </c>
      <c r="AF4">
        <f t="shared" si="0"/>
        <v>68.260089135197489</v>
      </c>
      <c r="AG4">
        <f t="shared" si="0"/>
        <v>68.171762325839396</v>
      </c>
      <c r="AH4">
        <f t="shared" si="0"/>
        <v>68.578190189389787</v>
      </c>
      <c r="AI4">
        <f t="shared" si="0"/>
        <v>68.241853140636508</v>
      </c>
      <c r="AJ4">
        <f t="shared" si="0"/>
        <v>68.217073350897493</v>
      </c>
      <c r="AK4">
        <f t="shared" si="0"/>
        <v>68.256408444067475</v>
      </c>
      <c r="AL4">
        <f t="shared" si="0"/>
        <v>68.462536270766151</v>
      </c>
      <c r="AM4">
        <f t="shared" si="0"/>
        <v>68.840108979144659</v>
      </c>
      <c r="AN4">
        <f t="shared" si="0"/>
        <v>68.296185778373214</v>
      </c>
      <c r="AO4">
        <f t="shared" si="0"/>
        <v>68.540780469761415</v>
      </c>
      <c r="AP4">
        <f t="shared" si="0"/>
        <v>68.146008545941214</v>
      </c>
      <c r="AQ4">
        <f t="shared" si="0"/>
        <v>68.598241394266793</v>
      </c>
    </row>
    <row r="5" spans="1:43" x14ac:dyDescent="0.2">
      <c r="A5" s="1">
        <v>1993</v>
      </c>
      <c r="B5">
        <f>[1]ALL!$E5/[1]ALL!$C5*100</f>
        <v>81.25</v>
      </c>
      <c r="C5">
        <f>[2]ALL!$E5/[2]ALL!$C5*100</f>
        <v>68.686868686868678</v>
      </c>
      <c r="D5">
        <f>[3]ALL!$E5/[3]ALL!$C5*100</f>
        <v>69.563461467856229</v>
      </c>
    </row>
    <row r="6" spans="1:43" x14ac:dyDescent="0.2">
      <c r="A6" s="1">
        <v>1994</v>
      </c>
      <c r="B6">
        <f>[1]ALL!$E6/[1]ALL!$C6*100</f>
        <v>55.882352941176471</v>
      </c>
      <c r="C6">
        <f>[2]ALL!$E6/[2]ALL!$C6*100</f>
        <v>68.260869565217391</v>
      </c>
      <c r="D6">
        <f>[3]ALL!$E6/[3]ALL!$C6*100</f>
        <v>69.614305513301559</v>
      </c>
      <c r="G6" t="str" cm="1">
        <f t="array" ref="G6:AQ9">TRANSPOSE(A1:D37)</f>
        <v>Year</v>
      </c>
      <c r="H6">
        <v>1990</v>
      </c>
      <c r="I6">
        <v>1991</v>
      </c>
      <c r="J6">
        <v>1992</v>
      </c>
      <c r="K6">
        <v>1993</v>
      </c>
      <c r="L6">
        <v>1994</v>
      </c>
      <c r="M6">
        <v>1995</v>
      </c>
      <c r="N6">
        <v>1996</v>
      </c>
      <c r="O6">
        <v>1997</v>
      </c>
      <c r="P6">
        <v>1998</v>
      </c>
      <c r="Q6">
        <v>1999</v>
      </c>
      <c r="R6">
        <v>2000</v>
      </c>
      <c r="S6">
        <v>2001</v>
      </c>
      <c r="T6">
        <v>2002</v>
      </c>
      <c r="U6">
        <v>2003</v>
      </c>
      <c r="V6">
        <v>2004</v>
      </c>
      <c r="W6">
        <v>2005</v>
      </c>
      <c r="X6">
        <v>2006</v>
      </c>
      <c r="Y6">
        <v>2007</v>
      </c>
      <c r="Z6">
        <v>2008</v>
      </c>
      <c r="AA6">
        <v>2009</v>
      </c>
      <c r="AB6">
        <v>2010</v>
      </c>
      <c r="AC6">
        <v>2011</v>
      </c>
      <c r="AD6">
        <v>2012</v>
      </c>
      <c r="AE6">
        <v>2013</v>
      </c>
      <c r="AF6">
        <v>2014</v>
      </c>
      <c r="AG6">
        <v>2015</v>
      </c>
      <c r="AH6">
        <v>2016</v>
      </c>
      <c r="AI6">
        <v>2017</v>
      </c>
      <c r="AJ6">
        <v>2018</v>
      </c>
      <c r="AK6">
        <v>2019</v>
      </c>
      <c r="AL6">
        <v>2020</v>
      </c>
      <c r="AM6">
        <v>2021</v>
      </c>
      <c r="AN6">
        <v>2022</v>
      </c>
      <c r="AO6">
        <v>2023</v>
      </c>
      <c r="AP6">
        <v>2024</v>
      </c>
      <c r="AQ6">
        <v>2025</v>
      </c>
    </row>
    <row r="7" spans="1:43" x14ac:dyDescent="0.2">
      <c r="A7" s="1">
        <v>1995</v>
      </c>
      <c r="B7">
        <f>[1]ALL!$E7/[1]ALL!$C7*100</f>
        <v>56.25</v>
      </c>
      <c r="C7">
        <f>[2]ALL!$E7/[2]ALL!$C7*100</f>
        <v>69.196428571428569</v>
      </c>
      <c r="D7">
        <f>[3]ALL!$E7/[3]ALL!$C7*100</f>
        <v>69.139623585318574</v>
      </c>
      <c r="G7" t="str">
        <v>PMC full text</v>
      </c>
      <c r="H7">
        <v>66.666666666666657</v>
      </c>
      <c r="I7">
        <v>81.818181818181827</v>
      </c>
      <c r="J7">
        <v>57.142857142857139</v>
      </c>
      <c r="K7">
        <v>81.25</v>
      </c>
      <c r="L7">
        <v>55.882352941176471</v>
      </c>
      <c r="M7">
        <v>56.25</v>
      </c>
      <c r="N7">
        <v>67.441860465116278</v>
      </c>
      <c r="O7">
        <v>66.780821917808225</v>
      </c>
      <c r="P7">
        <v>67.130919220055702</v>
      </c>
      <c r="Q7">
        <v>64.691358024691354</v>
      </c>
      <c r="R7">
        <v>62.177121771217713</v>
      </c>
      <c r="S7">
        <v>66.97341513292433</v>
      </c>
      <c r="T7">
        <v>68.87816646562122</v>
      </c>
      <c r="U7">
        <v>71.062906724511933</v>
      </c>
      <c r="V7">
        <v>71.666180332652459</v>
      </c>
      <c r="W7">
        <v>70.728550295857985</v>
      </c>
      <c r="X7">
        <v>71.614761970091919</v>
      </c>
      <c r="Y7">
        <v>71.945114036714259</v>
      </c>
      <c r="Z7">
        <v>72.533591574869874</v>
      </c>
      <c r="AA7">
        <v>72.660216080183972</v>
      </c>
      <c r="AB7">
        <v>71.74049779854434</v>
      </c>
      <c r="AC7">
        <v>71.11612603872274</v>
      </c>
      <c r="AD7">
        <v>70.501799577619792</v>
      </c>
      <c r="AE7">
        <v>70.249766441925644</v>
      </c>
      <c r="AF7">
        <v>69.60886412038991</v>
      </c>
      <c r="AG7">
        <v>69.772518848554199</v>
      </c>
      <c r="AH7">
        <v>69.530390738060774</v>
      </c>
      <c r="AI7">
        <v>68.925239584127709</v>
      </c>
      <c r="AJ7">
        <v>68.872160125994625</v>
      </c>
      <c r="AK7">
        <v>68.364132981913301</v>
      </c>
      <c r="AL7">
        <v>68.76115659239197</v>
      </c>
      <c r="AM7">
        <v>69.792172289440074</v>
      </c>
      <c r="AN7">
        <v>69.559319739226424</v>
      </c>
      <c r="AO7">
        <v>69.847095158646439</v>
      </c>
      <c r="AP7">
        <v>69.886376665367251</v>
      </c>
      <c r="AQ7">
        <v>71.585228592357026</v>
      </c>
    </row>
    <row r="8" spans="1:43" x14ac:dyDescent="0.2">
      <c r="A8" s="1">
        <v>1996</v>
      </c>
      <c r="B8">
        <f>[1]ALL!$E8/[1]ALL!$C8*100</f>
        <v>67.441860465116278</v>
      </c>
      <c r="C8">
        <f>[2]ALL!$E8/[2]ALL!$C8*100</f>
        <v>68.634686346863475</v>
      </c>
      <c r="D8">
        <f>[3]ALL!$E8/[3]ALL!$C8*100</f>
        <v>69.317388268156421</v>
      </c>
      <c r="G8" t="str">
        <v xml:space="preserve">PMC abstracts </v>
      </c>
      <c r="H8">
        <v>73.333333333333329</v>
      </c>
      <c r="I8">
        <v>74.82014388489209</v>
      </c>
      <c r="J8">
        <v>72.027972027972027</v>
      </c>
      <c r="K8">
        <v>68.686868686868678</v>
      </c>
      <c r="L8">
        <v>68.260869565217391</v>
      </c>
      <c r="M8">
        <v>69.196428571428569</v>
      </c>
      <c r="N8">
        <v>68.634686346863475</v>
      </c>
      <c r="O8">
        <v>67.123287671232873</v>
      </c>
      <c r="P8">
        <v>70.731707317073173</v>
      </c>
      <c r="Q8">
        <v>74.175824175824175</v>
      </c>
      <c r="R8">
        <v>65.819209039548028</v>
      </c>
      <c r="S8">
        <v>69.933184855233861</v>
      </c>
      <c r="T8">
        <v>69.330855018587357</v>
      </c>
      <c r="U8">
        <v>68.024132730015083</v>
      </c>
      <c r="V8">
        <v>69.01709401709401</v>
      </c>
      <c r="W8">
        <v>68.631732168850064</v>
      </c>
      <c r="X8">
        <v>68.604651162790702</v>
      </c>
      <c r="Y8">
        <v>66.331096196868018</v>
      </c>
      <c r="Z8">
        <v>67.694204685573368</v>
      </c>
      <c r="AA8">
        <v>67.773019271948613</v>
      </c>
      <c r="AB8">
        <v>67.176313554180325</v>
      </c>
      <c r="AC8">
        <v>67.288693743139405</v>
      </c>
      <c r="AD8">
        <v>65.829088203308345</v>
      </c>
      <c r="AE8">
        <v>66.364637141163513</v>
      </c>
      <c r="AF8">
        <v>65.749525616698293</v>
      </c>
      <c r="AG8">
        <v>66.12870275791623</v>
      </c>
      <c r="AH8">
        <v>66.889952153110045</v>
      </c>
      <c r="AI8">
        <v>67.177392648195166</v>
      </c>
      <c r="AJ8">
        <v>66.571310197881118</v>
      </c>
      <c r="AK8">
        <v>67.026048242408137</v>
      </c>
      <c r="AL8">
        <v>67.590741648750935</v>
      </c>
      <c r="AM8">
        <v>68.000683949045793</v>
      </c>
      <c r="AN8">
        <v>66.911896644536156</v>
      </c>
      <c r="AO8">
        <v>67.388133182597272</v>
      </c>
      <c r="AP8">
        <v>67.243982437568334</v>
      </c>
      <c r="AQ8">
        <v>68.357255820471238</v>
      </c>
    </row>
    <row r="9" spans="1:43" x14ac:dyDescent="0.2">
      <c r="A9" s="1">
        <v>1997</v>
      </c>
      <c r="B9">
        <f>[1]ALL!$E9/[1]ALL!$C9*100</f>
        <v>66.780821917808225</v>
      </c>
      <c r="C9">
        <f>[2]ALL!$E9/[2]ALL!$C9*100</f>
        <v>67.123287671232873</v>
      </c>
      <c r="D9">
        <f>[3]ALL!$E9/[3]ALL!$C9*100</f>
        <v>68.744879567425855</v>
      </c>
      <c r="G9" t="str">
        <v>Pubmed abstracts</v>
      </c>
      <c r="H9">
        <v>70.927114261086103</v>
      </c>
      <c r="I9">
        <v>70.731385899406988</v>
      </c>
      <c r="J9">
        <v>70.862721657700732</v>
      </c>
      <c r="K9">
        <v>69.563461467856229</v>
      </c>
      <c r="L9">
        <v>69.614305513301559</v>
      </c>
      <c r="M9">
        <v>69.139623585318574</v>
      </c>
      <c r="N9">
        <v>69.317388268156421</v>
      </c>
      <c r="O9">
        <v>68.744879567425855</v>
      </c>
      <c r="P9">
        <v>68.524522136058309</v>
      </c>
      <c r="Q9">
        <v>68.642764747516665</v>
      </c>
      <c r="R9">
        <v>68.378612784510437</v>
      </c>
      <c r="S9">
        <v>68.634999347514025</v>
      </c>
      <c r="T9">
        <v>68.36879432624113</v>
      </c>
      <c r="U9">
        <v>67.956041564659159</v>
      </c>
      <c r="V9">
        <v>67.765885958730109</v>
      </c>
      <c r="W9">
        <v>67.706939263646461</v>
      </c>
      <c r="X9">
        <v>67.733669728387284</v>
      </c>
      <c r="Y9">
        <v>67.923985717366818</v>
      </c>
      <c r="Z9">
        <v>67.8690840073712</v>
      </c>
      <c r="AA9">
        <v>67.489992158804839</v>
      </c>
      <c r="AB9">
        <v>67.318359466968019</v>
      </c>
      <c r="AC9">
        <v>67.644592041613365</v>
      </c>
      <c r="AD9">
        <v>67.658822797024314</v>
      </c>
      <c r="AE9">
        <v>67.935459262617755</v>
      </c>
      <c r="AF9">
        <v>68.260089135197489</v>
      </c>
      <c r="AG9">
        <v>68.171762325839396</v>
      </c>
      <c r="AH9">
        <v>68.578190189389787</v>
      </c>
      <c r="AI9">
        <v>68.241853140636508</v>
      </c>
      <c r="AJ9">
        <v>68.217073350897493</v>
      </c>
      <c r="AK9">
        <v>68.256408444067475</v>
      </c>
      <c r="AL9">
        <v>68.462536270766151</v>
      </c>
      <c r="AM9">
        <v>68.840108979144659</v>
      </c>
      <c r="AN9">
        <v>68.296185778373214</v>
      </c>
      <c r="AO9">
        <v>68.540780469761415</v>
      </c>
      <c r="AP9">
        <v>68.146008545941214</v>
      </c>
      <c r="AQ9">
        <v>68.598241394266793</v>
      </c>
    </row>
    <row r="10" spans="1:43" x14ac:dyDescent="0.2">
      <c r="A10" s="1">
        <v>1998</v>
      </c>
      <c r="B10">
        <f>[1]ALL!$E10/[1]ALL!$C10*100</f>
        <v>67.130919220055702</v>
      </c>
      <c r="C10">
        <f>[2]ALL!$E10/[2]ALL!$C10*100</f>
        <v>70.731707317073173</v>
      </c>
      <c r="D10">
        <f>[3]ALL!$E10/[3]ALL!$C10*100</f>
        <v>68.524522136058309</v>
      </c>
    </row>
    <row r="11" spans="1:43" x14ac:dyDescent="0.2">
      <c r="A11" s="1">
        <v>1999</v>
      </c>
      <c r="B11">
        <f>[1]ALL!$E11/[1]ALL!$C11*100</f>
        <v>64.691358024691354</v>
      </c>
      <c r="C11">
        <f>[2]ALL!$E11/[2]ALL!$C11*100</f>
        <v>74.175824175824175</v>
      </c>
      <c r="D11">
        <f>[3]ALL!$E11/[3]ALL!$C11*100</f>
        <v>68.642764747516665</v>
      </c>
    </row>
    <row r="12" spans="1:43" x14ac:dyDescent="0.2">
      <c r="A12" s="1">
        <v>2000</v>
      </c>
      <c r="B12">
        <f>[1]ALL!$E12/[1]ALL!$C12*100</f>
        <v>62.177121771217713</v>
      </c>
      <c r="C12">
        <f>[2]ALL!$E12/[2]ALL!$C12*100</f>
        <v>65.819209039548028</v>
      </c>
      <c r="D12">
        <f>[3]ALL!$E12/[3]ALL!$C12*100</f>
        <v>68.378612784510437</v>
      </c>
    </row>
    <row r="13" spans="1:43" x14ac:dyDescent="0.2">
      <c r="A13" s="1">
        <v>2001</v>
      </c>
      <c r="B13">
        <f>[1]ALL!$E13/[1]ALL!$C13*100</f>
        <v>66.97341513292433</v>
      </c>
      <c r="C13">
        <f>[2]ALL!$E13/[2]ALL!$C13*100</f>
        <v>69.933184855233861</v>
      </c>
      <c r="D13">
        <f>[3]ALL!$E13/[3]ALL!$C13*100</f>
        <v>68.634999347514025</v>
      </c>
    </row>
    <row r="14" spans="1:43" x14ac:dyDescent="0.2">
      <c r="A14" s="1">
        <v>2002</v>
      </c>
      <c r="B14">
        <f>[1]ALL!$E14/[1]ALL!$C14*100</f>
        <v>68.87816646562122</v>
      </c>
      <c r="C14">
        <f>[2]ALL!$E14/[2]ALL!$C14*100</f>
        <v>69.330855018587357</v>
      </c>
      <c r="D14">
        <f>[3]ALL!$E14/[3]ALL!$C14*100</f>
        <v>68.36879432624113</v>
      </c>
    </row>
    <row r="15" spans="1:43" x14ac:dyDescent="0.2">
      <c r="A15" s="1">
        <v>2003</v>
      </c>
      <c r="B15">
        <f>[1]ALL!$E15/[1]ALL!$C15*100</f>
        <v>71.062906724511933</v>
      </c>
      <c r="C15">
        <f>[2]ALL!$E15/[2]ALL!$C15*100</f>
        <v>68.024132730015083</v>
      </c>
      <c r="D15">
        <f>[3]ALL!$E15/[3]ALL!$C15*100</f>
        <v>67.956041564659159</v>
      </c>
    </row>
    <row r="16" spans="1:43" x14ac:dyDescent="0.2">
      <c r="A16" s="1">
        <v>2004</v>
      </c>
      <c r="B16">
        <f>[1]ALL!$E16/[1]ALL!$C16*100</f>
        <v>71.666180332652459</v>
      </c>
      <c r="C16">
        <f>[2]ALL!$E16/[2]ALL!$C16*100</f>
        <v>69.01709401709401</v>
      </c>
      <c r="D16">
        <f>[3]ALL!$E16/[3]ALL!$C16*100</f>
        <v>67.765885958730109</v>
      </c>
    </row>
    <row r="17" spans="1:9" x14ac:dyDescent="0.2">
      <c r="A17" s="1">
        <v>2005</v>
      </c>
      <c r="B17">
        <f>[1]ALL!$E17/[1]ALL!$C17*100</f>
        <v>70.728550295857985</v>
      </c>
      <c r="C17">
        <f>[2]ALL!$E17/[2]ALL!$C17*100</f>
        <v>68.631732168850064</v>
      </c>
      <c r="D17">
        <f>[3]ALL!$E17/[3]ALL!$C17*100</f>
        <v>67.706939263646461</v>
      </c>
    </row>
    <row r="18" spans="1:9" x14ac:dyDescent="0.2">
      <c r="A18" s="1">
        <v>2006</v>
      </c>
      <c r="B18">
        <f>[1]ALL!$E18/[1]ALL!$C18*100</f>
        <v>71.614761970091919</v>
      </c>
      <c r="C18">
        <f>[2]ALL!$E18/[2]ALL!$C18*100</f>
        <v>68.604651162790702</v>
      </c>
      <c r="D18">
        <f>[3]ALL!$E18/[3]ALL!$C18*100</f>
        <v>67.733669728387284</v>
      </c>
    </row>
    <row r="19" spans="1:9" x14ac:dyDescent="0.2">
      <c r="A19" s="1">
        <v>2007</v>
      </c>
      <c r="B19">
        <f>[1]ALL!$E19/[1]ALL!$C19*100</f>
        <v>71.945114036714259</v>
      </c>
      <c r="C19">
        <f>[2]ALL!$E19/[2]ALL!$C19*100</f>
        <v>66.331096196868018</v>
      </c>
      <c r="D19">
        <f>[3]ALL!$E19/[3]ALL!$C19*100</f>
        <v>67.923985717366818</v>
      </c>
    </row>
    <row r="20" spans="1:9" x14ac:dyDescent="0.2">
      <c r="A20" s="1">
        <v>2008</v>
      </c>
      <c r="B20">
        <f>[1]ALL!$E20/[1]ALL!$C20*100</f>
        <v>72.533591574869874</v>
      </c>
      <c r="C20">
        <f>[2]ALL!$E20/[2]ALL!$C20*100</f>
        <v>67.694204685573368</v>
      </c>
      <c r="D20">
        <f>[3]ALL!$E20/[3]ALL!$C20*100</f>
        <v>67.8690840073712</v>
      </c>
    </row>
    <row r="21" spans="1:9" x14ac:dyDescent="0.2">
      <c r="A21" s="1">
        <v>2009</v>
      </c>
      <c r="B21">
        <f>[1]ALL!$E21/[1]ALL!$C21*100</f>
        <v>72.660216080183972</v>
      </c>
      <c r="C21">
        <f>[2]ALL!$E21/[2]ALL!$C21*100</f>
        <v>67.773019271948613</v>
      </c>
      <c r="D21">
        <f>[3]ALL!$E21/[3]ALL!$C21*100</f>
        <v>67.489992158804839</v>
      </c>
    </row>
    <row r="22" spans="1:9" x14ac:dyDescent="0.2">
      <c r="A22" s="1">
        <v>2010</v>
      </c>
      <c r="B22">
        <f>[1]ALL!$E22/[1]ALL!$C22*100</f>
        <v>71.74049779854434</v>
      </c>
      <c r="C22">
        <f>[2]ALL!$E22/[2]ALL!$C22*100</f>
        <v>67.176313554180325</v>
      </c>
      <c r="D22">
        <f>[3]ALL!$E22/[3]ALL!$C22*100</f>
        <v>67.318359466968019</v>
      </c>
    </row>
    <row r="23" spans="1:9" x14ac:dyDescent="0.2">
      <c r="A23" s="1">
        <v>2011</v>
      </c>
      <c r="B23">
        <f>[1]ALL!$E23/[1]ALL!$C23*100</f>
        <v>71.11612603872274</v>
      </c>
      <c r="C23">
        <f>[2]ALL!$E23/[2]ALL!$C23*100</f>
        <v>67.288693743139405</v>
      </c>
      <c r="D23">
        <f>[3]ALL!$E23/[3]ALL!$C23*100</f>
        <v>67.644592041613365</v>
      </c>
    </row>
    <row r="24" spans="1:9" x14ac:dyDescent="0.2">
      <c r="A24" s="1">
        <v>2012</v>
      </c>
      <c r="B24">
        <f>[1]ALL!$E24/[1]ALL!$C24*100</f>
        <v>70.501799577619792</v>
      </c>
      <c r="C24">
        <f>[2]ALL!$E24/[2]ALL!$C24*100</f>
        <v>65.829088203308345</v>
      </c>
      <c r="D24">
        <f>[3]ALL!$E24/[3]ALL!$C24*100</f>
        <v>67.658822797024314</v>
      </c>
    </row>
    <row r="25" spans="1:9" x14ac:dyDescent="0.2">
      <c r="A25" s="1">
        <v>2013</v>
      </c>
      <c r="B25">
        <f>[1]ALL!$E25/[1]ALL!$C25*100</f>
        <v>70.249766441925644</v>
      </c>
      <c r="C25">
        <f>[2]ALL!$E25/[2]ALL!$C25*100</f>
        <v>66.364637141163513</v>
      </c>
      <c r="D25">
        <f>[3]ALL!$E25/[3]ALL!$C25*100</f>
        <v>67.935459262617755</v>
      </c>
    </row>
    <row r="26" spans="1:9" x14ac:dyDescent="0.2">
      <c r="A26" s="1">
        <v>2014</v>
      </c>
      <c r="B26">
        <f>[1]ALL!$E26/[1]ALL!$C26*100</f>
        <v>69.60886412038991</v>
      </c>
      <c r="C26">
        <f>[2]ALL!$E26/[2]ALL!$C26*100</f>
        <v>65.749525616698293</v>
      </c>
      <c r="D26">
        <f>[3]ALL!$E26/[3]ALL!$C26*100</f>
        <v>68.260089135197489</v>
      </c>
    </row>
    <row r="27" spans="1:9" x14ac:dyDescent="0.2">
      <c r="A27" s="1">
        <v>2015</v>
      </c>
      <c r="B27">
        <f>[1]ALL!$E27/[1]ALL!$C27*100</f>
        <v>69.772518848554199</v>
      </c>
      <c r="C27">
        <f>[2]ALL!$E27/[2]ALL!$C27*100</f>
        <v>66.12870275791623</v>
      </c>
      <c r="D27">
        <f>[3]ALL!$E27/[3]ALL!$C27*100</f>
        <v>68.171762325839396</v>
      </c>
    </row>
    <row r="28" spans="1:9" x14ac:dyDescent="0.2">
      <c r="A28" s="1">
        <v>2016</v>
      </c>
      <c r="B28">
        <f>[1]ALL!$E28/[1]ALL!$C28*100</f>
        <v>69.530390738060774</v>
      </c>
      <c r="C28">
        <f>[2]ALL!$E28/[2]ALL!$C28*100</f>
        <v>66.889952153110045</v>
      </c>
      <c r="D28">
        <f>[3]ALL!$E28/[3]ALL!$C28*100</f>
        <v>68.578190189389787</v>
      </c>
    </row>
    <row r="29" spans="1:9" x14ac:dyDescent="0.2">
      <c r="A29" s="1">
        <v>2017</v>
      </c>
      <c r="B29">
        <f>[1]ALL!$E29/[1]ALL!$C29*100</f>
        <v>68.925239584127709</v>
      </c>
      <c r="C29">
        <f>[2]ALL!$E29/[2]ALL!$C29*100</f>
        <v>67.177392648195166</v>
      </c>
      <c r="D29">
        <f>[3]ALL!$E29/[3]ALL!$C29*100</f>
        <v>68.241853140636508</v>
      </c>
    </row>
    <row r="30" spans="1:9" ht="16" x14ac:dyDescent="0.2">
      <c r="A30" s="1">
        <v>2018</v>
      </c>
      <c r="B30">
        <f>[1]ALL!$E30/[1]ALL!$C30*100</f>
        <v>68.872160125994625</v>
      </c>
      <c r="C30">
        <f>[2]ALL!$E30/[2]ALL!$C30*100</f>
        <v>66.571310197881118</v>
      </c>
      <c r="D30">
        <f>[3]ALL!$E30/[3]ALL!$C30*100</f>
        <v>68.217073350897493</v>
      </c>
      <c r="G30" s="1" t="s">
        <v>8</v>
      </c>
      <c r="H30" s="1" t="s">
        <v>10</v>
      </c>
      <c r="I30" s="1" t="s">
        <v>9</v>
      </c>
    </row>
    <row r="31" spans="1:9" x14ac:dyDescent="0.2">
      <c r="A31" s="1">
        <v>2019</v>
      </c>
      <c r="B31">
        <f>[1]ALL!$E31/[1]ALL!$C31*100</f>
        <v>68.364132981913301</v>
      </c>
      <c r="C31">
        <f>[2]ALL!$E31/[2]ALL!$C31*100</f>
        <v>67.026048242408137</v>
      </c>
      <c r="D31">
        <f>[3]ALL!$E31/[3]ALL!$C31*100</f>
        <v>68.256408444067475</v>
      </c>
      <c r="G31" t="s">
        <v>0</v>
      </c>
      <c r="H31" s="1"/>
      <c r="I31" s="1"/>
    </row>
    <row r="32" spans="1:9" x14ac:dyDescent="0.2">
      <c r="A32" s="1">
        <v>2020</v>
      </c>
      <c r="B32">
        <f>[1]ALL!$E32/[1]ALL!$C32*100</f>
        <v>68.76115659239197</v>
      </c>
      <c r="C32">
        <f>[2]ALL!$E32/[2]ALL!$C32*100</f>
        <v>67.590741648750935</v>
      </c>
      <c r="D32">
        <f>[3]ALL!$E32/[3]ALL!$C32*100</f>
        <v>68.462536270766151</v>
      </c>
      <c r="G32" t="s">
        <v>1</v>
      </c>
      <c r="H32" s="1"/>
      <c r="I32" s="1"/>
    </row>
    <row r="33" spans="1:14" x14ac:dyDescent="0.2">
      <c r="A33" s="1">
        <v>2021</v>
      </c>
      <c r="B33">
        <f>[1]ALL!$E33/[1]ALL!$C33*100</f>
        <v>69.792172289440074</v>
      </c>
      <c r="C33">
        <f>[2]ALL!$E33/[2]ALL!$C33*100</f>
        <v>68.000683949045793</v>
      </c>
      <c r="D33">
        <f>[3]ALL!$E33/[3]ALL!$C33*100</f>
        <v>68.840108979144659</v>
      </c>
      <c r="G33" t="s">
        <v>2</v>
      </c>
      <c r="H33" s="1"/>
      <c r="I33" s="1"/>
      <c r="L33" s="1"/>
      <c r="M33" s="1"/>
      <c r="N33" s="1"/>
    </row>
    <row r="34" spans="1:14" x14ac:dyDescent="0.2">
      <c r="A34" s="1">
        <v>2022</v>
      </c>
      <c r="B34">
        <f>[1]ALL!$E34/[1]ALL!$C34*100</f>
        <v>69.559319739226424</v>
      </c>
      <c r="C34">
        <f>[2]ALL!$E34/[2]ALL!$C34*100</f>
        <v>66.911896644536156</v>
      </c>
      <c r="D34">
        <f>[3]ALL!$E34/[3]ALL!$C34*100</f>
        <v>68.296185778373214</v>
      </c>
      <c r="L34" s="1"/>
      <c r="M34" s="1"/>
      <c r="N34" s="1"/>
    </row>
    <row r="35" spans="1:14" x14ac:dyDescent="0.2">
      <c r="A35" s="1">
        <v>2023</v>
      </c>
      <c r="B35">
        <f>[1]ALL!$E35/[1]ALL!$C35*100</f>
        <v>69.847095158646439</v>
      </c>
      <c r="C35">
        <f>[2]ALL!$E35/[2]ALL!$C35*100</f>
        <v>67.388133182597272</v>
      </c>
      <c r="D35">
        <f>[3]ALL!$E35/[3]ALL!$C35*100</f>
        <v>68.540780469761415</v>
      </c>
      <c r="L35" s="1"/>
      <c r="M35" s="1"/>
      <c r="N35" s="1"/>
    </row>
    <row r="36" spans="1:14" x14ac:dyDescent="0.2">
      <c r="A36" s="1">
        <v>2024</v>
      </c>
      <c r="B36">
        <f>[1]ALL!$E36/[1]ALL!$C36*100</f>
        <v>69.886376665367251</v>
      </c>
      <c r="C36">
        <f>[2]ALL!$E36/[2]ALL!$C36*100</f>
        <v>67.243982437568334</v>
      </c>
      <c r="D36">
        <f>[3]ALL!$E36/[3]ALL!$C36*100</f>
        <v>68.146008545941214</v>
      </c>
      <c r="L36" s="1"/>
      <c r="M36" s="1"/>
      <c r="N36" s="1"/>
    </row>
    <row r="37" spans="1:14" x14ac:dyDescent="0.2">
      <c r="A37" s="1">
        <v>2025</v>
      </c>
      <c r="B37">
        <f>[1]ALL!$E37/[1]ALL!$C37*100</f>
        <v>71.585228592357026</v>
      </c>
      <c r="C37">
        <f>[2]ALL!$E37/[2]ALL!$C37*100</f>
        <v>68.357255820471238</v>
      </c>
      <c r="D37">
        <f>[3]ALL!$E37/[3]ALL!$C37*100</f>
        <v>68.598241394266793</v>
      </c>
      <c r="L37" s="1"/>
      <c r="M37" s="1"/>
      <c r="N37" s="1"/>
    </row>
    <row r="38" spans="1:14" x14ac:dyDescent="0.2">
      <c r="A38" s="1" t="s">
        <v>5</v>
      </c>
      <c r="L38" s="1"/>
      <c r="M38" s="1"/>
      <c r="N38" s="1"/>
    </row>
    <row r="39" spans="1:14" x14ac:dyDescent="0.2">
      <c r="A39" s="1" t="s">
        <v>6</v>
      </c>
      <c r="L39" s="1"/>
      <c r="M39" s="1"/>
      <c r="N39" s="1"/>
    </row>
    <row r="40" spans="1:14" x14ac:dyDescent="0.2">
      <c r="A40" s="1" t="s">
        <v>7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1002-E3E7-4549-8683-9AFC7ABE64CD}">
  <dimension ref="A1:AQ40"/>
  <sheetViews>
    <sheetView tabSelected="1" zoomScale="90" zoomScaleNormal="85" workbookViewId="0">
      <selection activeCell="F20" sqref="F20"/>
    </sheetView>
  </sheetViews>
  <sheetFormatPr baseColWidth="10" defaultColWidth="8.83203125" defaultRowHeight="15" x14ac:dyDescent="0.2"/>
  <cols>
    <col min="1" max="1" width="9" style="1"/>
  </cols>
  <sheetData>
    <row r="1" spans="1:43" x14ac:dyDescent="0.2">
      <c r="A1" s="1" t="s">
        <v>4</v>
      </c>
      <c r="B1" t="s">
        <v>0</v>
      </c>
      <c r="C1" t="s">
        <v>1</v>
      </c>
      <c r="D1" t="s">
        <v>2</v>
      </c>
      <c r="F1" t="s">
        <v>3</v>
      </c>
      <c r="G1" t="str">
        <f t="shared" ref="G1:AQ4" si="0">G6</f>
        <v>Year</v>
      </c>
      <c r="H1">
        <f t="shared" si="0"/>
        <v>1990</v>
      </c>
      <c r="M1">
        <f t="shared" si="0"/>
        <v>1995</v>
      </c>
      <c r="R1">
        <f t="shared" si="0"/>
        <v>2000</v>
      </c>
      <c r="W1">
        <f t="shared" si="0"/>
        <v>2005</v>
      </c>
      <c r="AB1">
        <f t="shared" si="0"/>
        <v>2010</v>
      </c>
      <c r="AG1">
        <f t="shared" si="0"/>
        <v>2015</v>
      </c>
      <c r="AL1">
        <f t="shared" si="0"/>
        <v>2020</v>
      </c>
      <c r="AQ1">
        <f t="shared" si="0"/>
        <v>2025</v>
      </c>
    </row>
    <row r="2" spans="1:43" x14ac:dyDescent="0.2">
      <c r="A2" s="1">
        <v>1990</v>
      </c>
      <c r="B2">
        <f>[1]ALL!$F2/[1]ALL!$C2*100</f>
        <v>33.333333333333329</v>
      </c>
      <c r="C2">
        <f>[2]ALL!$F2/[2]ALL!$C2*100</f>
        <v>60</v>
      </c>
      <c r="D2">
        <f>[3]ALL!$F2/[3]ALL!$C2*100</f>
        <v>46.394023560961593</v>
      </c>
      <c r="G2" t="str">
        <f t="shared" si="0"/>
        <v>PMC full text</v>
      </c>
      <c r="H2">
        <f t="shared" si="0"/>
        <v>33.333333333333329</v>
      </c>
      <c r="I2">
        <f t="shared" si="0"/>
        <v>72.727272727272734</v>
      </c>
      <c r="J2">
        <f t="shared" si="0"/>
        <v>42.857142857142854</v>
      </c>
      <c r="K2">
        <f t="shared" si="0"/>
        <v>56.25</v>
      </c>
      <c r="L2">
        <f t="shared" si="0"/>
        <v>41.17647058823529</v>
      </c>
      <c r="M2">
        <f t="shared" si="0"/>
        <v>37.5</v>
      </c>
      <c r="N2">
        <f t="shared" si="0"/>
        <v>41.860465116279073</v>
      </c>
      <c r="O2">
        <f t="shared" si="0"/>
        <v>45.547945205479451</v>
      </c>
      <c r="P2">
        <f t="shared" si="0"/>
        <v>47.075208913649021</v>
      </c>
      <c r="Q2">
        <f t="shared" si="0"/>
        <v>48.395061728395063</v>
      </c>
      <c r="R2">
        <f t="shared" si="0"/>
        <v>45.20295202952029</v>
      </c>
      <c r="S2">
        <f t="shared" si="0"/>
        <v>52.351738241308801</v>
      </c>
      <c r="T2">
        <f t="shared" si="0"/>
        <v>53.679131483715317</v>
      </c>
      <c r="U2">
        <f t="shared" si="0"/>
        <v>57.483731019522779</v>
      </c>
      <c r="V2">
        <f t="shared" si="0"/>
        <v>59.118762766267871</v>
      </c>
      <c r="W2">
        <f t="shared" si="0"/>
        <v>57.008136094674555</v>
      </c>
      <c r="X2">
        <f t="shared" si="0"/>
        <v>58.375634517766493</v>
      </c>
      <c r="Y2">
        <f t="shared" si="0"/>
        <v>59.18783608381235</v>
      </c>
      <c r="Z2">
        <f t="shared" si="0"/>
        <v>59.351168139450429</v>
      </c>
      <c r="AA2">
        <f t="shared" si="0"/>
        <v>59.665032325248404</v>
      </c>
      <c r="AB2">
        <f t="shared" si="0"/>
        <v>58.954083924880941</v>
      </c>
      <c r="AC2">
        <f t="shared" si="0"/>
        <v>58.280254777070063</v>
      </c>
      <c r="AD2">
        <f t="shared" si="0"/>
        <v>57.245902614592936</v>
      </c>
      <c r="AE2">
        <f t="shared" si="0"/>
        <v>57.310086332068934</v>
      </c>
      <c r="AF2">
        <f t="shared" si="0"/>
        <v>56.865283758807358</v>
      </c>
      <c r="AG2">
        <f t="shared" si="0"/>
        <v>57.291489137227217</v>
      </c>
      <c r="AH2">
        <f t="shared" si="0"/>
        <v>57.5260492040521</v>
      </c>
      <c r="AI2">
        <f t="shared" si="0"/>
        <v>57.001321843463224</v>
      </c>
      <c r="AJ2">
        <f t="shared" si="0"/>
        <v>57.289352749667977</v>
      </c>
      <c r="AK2">
        <f t="shared" si="0"/>
        <v>57.181517187161411</v>
      </c>
      <c r="AL2">
        <f t="shared" si="0"/>
        <v>58.06467745906685</v>
      </c>
      <c r="AM2">
        <f t="shared" si="0"/>
        <v>59.455282349683003</v>
      </c>
      <c r="AN2">
        <f t="shared" si="0"/>
        <v>59.299691737310198</v>
      </c>
      <c r="AO2">
        <f t="shared" si="0"/>
        <v>60.079944132609086</v>
      </c>
      <c r="AP2">
        <f t="shared" si="0"/>
        <v>60.339322158270079</v>
      </c>
      <c r="AQ2">
        <f t="shared" si="0"/>
        <v>62.420095403140799</v>
      </c>
    </row>
    <row r="3" spans="1:43" x14ac:dyDescent="0.2">
      <c r="A3" s="1">
        <v>1991</v>
      </c>
      <c r="B3">
        <f>[1]ALL!$F3/[1]ALL!$C3*100</f>
        <v>72.727272727272734</v>
      </c>
      <c r="C3">
        <f>[2]ALL!$F3/[2]ALL!$C3*100</f>
        <v>56.115107913669057</v>
      </c>
      <c r="D3">
        <f>[3]ALL!$F3/[3]ALL!$C3*100</f>
        <v>46.167362178783222</v>
      </c>
      <c r="G3" t="str">
        <f t="shared" si="0"/>
        <v xml:space="preserve">PMC abstracts </v>
      </c>
      <c r="H3">
        <f t="shared" si="0"/>
        <v>60</v>
      </c>
      <c r="I3">
        <f t="shared" si="0"/>
        <v>56.115107913669057</v>
      </c>
      <c r="J3">
        <f t="shared" si="0"/>
        <v>51.748251748251747</v>
      </c>
      <c r="K3">
        <f t="shared" si="0"/>
        <v>49.494949494949495</v>
      </c>
      <c r="L3">
        <f t="shared" si="0"/>
        <v>51.304347826086961</v>
      </c>
      <c r="M3">
        <f t="shared" si="0"/>
        <v>47.321428571428569</v>
      </c>
      <c r="N3">
        <f t="shared" si="0"/>
        <v>49.446494464944649</v>
      </c>
      <c r="O3">
        <f t="shared" si="0"/>
        <v>49.315068493150683</v>
      </c>
      <c r="P3">
        <f t="shared" si="0"/>
        <v>56.40243902439024</v>
      </c>
      <c r="Q3">
        <f t="shared" si="0"/>
        <v>55.769230769230774</v>
      </c>
      <c r="R3">
        <f t="shared" si="0"/>
        <v>49.435028248587571</v>
      </c>
      <c r="S3">
        <f t="shared" si="0"/>
        <v>48.775055679287306</v>
      </c>
      <c r="T3">
        <f t="shared" si="0"/>
        <v>53.159851301115246</v>
      </c>
      <c r="U3">
        <f t="shared" si="0"/>
        <v>52.488687782805435</v>
      </c>
      <c r="V3">
        <f t="shared" si="0"/>
        <v>54.166666666666664</v>
      </c>
      <c r="W3">
        <f t="shared" si="0"/>
        <v>52.91120815138283</v>
      </c>
      <c r="X3">
        <f t="shared" si="0"/>
        <v>55.005055611729013</v>
      </c>
      <c r="Y3">
        <f t="shared" si="0"/>
        <v>52.125279642058167</v>
      </c>
      <c r="Z3">
        <f t="shared" si="0"/>
        <v>52.774352651048083</v>
      </c>
      <c r="AA3">
        <f t="shared" si="0"/>
        <v>53.586723768736618</v>
      </c>
      <c r="AB3">
        <f t="shared" si="0"/>
        <v>53.100351899041378</v>
      </c>
      <c r="AC3">
        <f t="shared" si="0"/>
        <v>53.499957780967655</v>
      </c>
      <c r="AD3">
        <f t="shared" si="0"/>
        <v>51.51393738194723</v>
      </c>
      <c r="AE3">
        <f t="shared" si="0"/>
        <v>52.218646794817516</v>
      </c>
      <c r="AF3">
        <f t="shared" si="0"/>
        <v>52.443074003795061</v>
      </c>
      <c r="AG3">
        <f t="shared" si="0"/>
        <v>52.893623230701877</v>
      </c>
      <c r="AH3">
        <f t="shared" si="0"/>
        <v>54.00906572651725</v>
      </c>
      <c r="AI3">
        <f t="shared" si="0"/>
        <v>53.952974942046581</v>
      </c>
      <c r="AJ3">
        <f t="shared" si="0"/>
        <v>53.569948902085351</v>
      </c>
      <c r="AK3">
        <f t="shared" si="0"/>
        <v>54.28932154960463</v>
      </c>
      <c r="AL3">
        <f t="shared" si="0"/>
        <v>55.062296483486087</v>
      </c>
      <c r="AM3">
        <f t="shared" si="0"/>
        <v>56.059123595292149</v>
      </c>
      <c r="AN3">
        <f t="shared" si="0"/>
        <v>54.996492830693441</v>
      </c>
      <c r="AO3">
        <f t="shared" si="0"/>
        <v>55.767477480762921</v>
      </c>
      <c r="AP3">
        <f t="shared" si="0"/>
        <v>55.889141488641691</v>
      </c>
      <c r="AQ3">
        <f t="shared" si="0"/>
        <v>56.967549496526736</v>
      </c>
    </row>
    <row r="4" spans="1:43" x14ac:dyDescent="0.2">
      <c r="A4" s="1">
        <v>1992</v>
      </c>
      <c r="B4">
        <f>[1]ALL!$F4/[1]ALL!$C4*100</f>
        <v>42.857142857142854</v>
      </c>
      <c r="C4">
        <f>[2]ALL!$F4/[2]ALL!$C4*100</f>
        <v>51.748251748251747</v>
      </c>
      <c r="D4">
        <f>[3]ALL!$F4/[3]ALL!$C4*100</f>
        <v>46.893803546523209</v>
      </c>
      <c r="G4" t="str">
        <f t="shared" si="0"/>
        <v>Pubmed abstracts</v>
      </c>
      <c r="H4">
        <f t="shared" si="0"/>
        <v>46.394023560961593</v>
      </c>
      <c r="I4">
        <f t="shared" si="0"/>
        <v>46.167362178783222</v>
      </c>
      <c r="J4">
        <f t="shared" si="0"/>
        <v>46.893803546523209</v>
      </c>
      <c r="K4">
        <f t="shared" si="0"/>
        <v>47.413444946212877</v>
      </c>
      <c r="L4">
        <f t="shared" si="0"/>
        <v>47.828144542473716</v>
      </c>
      <c r="M4">
        <f t="shared" si="0"/>
        <v>47.84593259551054</v>
      </c>
      <c r="N4">
        <f t="shared" si="0"/>
        <v>48.585893854748605</v>
      </c>
      <c r="O4">
        <f t="shared" si="0"/>
        <v>49.303621169916433</v>
      </c>
      <c r="P4">
        <f t="shared" si="0"/>
        <v>49.11429831159063</v>
      </c>
      <c r="Q4">
        <f t="shared" si="0"/>
        <v>49.776682205354746</v>
      </c>
      <c r="R4">
        <f t="shared" si="0"/>
        <v>49.921473945758422</v>
      </c>
      <c r="S4">
        <f t="shared" si="0"/>
        <v>50.015224672669532</v>
      </c>
      <c r="T4">
        <f t="shared" si="0"/>
        <v>49.935157041540016</v>
      </c>
      <c r="U4">
        <f t="shared" si="0"/>
        <v>49.766969515623018</v>
      </c>
      <c r="V4">
        <f t="shared" si="0"/>
        <v>50.03523839181814</v>
      </c>
      <c r="W4">
        <f t="shared" si="0"/>
        <v>50.149491728124374</v>
      </c>
      <c r="X4">
        <f t="shared" si="0"/>
        <v>50.362018895940921</v>
      </c>
      <c r="Y4">
        <f t="shared" si="0"/>
        <v>51.071197488557118</v>
      </c>
      <c r="Z4">
        <f t="shared" si="0"/>
        <v>51.066506295311342</v>
      </c>
      <c r="AA4">
        <f t="shared" si="0"/>
        <v>51.11737031075895</v>
      </c>
      <c r="AB4">
        <f t="shared" si="0"/>
        <v>51.433818335923156</v>
      </c>
      <c r="AC4">
        <f t="shared" si="0"/>
        <v>52.129380967307412</v>
      </c>
      <c r="AD4">
        <f t="shared" si="0"/>
        <v>52.335263174277088</v>
      </c>
      <c r="AE4">
        <f t="shared" si="0"/>
        <v>53.01509165101367</v>
      </c>
      <c r="AF4">
        <f t="shared" si="0"/>
        <v>53.581446774821018</v>
      </c>
      <c r="AG4">
        <f t="shared" si="0"/>
        <v>53.897608248768236</v>
      </c>
      <c r="AH4">
        <f t="shared" si="0"/>
        <v>54.416193245935894</v>
      </c>
      <c r="AI4">
        <f t="shared" si="0"/>
        <v>54.422671509486676</v>
      </c>
      <c r="AJ4">
        <f t="shared" si="0"/>
        <v>54.456085489867775</v>
      </c>
      <c r="AK4">
        <f t="shared" si="0"/>
        <v>54.84756384883611</v>
      </c>
      <c r="AL4">
        <f t="shared" si="0"/>
        <v>55.36911527982538</v>
      </c>
      <c r="AM4">
        <f t="shared" si="0"/>
        <v>56.129592103859835</v>
      </c>
      <c r="AN4">
        <f t="shared" si="0"/>
        <v>55.840590301037288</v>
      </c>
      <c r="AO4">
        <f t="shared" si="0"/>
        <v>56.428535400238744</v>
      </c>
      <c r="AP4">
        <f t="shared" si="0"/>
        <v>56.294623223893893</v>
      </c>
      <c r="AQ4">
        <f t="shared" si="0"/>
        <v>56.933086234769924</v>
      </c>
    </row>
    <row r="5" spans="1:43" x14ac:dyDescent="0.2">
      <c r="A5" s="1">
        <v>1993</v>
      </c>
      <c r="B5">
        <f>[1]ALL!$F5/[1]ALL!$C5*100</f>
        <v>56.25</v>
      </c>
      <c r="C5">
        <f>[2]ALL!$F5/[2]ALL!$C5*100</f>
        <v>49.494949494949495</v>
      </c>
      <c r="D5">
        <f>[3]ALL!$F5/[3]ALL!$C5*100</f>
        <v>47.413444946212877</v>
      </c>
    </row>
    <row r="6" spans="1:43" x14ac:dyDescent="0.2">
      <c r="A6" s="1">
        <v>1994</v>
      </c>
      <c r="B6">
        <f>[1]ALL!$F6/[1]ALL!$C6*100</f>
        <v>41.17647058823529</v>
      </c>
      <c r="C6">
        <f>[2]ALL!$F6/[2]ALL!$C6*100</f>
        <v>51.304347826086961</v>
      </c>
      <c r="D6">
        <f>[3]ALL!$F6/[3]ALL!$C6*100</f>
        <v>47.828144542473716</v>
      </c>
      <c r="G6" t="str" cm="1">
        <f t="array" ref="G6:AQ9">TRANSPOSE(A1:D37)</f>
        <v>Year</v>
      </c>
      <c r="H6">
        <v>1990</v>
      </c>
      <c r="I6">
        <v>1991</v>
      </c>
      <c r="J6">
        <v>1992</v>
      </c>
      <c r="K6">
        <v>1993</v>
      </c>
      <c r="L6">
        <v>1994</v>
      </c>
      <c r="M6">
        <v>1995</v>
      </c>
      <c r="N6">
        <v>1996</v>
      </c>
      <c r="O6">
        <v>1997</v>
      </c>
      <c r="P6">
        <v>1998</v>
      </c>
      <c r="Q6">
        <v>1999</v>
      </c>
      <c r="R6">
        <v>2000</v>
      </c>
      <c r="S6">
        <v>2001</v>
      </c>
      <c r="T6">
        <v>2002</v>
      </c>
      <c r="U6">
        <v>2003</v>
      </c>
      <c r="V6">
        <v>2004</v>
      </c>
      <c r="W6">
        <v>2005</v>
      </c>
      <c r="X6">
        <v>2006</v>
      </c>
      <c r="Y6">
        <v>2007</v>
      </c>
      <c r="Z6">
        <v>2008</v>
      </c>
      <c r="AA6">
        <v>2009</v>
      </c>
      <c r="AB6">
        <v>2010</v>
      </c>
      <c r="AC6">
        <v>2011</v>
      </c>
      <c r="AD6">
        <v>2012</v>
      </c>
      <c r="AE6">
        <v>2013</v>
      </c>
      <c r="AF6">
        <v>2014</v>
      </c>
      <c r="AG6">
        <v>2015</v>
      </c>
      <c r="AH6">
        <v>2016</v>
      </c>
      <c r="AI6">
        <v>2017</v>
      </c>
      <c r="AJ6">
        <v>2018</v>
      </c>
      <c r="AK6">
        <v>2019</v>
      </c>
      <c r="AL6">
        <v>2020</v>
      </c>
      <c r="AM6">
        <v>2021</v>
      </c>
      <c r="AN6">
        <v>2022</v>
      </c>
      <c r="AO6">
        <v>2023</v>
      </c>
      <c r="AP6">
        <v>2024</v>
      </c>
      <c r="AQ6">
        <v>2025</v>
      </c>
    </row>
    <row r="7" spans="1:43" x14ac:dyDescent="0.2">
      <c r="A7" s="1">
        <v>1995</v>
      </c>
      <c r="B7">
        <f>[1]ALL!$F7/[1]ALL!$C7*100</f>
        <v>37.5</v>
      </c>
      <c r="C7">
        <f>[2]ALL!$F7/[2]ALL!$C7*100</f>
        <v>47.321428571428569</v>
      </c>
      <c r="D7">
        <f>[3]ALL!$F7/[3]ALL!$C7*100</f>
        <v>47.84593259551054</v>
      </c>
      <c r="G7" t="str">
        <v>PMC full text</v>
      </c>
      <c r="H7">
        <v>33.333333333333329</v>
      </c>
      <c r="I7">
        <v>72.727272727272734</v>
      </c>
      <c r="J7">
        <v>42.857142857142854</v>
      </c>
      <c r="K7">
        <v>56.25</v>
      </c>
      <c r="L7">
        <v>41.17647058823529</v>
      </c>
      <c r="M7">
        <v>37.5</v>
      </c>
      <c r="N7">
        <v>41.860465116279073</v>
      </c>
      <c r="O7">
        <v>45.547945205479451</v>
      </c>
      <c r="P7">
        <v>47.075208913649021</v>
      </c>
      <c r="Q7">
        <v>48.395061728395063</v>
      </c>
      <c r="R7">
        <v>45.20295202952029</v>
      </c>
      <c r="S7">
        <v>52.351738241308801</v>
      </c>
      <c r="T7">
        <v>53.679131483715317</v>
      </c>
      <c r="U7">
        <v>57.483731019522779</v>
      </c>
      <c r="V7">
        <v>59.118762766267871</v>
      </c>
      <c r="W7">
        <v>57.008136094674555</v>
      </c>
      <c r="X7">
        <v>58.375634517766493</v>
      </c>
      <c r="Y7">
        <v>59.18783608381235</v>
      </c>
      <c r="Z7">
        <v>59.351168139450429</v>
      </c>
      <c r="AA7">
        <v>59.665032325248404</v>
      </c>
      <c r="AB7">
        <v>58.954083924880941</v>
      </c>
      <c r="AC7">
        <v>58.280254777070063</v>
      </c>
      <c r="AD7">
        <v>57.245902614592936</v>
      </c>
      <c r="AE7">
        <v>57.310086332068934</v>
      </c>
      <c r="AF7">
        <v>56.865283758807358</v>
      </c>
      <c r="AG7">
        <v>57.291489137227217</v>
      </c>
      <c r="AH7">
        <v>57.5260492040521</v>
      </c>
      <c r="AI7">
        <v>57.001321843463224</v>
      </c>
      <c r="AJ7">
        <v>57.289352749667977</v>
      </c>
      <c r="AK7">
        <v>57.181517187161411</v>
      </c>
      <c r="AL7">
        <v>58.06467745906685</v>
      </c>
      <c r="AM7">
        <v>59.455282349683003</v>
      </c>
      <c r="AN7">
        <v>59.299691737310198</v>
      </c>
      <c r="AO7">
        <v>60.079944132609086</v>
      </c>
      <c r="AP7">
        <v>60.339322158270079</v>
      </c>
      <c r="AQ7">
        <v>62.420095403140799</v>
      </c>
    </row>
    <row r="8" spans="1:43" x14ac:dyDescent="0.2">
      <c r="A8" s="1">
        <v>1996</v>
      </c>
      <c r="B8">
        <f>[1]ALL!$F8/[1]ALL!$C8*100</f>
        <v>41.860465116279073</v>
      </c>
      <c r="C8">
        <f>[2]ALL!$F8/[2]ALL!$C8*100</f>
        <v>49.446494464944649</v>
      </c>
      <c r="D8">
        <f>[3]ALL!$F8/[3]ALL!$C8*100</f>
        <v>48.585893854748605</v>
      </c>
      <c r="G8" t="str">
        <v xml:space="preserve">PMC abstracts </v>
      </c>
      <c r="H8">
        <v>60</v>
      </c>
      <c r="I8">
        <v>56.115107913669057</v>
      </c>
      <c r="J8">
        <v>51.748251748251747</v>
      </c>
      <c r="K8">
        <v>49.494949494949495</v>
      </c>
      <c r="L8">
        <v>51.304347826086961</v>
      </c>
      <c r="M8">
        <v>47.321428571428569</v>
      </c>
      <c r="N8">
        <v>49.446494464944649</v>
      </c>
      <c r="O8">
        <v>49.315068493150683</v>
      </c>
      <c r="P8">
        <v>56.40243902439024</v>
      </c>
      <c r="Q8">
        <v>55.769230769230774</v>
      </c>
      <c r="R8">
        <v>49.435028248587571</v>
      </c>
      <c r="S8">
        <v>48.775055679287306</v>
      </c>
      <c r="T8">
        <v>53.159851301115246</v>
      </c>
      <c r="U8">
        <v>52.488687782805435</v>
      </c>
      <c r="V8">
        <v>54.166666666666664</v>
      </c>
      <c r="W8">
        <v>52.91120815138283</v>
      </c>
      <c r="X8">
        <v>55.005055611729013</v>
      </c>
      <c r="Y8">
        <v>52.125279642058167</v>
      </c>
      <c r="Z8">
        <v>52.774352651048083</v>
      </c>
      <c r="AA8">
        <v>53.586723768736618</v>
      </c>
      <c r="AB8">
        <v>53.100351899041378</v>
      </c>
      <c r="AC8">
        <v>53.499957780967655</v>
      </c>
      <c r="AD8">
        <v>51.51393738194723</v>
      </c>
      <c r="AE8">
        <v>52.218646794817516</v>
      </c>
      <c r="AF8">
        <v>52.443074003795061</v>
      </c>
      <c r="AG8">
        <v>52.893623230701877</v>
      </c>
      <c r="AH8">
        <v>54.00906572651725</v>
      </c>
      <c r="AI8">
        <v>53.952974942046581</v>
      </c>
      <c r="AJ8">
        <v>53.569948902085351</v>
      </c>
      <c r="AK8">
        <v>54.28932154960463</v>
      </c>
      <c r="AL8">
        <v>55.062296483486087</v>
      </c>
      <c r="AM8">
        <v>56.059123595292149</v>
      </c>
      <c r="AN8">
        <v>54.996492830693441</v>
      </c>
      <c r="AO8">
        <v>55.767477480762921</v>
      </c>
      <c r="AP8">
        <v>55.889141488641691</v>
      </c>
      <c r="AQ8">
        <v>56.967549496526736</v>
      </c>
    </row>
    <row r="9" spans="1:43" x14ac:dyDescent="0.2">
      <c r="A9" s="1">
        <v>1997</v>
      </c>
      <c r="B9">
        <f>[1]ALL!$F9/[1]ALL!$C9*100</f>
        <v>45.547945205479451</v>
      </c>
      <c r="C9">
        <f>[2]ALL!$F9/[2]ALL!$C9*100</f>
        <v>49.315068493150683</v>
      </c>
      <c r="D9">
        <f>[3]ALL!$F9/[3]ALL!$C9*100</f>
        <v>49.303621169916433</v>
      </c>
      <c r="G9" t="str">
        <v>Pubmed abstracts</v>
      </c>
      <c r="H9">
        <v>46.394023560961593</v>
      </c>
      <c r="I9">
        <v>46.167362178783222</v>
      </c>
      <c r="J9">
        <v>46.893803546523209</v>
      </c>
      <c r="K9">
        <v>47.413444946212877</v>
      </c>
      <c r="L9">
        <v>47.828144542473716</v>
      </c>
      <c r="M9">
        <v>47.84593259551054</v>
      </c>
      <c r="N9">
        <v>48.585893854748605</v>
      </c>
      <c r="O9">
        <v>49.303621169916433</v>
      </c>
      <c r="P9">
        <v>49.11429831159063</v>
      </c>
      <c r="Q9">
        <v>49.776682205354746</v>
      </c>
      <c r="R9">
        <v>49.921473945758422</v>
      </c>
      <c r="S9">
        <v>50.015224672669532</v>
      </c>
      <c r="T9">
        <v>49.935157041540016</v>
      </c>
      <c r="U9">
        <v>49.766969515623018</v>
      </c>
      <c r="V9">
        <v>50.03523839181814</v>
      </c>
      <c r="W9">
        <v>50.149491728124374</v>
      </c>
      <c r="X9">
        <v>50.362018895940921</v>
      </c>
      <c r="Y9">
        <v>51.071197488557118</v>
      </c>
      <c r="Z9">
        <v>51.066506295311342</v>
      </c>
      <c r="AA9">
        <v>51.11737031075895</v>
      </c>
      <c r="AB9">
        <v>51.433818335923156</v>
      </c>
      <c r="AC9">
        <v>52.129380967307412</v>
      </c>
      <c r="AD9">
        <v>52.335263174277088</v>
      </c>
      <c r="AE9">
        <v>53.01509165101367</v>
      </c>
      <c r="AF9">
        <v>53.581446774821018</v>
      </c>
      <c r="AG9">
        <v>53.897608248768236</v>
      </c>
      <c r="AH9">
        <v>54.416193245935894</v>
      </c>
      <c r="AI9">
        <v>54.422671509486676</v>
      </c>
      <c r="AJ9">
        <v>54.456085489867775</v>
      </c>
      <c r="AK9">
        <v>54.84756384883611</v>
      </c>
      <c r="AL9">
        <v>55.36911527982538</v>
      </c>
      <c r="AM9">
        <v>56.129592103859835</v>
      </c>
      <c r="AN9">
        <v>55.840590301037288</v>
      </c>
      <c r="AO9">
        <v>56.428535400238744</v>
      </c>
      <c r="AP9">
        <v>56.294623223893893</v>
      </c>
      <c r="AQ9">
        <v>56.933086234769924</v>
      </c>
    </row>
    <row r="10" spans="1:43" x14ac:dyDescent="0.2">
      <c r="A10" s="1">
        <v>1998</v>
      </c>
      <c r="B10">
        <f>[1]ALL!$F10/[1]ALL!$C10*100</f>
        <v>47.075208913649021</v>
      </c>
      <c r="C10">
        <f>[2]ALL!$F10/[2]ALL!$C10*100</f>
        <v>56.40243902439024</v>
      </c>
      <c r="D10">
        <f>[3]ALL!$F10/[3]ALL!$C10*100</f>
        <v>49.11429831159063</v>
      </c>
    </row>
    <row r="11" spans="1:43" x14ac:dyDescent="0.2">
      <c r="A11" s="1">
        <v>1999</v>
      </c>
      <c r="B11">
        <f>[1]ALL!$F11/[1]ALL!$C11*100</f>
        <v>48.395061728395063</v>
      </c>
      <c r="C11">
        <f>[2]ALL!$F11/[2]ALL!$C11*100</f>
        <v>55.769230769230774</v>
      </c>
      <c r="D11">
        <f>[3]ALL!$F11/[3]ALL!$C11*100</f>
        <v>49.776682205354746</v>
      </c>
    </row>
    <row r="12" spans="1:43" x14ac:dyDescent="0.2">
      <c r="A12" s="1">
        <v>2000</v>
      </c>
      <c r="B12">
        <f>[1]ALL!$F12/[1]ALL!$C12*100</f>
        <v>45.20295202952029</v>
      </c>
      <c r="C12">
        <f>[2]ALL!$F12/[2]ALL!$C12*100</f>
        <v>49.435028248587571</v>
      </c>
      <c r="D12">
        <f>[3]ALL!$F12/[3]ALL!$C12*100</f>
        <v>49.921473945758422</v>
      </c>
    </row>
    <row r="13" spans="1:43" x14ac:dyDescent="0.2">
      <c r="A13" s="1">
        <v>2001</v>
      </c>
      <c r="B13">
        <f>[1]ALL!$F13/[1]ALL!$C13*100</f>
        <v>52.351738241308801</v>
      </c>
      <c r="C13">
        <f>[2]ALL!$F13/[2]ALL!$C13*100</f>
        <v>48.775055679287306</v>
      </c>
      <c r="D13">
        <f>[3]ALL!$F13/[3]ALL!$C13*100</f>
        <v>50.015224672669532</v>
      </c>
    </row>
    <row r="14" spans="1:43" x14ac:dyDescent="0.2">
      <c r="A14" s="1">
        <v>2002</v>
      </c>
      <c r="B14">
        <f>[1]ALL!$F14/[1]ALL!$C14*100</f>
        <v>53.679131483715317</v>
      </c>
      <c r="C14">
        <f>[2]ALL!$F14/[2]ALL!$C14*100</f>
        <v>53.159851301115246</v>
      </c>
      <c r="D14">
        <f>[3]ALL!$F14/[3]ALL!$C14*100</f>
        <v>49.935157041540016</v>
      </c>
    </row>
    <row r="15" spans="1:43" x14ac:dyDescent="0.2">
      <c r="A15" s="1">
        <v>2003</v>
      </c>
      <c r="B15">
        <f>[1]ALL!$F15/[1]ALL!$C15*100</f>
        <v>57.483731019522779</v>
      </c>
      <c r="C15">
        <f>[2]ALL!$F15/[2]ALL!$C15*100</f>
        <v>52.488687782805435</v>
      </c>
      <c r="D15">
        <f>[3]ALL!$F15/[3]ALL!$C15*100</f>
        <v>49.766969515623018</v>
      </c>
    </row>
    <row r="16" spans="1:43" x14ac:dyDescent="0.2">
      <c r="A16" s="1">
        <v>2004</v>
      </c>
      <c r="B16">
        <f>[1]ALL!$F16/[1]ALL!$C16*100</f>
        <v>59.118762766267871</v>
      </c>
      <c r="C16">
        <f>[2]ALL!$F16/[2]ALL!$C16*100</f>
        <v>54.166666666666664</v>
      </c>
      <c r="D16">
        <f>[3]ALL!$F16/[3]ALL!$C16*100</f>
        <v>50.03523839181814</v>
      </c>
    </row>
    <row r="17" spans="1:9" x14ac:dyDescent="0.2">
      <c r="A17" s="1">
        <v>2005</v>
      </c>
      <c r="B17">
        <f>[1]ALL!$F17/[1]ALL!$C17*100</f>
        <v>57.008136094674555</v>
      </c>
      <c r="C17">
        <f>[2]ALL!$F17/[2]ALL!$C17*100</f>
        <v>52.91120815138283</v>
      </c>
      <c r="D17">
        <f>[3]ALL!$F17/[3]ALL!$C17*100</f>
        <v>50.149491728124374</v>
      </c>
    </row>
    <row r="18" spans="1:9" x14ac:dyDescent="0.2">
      <c r="A18" s="1">
        <v>2006</v>
      </c>
      <c r="B18">
        <f>[1]ALL!$F18/[1]ALL!$C18*100</f>
        <v>58.375634517766493</v>
      </c>
      <c r="C18">
        <f>[2]ALL!$F18/[2]ALL!$C18*100</f>
        <v>55.005055611729013</v>
      </c>
      <c r="D18">
        <f>[3]ALL!$F18/[3]ALL!$C18*100</f>
        <v>50.362018895940921</v>
      </c>
      <c r="I18" t="s">
        <v>18</v>
      </c>
    </row>
    <row r="19" spans="1:9" x14ac:dyDescent="0.2">
      <c r="A19" s="1">
        <v>2007</v>
      </c>
      <c r="B19">
        <f>[1]ALL!$F19/[1]ALL!$C19*100</f>
        <v>59.18783608381235</v>
      </c>
      <c r="C19">
        <f>[2]ALL!$F19/[2]ALL!$C19*100</f>
        <v>52.125279642058167</v>
      </c>
      <c r="D19">
        <f>[3]ALL!$F19/[3]ALL!$C19*100</f>
        <v>51.071197488557118</v>
      </c>
    </row>
    <row r="20" spans="1:9" x14ac:dyDescent="0.2">
      <c r="A20" s="1">
        <v>2008</v>
      </c>
      <c r="B20">
        <f>[1]ALL!$F20/[1]ALL!$C20*100</f>
        <v>59.351168139450429</v>
      </c>
      <c r="C20">
        <f>[2]ALL!$F20/[2]ALL!$C20*100</f>
        <v>52.774352651048083</v>
      </c>
      <c r="D20">
        <f>[3]ALL!$F20/[3]ALL!$C20*100</f>
        <v>51.066506295311342</v>
      </c>
    </row>
    <row r="21" spans="1:9" x14ac:dyDescent="0.2">
      <c r="A21" s="1">
        <v>2009</v>
      </c>
      <c r="B21">
        <f>[1]ALL!$F21/[1]ALL!$C21*100</f>
        <v>59.665032325248404</v>
      </c>
      <c r="C21">
        <f>[2]ALL!$F21/[2]ALL!$C21*100</f>
        <v>53.586723768736618</v>
      </c>
      <c r="D21">
        <f>[3]ALL!$F21/[3]ALL!$C21*100</f>
        <v>51.11737031075895</v>
      </c>
    </row>
    <row r="22" spans="1:9" x14ac:dyDescent="0.2">
      <c r="A22" s="1">
        <v>2010</v>
      </c>
      <c r="B22">
        <f>[1]ALL!$F22/[1]ALL!$C22*100</f>
        <v>58.954083924880941</v>
      </c>
      <c r="C22">
        <f>[2]ALL!$F22/[2]ALL!$C22*100</f>
        <v>53.100351899041378</v>
      </c>
      <c r="D22">
        <f>[3]ALL!$F22/[3]ALL!$C22*100</f>
        <v>51.433818335923156</v>
      </c>
    </row>
    <row r="23" spans="1:9" x14ac:dyDescent="0.2">
      <c r="A23" s="1">
        <v>2011</v>
      </c>
      <c r="B23">
        <f>[1]ALL!$F23/[1]ALL!$C23*100</f>
        <v>58.280254777070063</v>
      </c>
      <c r="C23">
        <f>[2]ALL!$F23/[2]ALL!$C23*100</f>
        <v>53.499957780967655</v>
      </c>
      <c r="D23">
        <f>[3]ALL!$F23/[3]ALL!$C23*100</f>
        <v>52.129380967307412</v>
      </c>
    </row>
    <row r="24" spans="1:9" x14ac:dyDescent="0.2">
      <c r="A24" s="1">
        <v>2012</v>
      </c>
      <c r="B24">
        <f>[1]ALL!$F24/[1]ALL!$C24*100</f>
        <v>57.245902614592936</v>
      </c>
      <c r="C24">
        <f>[2]ALL!$F24/[2]ALL!$C24*100</f>
        <v>51.51393738194723</v>
      </c>
      <c r="D24">
        <f>[3]ALL!$F24/[3]ALL!$C24*100</f>
        <v>52.335263174277088</v>
      </c>
    </row>
    <row r="25" spans="1:9" x14ac:dyDescent="0.2">
      <c r="A25" s="1">
        <v>2013</v>
      </c>
      <c r="B25">
        <f>[1]ALL!$F25/[1]ALL!$C25*100</f>
        <v>57.310086332068934</v>
      </c>
      <c r="C25">
        <f>[2]ALL!$F25/[2]ALL!$C25*100</f>
        <v>52.218646794817516</v>
      </c>
      <c r="D25">
        <f>[3]ALL!$F25/[3]ALL!$C25*100</f>
        <v>53.01509165101367</v>
      </c>
    </row>
    <row r="26" spans="1:9" x14ac:dyDescent="0.2">
      <c r="A26" s="1">
        <v>2014</v>
      </c>
      <c r="B26">
        <f>[1]ALL!$F26/[1]ALL!$C26*100</f>
        <v>56.865283758807358</v>
      </c>
      <c r="C26">
        <f>[2]ALL!$F26/[2]ALL!$C26*100</f>
        <v>52.443074003795061</v>
      </c>
      <c r="D26">
        <f>[3]ALL!$F26/[3]ALL!$C26*100</f>
        <v>53.581446774821018</v>
      </c>
    </row>
    <row r="27" spans="1:9" x14ac:dyDescent="0.2">
      <c r="A27" s="1">
        <v>2015</v>
      </c>
      <c r="B27">
        <f>[1]ALL!$F27/[1]ALL!$C27*100</f>
        <v>57.291489137227217</v>
      </c>
      <c r="C27">
        <f>[2]ALL!$F27/[2]ALL!$C27*100</f>
        <v>52.893623230701877</v>
      </c>
      <c r="D27">
        <f>[3]ALL!$F27/[3]ALL!$C27*100</f>
        <v>53.897608248768236</v>
      </c>
    </row>
    <row r="28" spans="1:9" x14ac:dyDescent="0.2">
      <c r="A28" s="1">
        <v>2016</v>
      </c>
      <c r="B28">
        <f>[1]ALL!$F28/[1]ALL!$C28*100</f>
        <v>57.5260492040521</v>
      </c>
      <c r="C28">
        <f>[2]ALL!$F28/[2]ALL!$C28*100</f>
        <v>54.00906572651725</v>
      </c>
      <c r="D28">
        <f>[3]ALL!$F28/[3]ALL!$C28*100</f>
        <v>54.416193245935894</v>
      </c>
    </row>
    <row r="29" spans="1:9" x14ac:dyDescent="0.2">
      <c r="A29" s="1">
        <v>2017</v>
      </c>
      <c r="B29">
        <f>[1]ALL!$F29/[1]ALL!$C29*100</f>
        <v>57.001321843463224</v>
      </c>
      <c r="C29">
        <f>[2]ALL!$F29/[2]ALL!$C29*100</f>
        <v>53.952974942046581</v>
      </c>
      <c r="D29">
        <f>[3]ALL!$F29/[3]ALL!$C29*100</f>
        <v>54.422671509486676</v>
      </c>
    </row>
    <row r="30" spans="1:9" ht="16" x14ac:dyDescent="0.2">
      <c r="A30" s="1">
        <v>2018</v>
      </c>
      <c r="B30">
        <f>[1]ALL!$F30/[1]ALL!$C30*100</f>
        <v>57.289352749667977</v>
      </c>
      <c r="C30">
        <f>[2]ALL!$F30/[2]ALL!$C30*100</f>
        <v>53.569948902085351</v>
      </c>
      <c r="D30">
        <f>[3]ALL!$F30/[3]ALL!$C30*100</f>
        <v>54.456085489867775</v>
      </c>
      <c r="G30" s="1" t="s">
        <v>8</v>
      </c>
      <c r="H30" s="1" t="s">
        <v>11</v>
      </c>
      <c r="I30" s="1" t="s">
        <v>9</v>
      </c>
    </row>
    <row r="31" spans="1:9" x14ac:dyDescent="0.2">
      <c r="A31" s="1">
        <v>2019</v>
      </c>
      <c r="B31">
        <f>[1]ALL!$F31/[1]ALL!$C31*100</f>
        <v>57.181517187161411</v>
      </c>
      <c r="C31">
        <f>[2]ALL!$F31/[2]ALL!$C31*100</f>
        <v>54.28932154960463</v>
      </c>
      <c r="D31">
        <f>[3]ALL!$F31/[3]ALL!$C31*100</f>
        <v>54.84756384883611</v>
      </c>
      <c r="G31" t="s">
        <v>0</v>
      </c>
      <c r="H31" s="1"/>
      <c r="I31" s="1"/>
    </row>
    <row r="32" spans="1:9" x14ac:dyDescent="0.2">
      <c r="A32" s="1">
        <v>2020</v>
      </c>
      <c r="B32">
        <f>[1]ALL!$F32/[1]ALL!$C32*100</f>
        <v>58.06467745906685</v>
      </c>
      <c r="C32">
        <f>[2]ALL!$F32/[2]ALL!$C32*100</f>
        <v>55.062296483486087</v>
      </c>
      <c r="D32">
        <f>[3]ALL!$F32/[3]ALL!$C32*100</f>
        <v>55.36911527982538</v>
      </c>
      <c r="G32" t="s">
        <v>1</v>
      </c>
      <c r="H32" s="1"/>
      <c r="I32" s="1"/>
    </row>
    <row r="33" spans="1:14" x14ac:dyDescent="0.2">
      <c r="A33" s="1">
        <v>2021</v>
      </c>
      <c r="B33">
        <f>[1]ALL!$F33/[1]ALL!$C33*100</f>
        <v>59.455282349683003</v>
      </c>
      <c r="C33">
        <f>[2]ALL!$F33/[2]ALL!$C33*100</f>
        <v>56.059123595292149</v>
      </c>
      <c r="D33">
        <f>[3]ALL!$F33/[3]ALL!$C33*100</f>
        <v>56.129592103859835</v>
      </c>
      <c r="G33" t="s">
        <v>2</v>
      </c>
      <c r="H33" s="1"/>
      <c r="I33" s="1"/>
      <c r="L33" s="1"/>
      <c r="M33" s="1"/>
      <c r="N33" s="1"/>
    </row>
    <row r="34" spans="1:14" x14ac:dyDescent="0.2">
      <c r="A34" s="1">
        <v>2022</v>
      </c>
      <c r="B34">
        <f>[1]ALL!$F34/[1]ALL!$C34*100</f>
        <v>59.299691737310198</v>
      </c>
      <c r="C34">
        <f>[2]ALL!$F34/[2]ALL!$C34*100</f>
        <v>54.996492830693441</v>
      </c>
      <c r="D34">
        <f>[3]ALL!$F34/[3]ALL!$C34*100</f>
        <v>55.840590301037288</v>
      </c>
      <c r="L34" s="1"/>
      <c r="M34" s="1"/>
      <c r="N34" s="1"/>
    </row>
    <row r="35" spans="1:14" x14ac:dyDescent="0.2">
      <c r="A35" s="1">
        <v>2023</v>
      </c>
      <c r="B35">
        <f>[1]ALL!$F35/[1]ALL!$C35*100</f>
        <v>60.079944132609086</v>
      </c>
      <c r="C35">
        <f>[2]ALL!$F35/[2]ALL!$C35*100</f>
        <v>55.767477480762921</v>
      </c>
      <c r="D35">
        <f>[3]ALL!$F35/[3]ALL!$C35*100</f>
        <v>56.428535400238744</v>
      </c>
      <c r="L35" s="1"/>
      <c r="M35" s="1"/>
      <c r="N35" s="1"/>
    </row>
    <row r="36" spans="1:14" x14ac:dyDescent="0.2">
      <c r="A36" s="1">
        <v>2024</v>
      </c>
      <c r="B36">
        <f>[1]ALL!$F36/[1]ALL!$C36*100</f>
        <v>60.339322158270079</v>
      </c>
      <c r="C36">
        <f>[2]ALL!$F36/[2]ALL!$C36*100</f>
        <v>55.889141488641691</v>
      </c>
      <c r="D36">
        <f>[3]ALL!$F36/[3]ALL!$C36*100</f>
        <v>56.294623223893893</v>
      </c>
      <c r="L36" s="1"/>
      <c r="M36" s="1"/>
      <c r="N36" s="1"/>
    </row>
    <row r="37" spans="1:14" x14ac:dyDescent="0.2">
      <c r="A37" s="1">
        <v>2025</v>
      </c>
      <c r="B37">
        <f>[1]ALL!$F37/[1]ALL!$C37*100</f>
        <v>62.420095403140799</v>
      </c>
      <c r="C37">
        <f>[2]ALL!$F37/[2]ALL!$C37*100</f>
        <v>56.967549496526736</v>
      </c>
      <c r="D37">
        <f>[3]ALL!$F37/[3]ALL!$C37*100</f>
        <v>56.933086234769924</v>
      </c>
      <c r="L37" s="1"/>
      <c r="M37" s="1"/>
      <c r="N37" s="1"/>
    </row>
    <row r="38" spans="1:14" x14ac:dyDescent="0.2">
      <c r="A38" s="1" t="s">
        <v>5</v>
      </c>
      <c r="L38" s="1"/>
      <c r="M38" s="1"/>
      <c r="N38" s="1"/>
    </row>
    <row r="39" spans="1:14" x14ac:dyDescent="0.2">
      <c r="A39" s="1" t="s">
        <v>6</v>
      </c>
      <c r="L39" s="1"/>
      <c r="M39" s="1"/>
      <c r="N39" s="1"/>
    </row>
    <row r="40" spans="1:14" x14ac:dyDescent="0.2">
      <c r="A40" s="1" t="s">
        <v>7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55E7-2773-488F-8E52-B9A506C7DEC5}">
  <dimension ref="A1:AQ40"/>
  <sheetViews>
    <sheetView topLeftCell="E7" zoomScale="150" zoomScaleNormal="85" workbookViewId="0">
      <selection activeCell="AA24" sqref="AA24"/>
    </sheetView>
  </sheetViews>
  <sheetFormatPr baseColWidth="10" defaultColWidth="8.83203125" defaultRowHeight="15" x14ac:dyDescent="0.2"/>
  <cols>
    <col min="1" max="1" width="9" style="1"/>
  </cols>
  <sheetData>
    <row r="1" spans="1:43" x14ac:dyDescent="0.2">
      <c r="A1" s="1" t="s">
        <v>4</v>
      </c>
      <c r="B1" t="s">
        <v>0</v>
      </c>
      <c r="C1" t="s">
        <v>1</v>
      </c>
      <c r="D1" t="s">
        <v>2</v>
      </c>
      <c r="F1" t="s">
        <v>3</v>
      </c>
      <c r="G1" t="str">
        <f t="shared" ref="G1:AQ4" si="0">G6</f>
        <v>Year</v>
      </c>
      <c r="H1">
        <f t="shared" si="0"/>
        <v>1990</v>
      </c>
      <c r="M1">
        <f t="shared" si="0"/>
        <v>1995</v>
      </c>
      <c r="R1">
        <f t="shared" si="0"/>
        <v>2000</v>
      </c>
      <c r="W1">
        <f t="shared" si="0"/>
        <v>2005</v>
      </c>
      <c r="AB1">
        <f t="shared" si="0"/>
        <v>2010</v>
      </c>
      <c r="AG1">
        <f t="shared" si="0"/>
        <v>2015</v>
      </c>
      <c r="AL1">
        <f t="shared" si="0"/>
        <v>2020</v>
      </c>
      <c r="AQ1">
        <f t="shared" si="0"/>
        <v>2025</v>
      </c>
    </row>
    <row r="2" spans="1:43" x14ac:dyDescent="0.2">
      <c r="A2" s="1">
        <v>1990</v>
      </c>
      <c r="B2">
        <f>[1]ALL!$F2/[1]ALL!$C2*100</f>
        <v>33.333333333333329</v>
      </c>
      <c r="C2">
        <f>[2]ALL!$F2/[2]ALL!$C2*100</f>
        <v>60</v>
      </c>
      <c r="D2">
        <f>[3]ALL!$F2/[3]ALL!$C2*100</f>
        <v>46.394023560961593</v>
      </c>
      <c r="G2" t="str">
        <f t="shared" si="0"/>
        <v>PMC full text</v>
      </c>
      <c r="H2">
        <f t="shared" si="0"/>
        <v>33.333333333333329</v>
      </c>
      <c r="I2">
        <f t="shared" si="0"/>
        <v>72.727272727272734</v>
      </c>
      <c r="J2">
        <f t="shared" si="0"/>
        <v>42.857142857142854</v>
      </c>
      <c r="K2">
        <f t="shared" si="0"/>
        <v>56.25</v>
      </c>
      <c r="L2">
        <f t="shared" si="0"/>
        <v>41.17647058823529</v>
      </c>
      <c r="M2">
        <f t="shared" si="0"/>
        <v>37.5</v>
      </c>
      <c r="N2">
        <f t="shared" si="0"/>
        <v>41.860465116279073</v>
      </c>
      <c r="O2">
        <f t="shared" si="0"/>
        <v>45.547945205479451</v>
      </c>
      <c r="P2">
        <f t="shared" si="0"/>
        <v>47.075208913649021</v>
      </c>
      <c r="Q2">
        <f t="shared" si="0"/>
        <v>48.395061728395063</v>
      </c>
      <c r="R2">
        <f t="shared" si="0"/>
        <v>45.20295202952029</v>
      </c>
      <c r="S2">
        <f t="shared" si="0"/>
        <v>52.351738241308801</v>
      </c>
      <c r="T2">
        <f t="shared" si="0"/>
        <v>53.679131483715317</v>
      </c>
      <c r="U2">
        <f t="shared" si="0"/>
        <v>57.483731019522779</v>
      </c>
      <c r="V2">
        <f t="shared" si="0"/>
        <v>59.118762766267871</v>
      </c>
      <c r="W2">
        <f t="shared" si="0"/>
        <v>57.008136094674555</v>
      </c>
      <c r="X2">
        <f t="shared" si="0"/>
        <v>58.375634517766493</v>
      </c>
      <c r="Y2">
        <f t="shared" si="0"/>
        <v>59.18783608381235</v>
      </c>
      <c r="Z2">
        <f t="shared" si="0"/>
        <v>59.351168139450429</v>
      </c>
      <c r="AA2">
        <f t="shared" si="0"/>
        <v>59.665032325248404</v>
      </c>
      <c r="AB2">
        <f t="shared" si="0"/>
        <v>58.954083924880941</v>
      </c>
      <c r="AC2">
        <f t="shared" si="0"/>
        <v>58.280254777070063</v>
      </c>
      <c r="AD2">
        <f t="shared" si="0"/>
        <v>57.245902614592936</v>
      </c>
      <c r="AE2">
        <f t="shared" si="0"/>
        <v>57.310086332068934</v>
      </c>
      <c r="AF2">
        <f t="shared" si="0"/>
        <v>56.865283758807358</v>
      </c>
      <c r="AG2">
        <f t="shared" si="0"/>
        <v>57.291489137227217</v>
      </c>
      <c r="AH2">
        <f t="shared" si="0"/>
        <v>57.5260492040521</v>
      </c>
      <c r="AI2">
        <f t="shared" si="0"/>
        <v>57.001321843463224</v>
      </c>
      <c r="AJ2">
        <f t="shared" si="0"/>
        <v>57.289352749667977</v>
      </c>
      <c r="AK2">
        <f t="shared" si="0"/>
        <v>57.181517187161411</v>
      </c>
      <c r="AL2">
        <f t="shared" si="0"/>
        <v>58.06467745906685</v>
      </c>
      <c r="AM2">
        <f t="shared" si="0"/>
        <v>59.455282349683003</v>
      </c>
      <c r="AN2">
        <f t="shared" si="0"/>
        <v>59.299691737310198</v>
      </c>
      <c r="AO2">
        <f t="shared" si="0"/>
        <v>60.079944132609086</v>
      </c>
      <c r="AP2">
        <f t="shared" si="0"/>
        <v>60.339322158270079</v>
      </c>
      <c r="AQ2">
        <f t="shared" si="0"/>
        <v>62.420095403140799</v>
      </c>
    </row>
    <row r="3" spans="1:43" x14ac:dyDescent="0.2">
      <c r="A3" s="1">
        <v>1991</v>
      </c>
      <c r="B3">
        <f>[1]ALL!$F3/[1]ALL!$C3*100</f>
        <v>72.727272727272734</v>
      </c>
      <c r="C3">
        <f>[2]ALL!$F3/[2]ALL!$C3*100</f>
        <v>56.115107913669057</v>
      </c>
      <c r="D3">
        <f>[3]ALL!$F3/[3]ALL!$C3*100</f>
        <v>46.167362178783222</v>
      </c>
      <c r="G3" t="str">
        <f t="shared" si="0"/>
        <v xml:space="preserve">PMC abstracts </v>
      </c>
      <c r="H3">
        <f t="shared" si="0"/>
        <v>60</v>
      </c>
      <c r="I3">
        <f t="shared" si="0"/>
        <v>56.115107913669057</v>
      </c>
      <c r="J3">
        <f t="shared" si="0"/>
        <v>51.748251748251747</v>
      </c>
      <c r="K3">
        <f t="shared" si="0"/>
        <v>49.494949494949495</v>
      </c>
      <c r="L3">
        <f t="shared" si="0"/>
        <v>51.304347826086961</v>
      </c>
      <c r="M3">
        <f t="shared" si="0"/>
        <v>47.321428571428569</v>
      </c>
      <c r="N3">
        <f t="shared" si="0"/>
        <v>49.446494464944649</v>
      </c>
      <c r="O3">
        <f t="shared" si="0"/>
        <v>49.315068493150683</v>
      </c>
      <c r="P3">
        <f t="shared" si="0"/>
        <v>56.40243902439024</v>
      </c>
      <c r="Q3">
        <f t="shared" si="0"/>
        <v>55.769230769230774</v>
      </c>
      <c r="R3">
        <f t="shared" si="0"/>
        <v>49.435028248587571</v>
      </c>
      <c r="S3">
        <f t="shared" si="0"/>
        <v>48.775055679287306</v>
      </c>
      <c r="T3">
        <f t="shared" si="0"/>
        <v>53.159851301115246</v>
      </c>
      <c r="U3">
        <f t="shared" si="0"/>
        <v>52.488687782805435</v>
      </c>
      <c r="V3">
        <f t="shared" si="0"/>
        <v>54.166666666666664</v>
      </c>
      <c r="W3">
        <f t="shared" si="0"/>
        <v>52.91120815138283</v>
      </c>
      <c r="X3">
        <f t="shared" si="0"/>
        <v>55.005055611729013</v>
      </c>
      <c r="Y3">
        <f t="shared" si="0"/>
        <v>52.125279642058167</v>
      </c>
      <c r="Z3">
        <f t="shared" si="0"/>
        <v>52.774352651048083</v>
      </c>
      <c r="AA3">
        <f t="shared" si="0"/>
        <v>53.586723768736618</v>
      </c>
      <c r="AB3">
        <f t="shared" si="0"/>
        <v>53.100351899041378</v>
      </c>
      <c r="AC3">
        <f t="shared" si="0"/>
        <v>53.499957780967655</v>
      </c>
      <c r="AD3">
        <f t="shared" si="0"/>
        <v>51.51393738194723</v>
      </c>
      <c r="AE3">
        <f t="shared" si="0"/>
        <v>52.218646794817516</v>
      </c>
      <c r="AF3">
        <f t="shared" si="0"/>
        <v>52.443074003795061</v>
      </c>
      <c r="AG3">
        <f t="shared" si="0"/>
        <v>52.893623230701877</v>
      </c>
      <c r="AH3">
        <f t="shared" si="0"/>
        <v>54.00906572651725</v>
      </c>
      <c r="AI3">
        <f t="shared" si="0"/>
        <v>53.952974942046581</v>
      </c>
      <c r="AJ3">
        <f t="shared" si="0"/>
        <v>53.569948902085351</v>
      </c>
      <c r="AK3">
        <f t="shared" si="0"/>
        <v>54.28932154960463</v>
      </c>
      <c r="AL3">
        <f t="shared" si="0"/>
        <v>55.062296483486087</v>
      </c>
      <c r="AM3">
        <f t="shared" si="0"/>
        <v>56.059123595292149</v>
      </c>
      <c r="AN3">
        <f t="shared" si="0"/>
        <v>54.996492830693441</v>
      </c>
      <c r="AO3">
        <f t="shared" si="0"/>
        <v>55.767477480762921</v>
      </c>
      <c r="AP3">
        <f t="shared" si="0"/>
        <v>55.889141488641691</v>
      </c>
      <c r="AQ3">
        <f t="shared" si="0"/>
        <v>56.967549496526736</v>
      </c>
    </row>
    <row r="4" spans="1:43" x14ac:dyDescent="0.2">
      <c r="A4" s="1">
        <v>1992</v>
      </c>
      <c r="B4">
        <f>[1]ALL!$F4/[1]ALL!$C4*100</f>
        <v>42.857142857142854</v>
      </c>
      <c r="C4">
        <f>[2]ALL!$F4/[2]ALL!$C4*100</f>
        <v>51.748251748251747</v>
      </c>
      <c r="D4">
        <f>[3]ALL!$F4/[3]ALL!$C4*100</f>
        <v>46.893803546523209</v>
      </c>
      <c r="G4" t="str">
        <f t="shared" si="0"/>
        <v>Pubmed abstracts</v>
      </c>
      <c r="H4">
        <f t="shared" si="0"/>
        <v>46.394023560961593</v>
      </c>
      <c r="I4">
        <f t="shared" si="0"/>
        <v>46.167362178783222</v>
      </c>
      <c r="J4">
        <f t="shared" si="0"/>
        <v>46.893803546523209</v>
      </c>
      <c r="K4">
        <f t="shared" si="0"/>
        <v>47.413444946212877</v>
      </c>
      <c r="L4">
        <f t="shared" si="0"/>
        <v>47.828144542473716</v>
      </c>
      <c r="M4">
        <f t="shared" si="0"/>
        <v>47.84593259551054</v>
      </c>
      <c r="N4">
        <f t="shared" si="0"/>
        <v>48.585893854748605</v>
      </c>
      <c r="O4">
        <f t="shared" si="0"/>
        <v>49.303621169916433</v>
      </c>
      <c r="P4">
        <f t="shared" si="0"/>
        <v>49.11429831159063</v>
      </c>
      <c r="Q4">
        <f t="shared" si="0"/>
        <v>49.776682205354746</v>
      </c>
      <c r="R4">
        <f t="shared" si="0"/>
        <v>49.921473945758422</v>
      </c>
      <c r="S4">
        <f t="shared" si="0"/>
        <v>50.015224672669532</v>
      </c>
      <c r="T4">
        <f t="shared" si="0"/>
        <v>49.935157041540016</v>
      </c>
      <c r="U4">
        <f t="shared" si="0"/>
        <v>49.766969515623018</v>
      </c>
      <c r="V4">
        <f t="shared" si="0"/>
        <v>50.03523839181814</v>
      </c>
      <c r="W4">
        <f t="shared" si="0"/>
        <v>50.149491728124374</v>
      </c>
      <c r="X4">
        <f t="shared" si="0"/>
        <v>50.362018895940921</v>
      </c>
      <c r="Y4">
        <f t="shared" si="0"/>
        <v>51.071197488557118</v>
      </c>
      <c r="Z4">
        <f t="shared" si="0"/>
        <v>51.066506295311342</v>
      </c>
      <c r="AA4">
        <f t="shared" si="0"/>
        <v>51.11737031075895</v>
      </c>
      <c r="AB4">
        <f t="shared" si="0"/>
        <v>51.433818335923156</v>
      </c>
      <c r="AC4">
        <f t="shared" si="0"/>
        <v>52.129380967307412</v>
      </c>
      <c r="AD4">
        <f t="shared" si="0"/>
        <v>52.335263174277088</v>
      </c>
      <c r="AE4">
        <f t="shared" si="0"/>
        <v>53.01509165101367</v>
      </c>
      <c r="AF4">
        <f t="shared" si="0"/>
        <v>53.581446774821018</v>
      </c>
      <c r="AG4">
        <f t="shared" si="0"/>
        <v>53.897608248768236</v>
      </c>
      <c r="AH4">
        <f t="shared" si="0"/>
        <v>54.416193245935894</v>
      </c>
      <c r="AI4">
        <f t="shared" si="0"/>
        <v>54.422671509486676</v>
      </c>
      <c r="AJ4">
        <f t="shared" si="0"/>
        <v>54.456085489867775</v>
      </c>
      <c r="AK4">
        <f t="shared" si="0"/>
        <v>54.84756384883611</v>
      </c>
      <c r="AL4">
        <f t="shared" si="0"/>
        <v>55.36911527982538</v>
      </c>
      <c r="AM4">
        <f t="shared" si="0"/>
        <v>56.129592103859835</v>
      </c>
      <c r="AN4">
        <f t="shared" si="0"/>
        <v>55.840590301037288</v>
      </c>
      <c r="AO4">
        <f t="shared" si="0"/>
        <v>56.428535400238744</v>
      </c>
      <c r="AP4">
        <f t="shared" si="0"/>
        <v>56.294623223893893</v>
      </c>
      <c r="AQ4">
        <f t="shared" si="0"/>
        <v>56.933086234769924</v>
      </c>
    </row>
    <row r="5" spans="1:43" x14ac:dyDescent="0.2">
      <c r="A5" s="1">
        <v>1993</v>
      </c>
      <c r="B5">
        <f>[1]ALL!$F5/[1]ALL!$C5*100</f>
        <v>56.25</v>
      </c>
      <c r="C5">
        <f>[2]ALL!$F5/[2]ALL!$C5*100</f>
        <v>49.494949494949495</v>
      </c>
      <c r="D5">
        <f>[3]ALL!$F5/[3]ALL!$C5*100</f>
        <v>47.413444946212877</v>
      </c>
    </row>
    <row r="6" spans="1:43" x14ac:dyDescent="0.2">
      <c r="A6" s="1">
        <v>1994</v>
      </c>
      <c r="B6">
        <f>[1]ALL!$F6/[1]ALL!$C6*100</f>
        <v>41.17647058823529</v>
      </c>
      <c r="C6">
        <f>[2]ALL!$F6/[2]ALL!$C6*100</f>
        <v>51.304347826086961</v>
      </c>
      <c r="D6">
        <f>[3]ALL!$F6/[3]ALL!$C6*100</f>
        <v>47.828144542473716</v>
      </c>
      <c r="G6" t="str" cm="1">
        <f t="array" ref="G6:AQ9">TRANSPOSE(A1:D37)</f>
        <v>Year</v>
      </c>
      <c r="H6">
        <v>1990</v>
      </c>
      <c r="I6">
        <v>1991</v>
      </c>
      <c r="J6">
        <v>1992</v>
      </c>
      <c r="K6">
        <v>1993</v>
      </c>
      <c r="L6">
        <v>1994</v>
      </c>
      <c r="M6">
        <v>1995</v>
      </c>
      <c r="N6">
        <v>1996</v>
      </c>
      <c r="O6">
        <v>1997</v>
      </c>
      <c r="P6">
        <v>1998</v>
      </c>
      <c r="Q6">
        <v>1999</v>
      </c>
      <c r="R6">
        <v>2000</v>
      </c>
      <c r="S6">
        <v>2001</v>
      </c>
      <c r="T6">
        <v>2002</v>
      </c>
      <c r="U6">
        <v>2003</v>
      </c>
      <c r="V6">
        <v>2004</v>
      </c>
      <c r="W6">
        <v>2005</v>
      </c>
      <c r="X6">
        <v>2006</v>
      </c>
      <c r="Y6">
        <v>2007</v>
      </c>
      <c r="Z6">
        <v>2008</v>
      </c>
      <c r="AA6">
        <v>2009</v>
      </c>
      <c r="AB6">
        <v>2010</v>
      </c>
      <c r="AC6">
        <v>2011</v>
      </c>
      <c r="AD6">
        <v>2012</v>
      </c>
      <c r="AE6">
        <v>2013</v>
      </c>
      <c r="AF6">
        <v>2014</v>
      </c>
      <c r="AG6">
        <v>2015</v>
      </c>
      <c r="AH6">
        <v>2016</v>
      </c>
      <c r="AI6">
        <v>2017</v>
      </c>
      <c r="AJ6">
        <v>2018</v>
      </c>
      <c r="AK6">
        <v>2019</v>
      </c>
      <c r="AL6">
        <v>2020</v>
      </c>
      <c r="AM6">
        <v>2021</v>
      </c>
      <c r="AN6">
        <v>2022</v>
      </c>
      <c r="AO6">
        <v>2023</v>
      </c>
      <c r="AP6">
        <v>2024</v>
      </c>
      <c r="AQ6">
        <v>2025</v>
      </c>
    </row>
    <row r="7" spans="1:43" x14ac:dyDescent="0.2">
      <c r="A7" s="1">
        <v>1995</v>
      </c>
      <c r="B7">
        <f>[1]ALL!$F7/[1]ALL!$C7*100</f>
        <v>37.5</v>
      </c>
      <c r="C7">
        <f>[2]ALL!$F7/[2]ALL!$C7*100</f>
        <v>47.321428571428569</v>
      </c>
      <c r="D7">
        <f>[3]ALL!$F7/[3]ALL!$C7*100</f>
        <v>47.84593259551054</v>
      </c>
      <c r="G7" t="str">
        <v>PMC full text</v>
      </c>
      <c r="H7">
        <v>33.333333333333329</v>
      </c>
      <c r="I7">
        <v>72.727272727272734</v>
      </c>
      <c r="J7">
        <v>42.857142857142854</v>
      </c>
      <c r="K7">
        <v>56.25</v>
      </c>
      <c r="L7">
        <v>41.17647058823529</v>
      </c>
      <c r="M7">
        <v>37.5</v>
      </c>
      <c r="N7">
        <v>41.860465116279073</v>
      </c>
      <c r="O7">
        <v>45.547945205479451</v>
      </c>
      <c r="P7">
        <v>47.075208913649021</v>
      </c>
      <c r="Q7">
        <v>48.395061728395063</v>
      </c>
      <c r="R7">
        <v>45.20295202952029</v>
      </c>
      <c r="S7">
        <v>52.351738241308801</v>
      </c>
      <c r="T7">
        <v>53.679131483715317</v>
      </c>
      <c r="U7">
        <v>57.483731019522779</v>
      </c>
      <c r="V7">
        <v>59.118762766267871</v>
      </c>
      <c r="W7">
        <v>57.008136094674555</v>
      </c>
      <c r="X7">
        <v>58.375634517766493</v>
      </c>
      <c r="Y7">
        <v>59.18783608381235</v>
      </c>
      <c r="Z7">
        <v>59.351168139450429</v>
      </c>
      <c r="AA7">
        <v>59.665032325248404</v>
      </c>
      <c r="AB7">
        <v>58.954083924880941</v>
      </c>
      <c r="AC7">
        <v>58.280254777070063</v>
      </c>
      <c r="AD7">
        <v>57.245902614592936</v>
      </c>
      <c r="AE7">
        <v>57.310086332068934</v>
      </c>
      <c r="AF7">
        <v>56.865283758807358</v>
      </c>
      <c r="AG7">
        <v>57.291489137227217</v>
      </c>
      <c r="AH7">
        <v>57.5260492040521</v>
      </c>
      <c r="AI7">
        <v>57.001321843463224</v>
      </c>
      <c r="AJ7">
        <v>57.289352749667977</v>
      </c>
      <c r="AK7">
        <v>57.181517187161411</v>
      </c>
      <c r="AL7">
        <v>58.06467745906685</v>
      </c>
      <c r="AM7">
        <v>59.455282349683003</v>
      </c>
      <c r="AN7">
        <v>59.299691737310198</v>
      </c>
      <c r="AO7">
        <v>60.079944132609086</v>
      </c>
      <c r="AP7">
        <v>60.339322158270079</v>
      </c>
      <c r="AQ7">
        <v>62.420095403140799</v>
      </c>
    </row>
    <row r="8" spans="1:43" x14ac:dyDescent="0.2">
      <c r="A8" s="1">
        <v>1996</v>
      </c>
      <c r="B8">
        <f>[1]ALL!$F8/[1]ALL!$C8*100</f>
        <v>41.860465116279073</v>
      </c>
      <c r="C8">
        <f>[2]ALL!$F8/[2]ALL!$C8*100</f>
        <v>49.446494464944649</v>
      </c>
      <c r="D8">
        <f>[3]ALL!$F8/[3]ALL!$C8*100</f>
        <v>48.585893854748605</v>
      </c>
      <c r="G8" t="str">
        <v xml:space="preserve">PMC abstracts </v>
      </c>
      <c r="H8">
        <v>60</v>
      </c>
      <c r="I8">
        <v>56.115107913669057</v>
      </c>
      <c r="J8">
        <v>51.748251748251747</v>
      </c>
      <c r="K8">
        <v>49.494949494949495</v>
      </c>
      <c r="L8">
        <v>51.304347826086961</v>
      </c>
      <c r="M8">
        <v>47.321428571428569</v>
      </c>
      <c r="N8">
        <v>49.446494464944649</v>
      </c>
      <c r="O8">
        <v>49.315068493150683</v>
      </c>
      <c r="P8">
        <v>56.40243902439024</v>
      </c>
      <c r="Q8">
        <v>55.769230769230774</v>
      </c>
      <c r="R8">
        <v>49.435028248587571</v>
      </c>
      <c r="S8">
        <v>48.775055679287306</v>
      </c>
      <c r="T8">
        <v>53.159851301115246</v>
      </c>
      <c r="U8">
        <v>52.488687782805435</v>
      </c>
      <c r="V8">
        <v>54.166666666666664</v>
      </c>
      <c r="W8">
        <v>52.91120815138283</v>
      </c>
      <c r="X8">
        <v>55.005055611729013</v>
      </c>
      <c r="Y8">
        <v>52.125279642058167</v>
      </c>
      <c r="Z8">
        <v>52.774352651048083</v>
      </c>
      <c r="AA8">
        <v>53.586723768736618</v>
      </c>
      <c r="AB8">
        <v>53.100351899041378</v>
      </c>
      <c r="AC8">
        <v>53.499957780967655</v>
      </c>
      <c r="AD8">
        <v>51.51393738194723</v>
      </c>
      <c r="AE8">
        <v>52.218646794817516</v>
      </c>
      <c r="AF8">
        <v>52.443074003795061</v>
      </c>
      <c r="AG8">
        <v>52.893623230701877</v>
      </c>
      <c r="AH8">
        <v>54.00906572651725</v>
      </c>
      <c r="AI8">
        <v>53.952974942046581</v>
      </c>
      <c r="AJ8">
        <v>53.569948902085351</v>
      </c>
      <c r="AK8">
        <v>54.28932154960463</v>
      </c>
      <c r="AL8">
        <v>55.062296483486087</v>
      </c>
      <c r="AM8">
        <v>56.059123595292149</v>
      </c>
      <c r="AN8">
        <v>54.996492830693441</v>
      </c>
      <c r="AO8">
        <v>55.767477480762921</v>
      </c>
      <c r="AP8">
        <v>55.889141488641691</v>
      </c>
      <c r="AQ8">
        <v>56.967549496526736</v>
      </c>
    </row>
    <row r="9" spans="1:43" x14ac:dyDescent="0.2">
      <c r="A9" s="1">
        <v>1997</v>
      </c>
      <c r="B9">
        <f>[1]ALL!$F9/[1]ALL!$C9*100</f>
        <v>45.547945205479451</v>
      </c>
      <c r="C9">
        <f>[2]ALL!$F9/[2]ALL!$C9*100</f>
        <v>49.315068493150683</v>
      </c>
      <c r="D9">
        <f>[3]ALL!$F9/[3]ALL!$C9*100</f>
        <v>49.303621169916433</v>
      </c>
      <c r="G9" t="str">
        <v>Pubmed abstracts</v>
      </c>
      <c r="H9">
        <v>46.394023560961593</v>
      </c>
      <c r="I9">
        <v>46.167362178783222</v>
      </c>
      <c r="J9">
        <v>46.893803546523209</v>
      </c>
      <c r="K9">
        <v>47.413444946212877</v>
      </c>
      <c r="L9">
        <v>47.828144542473716</v>
      </c>
      <c r="M9">
        <v>47.84593259551054</v>
      </c>
      <c r="N9">
        <v>48.585893854748605</v>
      </c>
      <c r="O9">
        <v>49.303621169916433</v>
      </c>
      <c r="P9">
        <v>49.11429831159063</v>
      </c>
      <c r="Q9">
        <v>49.776682205354746</v>
      </c>
      <c r="R9">
        <v>49.921473945758422</v>
      </c>
      <c r="S9">
        <v>50.015224672669532</v>
      </c>
      <c r="T9">
        <v>49.935157041540016</v>
      </c>
      <c r="U9">
        <v>49.766969515623018</v>
      </c>
      <c r="V9">
        <v>50.03523839181814</v>
      </c>
      <c r="W9">
        <v>50.149491728124374</v>
      </c>
      <c r="X9">
        <v>50.362018895940921</v>
      </c>
      <c r="Y9">
        <v>51.071197488557118</v>
      </c>
      <c r="Z9">
        <v>51.066506295311342</v>
      </c>
      <c r="AA9">
        <v>51.11737031075895</v>
      </c>
      <c r="AB9">
        <v>51.433818335923156</v>
      </c>
      <c r="AC9">
        <v>52.129380967307412</v>
      </c>
      <c r="AD9">
        <v>52.335263174277088</v>
      </c>
      <c r="AE9">
        <v>53.01509165101367</v>
      </c>
      <c r="AF9">
        <v>53.581446774821018</v>
      </c>
      <c r="AG9">
        <v>53.897608248768236</v>
      </c>
      <c r="AH9">
        <v>54.416193245935894</v>
      </c>
      <c r="AI9">
        <v>54.422671509486676</v>
      </c>
      <c r="AJ9">
        <v>54.456085489867775</v>
      </c>
      <c r="AK9">
        <v>54.84756384883611</v>
      </c>
      <c r="AL9">
        <v>55.36911527982538</v>
      </c>
      <c r="AM9">
        <v>56.129592103859835</v>
      </c>
      <c r="AN9">
        <v>55.840590301037288</v>
      </c>
      <c r="AO9">
        <v>56.428535400238744</v>
      </c>
      <c r="AP9">
        <v>56.294623223893893</v>
      </c>
      <c r="AQ9">
        <v>56.933086234769924</v>
      </c>
    </row>
    <row r="10" spans="1:43" x14ac:dyDescent="0.2">
      <c r="A10" s="1">
        <v>1998</v>
      </c>
      <c r="B10">
        <f>[1]ALL!$F10/[1]ALL!$C10*100</f>
        <v>47.075208913649021</v>
      </c>
      <c r="C10">
        <f>[2]ALL!$F10/[2]ALL!$C10*100</f>
        <v>56.40243902439024</v>
      </c>
      <c r="D10">
        <f>[3]ALL!$F10/[3]ALL!$C10*100</f>
        <v>49.11429831159063</v>
      </c>
    </row>
    <row r="11" spans="1:43" x14ac:dyDescent="0.2">
      <c r="A11" s="1">
        <v>1999</v>
      </c>
      <c r="B11">
        <f>[1]ALL!$F11/[1]ALL!$C11*100</f>
        <v>48.395061728395063</v>
      </c>
      <c r="C11">
        <f>[2]ALL!$F11/[2]ALL!$C11*100</f>
        <v>55.769230769230774</v>
      </c>
      <c r="D11">
        <f>[3]ALL!$F11/[3]ALL!$C11*100</f>
        <v>49.776682205354746</v>
      </c>
    </row>
    <row r="12" spans="1:43" x14ac:dyDescent="0.2">
      <c r="A12" s="1">
        <v>2000</v>
      </c>
      <c r="B12">
        <f>[1]ALL!$F12/[1]ALL!$C12*100</f>
        <v>45.20295202952029</v>
      </c>
      <c r="C12">
        <f>[2]ALL!$F12/[2]ALL!$C12*100</f>
        <v>49.435028248587571</v>
      </c>
      <c r="D12">
        <f>[3]ALL!$F12/[3]ALL!$C12*100</f>
        <v>49.921473945758422</v>
      </c>
    </row>
    <row r="13" spans="1:43" x14ac:dyDescent="0.2">
      <c r="A13" s="1">
        <v>2001</v>
      </c>
      <c r="B13">
        <f>[1]ALL!$F13/[1]ALL!$C13*100</f>
        <v>52.351738241308801</v>
      </c>
      <c r="C13">
        <f>[2]ALL!$F13/[2]ALL!$C13*100</f>
        <v>48.775055679287306</v>
      </c>
      <c r="D13">
        <f>[3]ALL!$F13/[3]ALL!$C13*100</f>
        <v>50.015224672669532</v>
      </c>
    </row>
    <row r="14" spans="1:43" x14ac:dyDescent="0.2">
      <c r="A14" s="1">
        <v>2002</v>
      </c>
      <c r="B14">
        <f>[1]ALL!$F14/[1]ALL!$C14*100</f>
        <v>53.679131483715317</v>
      </c>
      <c r="C14">
        <f>[2]ALL!$F14/[2]ALL!$C14*100</f>
        <v>53.159851301115246</v>
      </c>
      <c r="D14">
        <f>[3]ALL!$F14/[3]ALL!$C14*100</f>
        <v>49.935157041540016</v>
      </c>
    </row>
    <row r="15" spans="1:43" x14ac:dyDescent="0.2">
      <c r="A15" s="1">
        <v>2003</v>
      </c>
      <c r="B15">
        <f>[1]ALL!$F15/[1]ALL!$C15*100</f>
        <v>57.483731019522779</v>
      </c>
      <c r="C15">
        <f>[2]ALL!$F15/[2]ALL!$C15*100</f>
        <v>52.488687782805435</v>
      </c>
      <c r="D15">
        <f>[3]ALL!$F15/[3]ALL!$C15*100</f>
        <v>49.766969515623018</v>
      </c>
    </row>
    <row r="16" spans="1:43" x14ac:dyDescent="0.2">
      <c r="A16" s="1">
        <v>2004</v>
      </c>
      <c r="B16">
        <f>[1]ALL!$F16/[1]ALL!$C16*100</f>
        <v>59.118762766267871</v>
      </c>
      <c r="C16">
        <f>[2]ALL!$F16/[2]ALL!$C16*100</f>
        <v>54.166666666666664</v>
      </c>
      <c r="D16">
        <f>[3]ALL!$F16/[3]ALL!$C16*100</f>
        <v>50.03523839181814</v>
      </c>
    </row>
    <row r="17" spans="1:9" x14ac:dyDescent="0.2">
      <c r="A17" s="1">
        <v>2005</v>
      </c>
      <c r="B17">
        <f>[1]ALL!$F17/[1]ALL!$C17*100</f>
        <v>57.008136094674555</v>
      </c>
      <c r="C17">
        <f>[2]ALL!$F17/[2]ALL!$C17*100</f>
        <v>52.91120815138283</v>
      </c>
      <c r="D17">
        <f>[3]ALL!$F17/[3]ALL!$C17*100</f>
        <v>50.149491728124374</v>
      </c>
    </row>
    <row r="18" spans="1:9" x14ac:dyDescent="0.2">
      <c r="A18" s="1">
        <v>2006</v>
      </c>
      <c r="B18">
        <f>[1]ALL!$F18/[1]ALL!$C18*100</f>
        <v>58.375634517766493</v>
      </c>
      <c r="C18">
        <f>[2]ALL!$F18/[2]ALL!$C18*100</f>
        <v>55.005055611729013</v>
      </c>
      <c r="D18">
        <f>[3]ALL!$F18/[3]ALL!$C18*100</f>
        <v>50.362018895940921</v>
      </c>
    </row>
    <row r="19" spans="1:9" x14ac:dyDescent="0.2">
      <c r="A19" s="1">
        <v>2007</v>
      </c>
      <c r="B19">
        <f>[1]ALL!$F19/[1]ALL!$C19*100</f>
        <v>59.18783608381235</v>
      </c>
      <c r="C19">
        <f>[2]ALL!$F19/[2]ALL!$C19*100</f>
        <v>52.125279642058167</v>
      </c>
      <c r="D19">
        <f>[3]ALL!$F19/[3]ALL!$C19*100</f>
        <v>51.071197488557118</v>
      </c>
    </row>
    <row r="20" spans="1:9" x14ac:dyDescent="0.2">
      <c r="A20" s="1">
        <v>2008</v>
      </c>
      <c r="B20">
        <f>[1]ALL!$F20/[1]ALL!$C20*100</f>
        <v>59.351168139450429</v>
      </c>
      <c r="C20">
        <f>[2]ALL!$F20/[2]ALL!$C20*100</f>
        <v>52.774352651048083</v>
      </c>
      <c r="D20">
        <f>[3]ALL!$F20/[3]ALL!$C20*100</f>
        <v>51.066506295311342</v>
      </c>
    </row>
    <row r="21" spans="1:9" x14ac:dyDescent="0.2">
      <c r="A21" s="1">
        <v>2009</v>
      </c>
      <c r="B21">
        <f>[1]ALL!$F21/[1]ALL!$C21*100</f>
        <v>59.665032325248404</v>
      </c>
      <c r="C21">
        <f>[2]ALL!$F21/[2]ALL!$C21*100</f>
        <v>53.586723768736618</v>
      </c>
      <c r="D21">
        <f>[3]ALL!$F21/[3]ALL!$C21*100</f>
        <v>51.11737031075895</v>
      </c>
    </row>
    <row r="22" spans="1:9" x14ac:dyDescent="0.2">
      <c r="A22" s="1">
        <v>2010</v>
      </c>
      <c r="B22">
        <f>[1]ALL!$F22/[1]ALL!$C22*100</f>
        <v>58.954083924880941</v>
      </c>
      <c r="C22">
        <f>[2]ALL!$F22/[2]ALL!$C22*100</f>
        <v>53.100351899041378</v>
      </c>
      <c r="D22">
        <f>[3]ALL!$F22/[3]ALL!$C22*100</f>
        <v>51.433818335923156</v>
      </c>
    </row>
    <row r="23" spans="1:9" x14ac:dyDescent="0.2">
      <c r="A23" s="1">
        <v>2011</v>
      </c>
      <c r="B23">
        <f>[1]ALL!$F23/[1]ALL!$C23*100</f>
        <v>58.280254777070063</v>
      </c>
      <c r="C23">
        <f>[2]ALL!$F23/[2]ALL!$C23*100</f>
        <v>53.499957780967655</v>
      </c>
      <c r="D23">
        <f>[3]ALL!$F23/[3]ALL!$C23*100</f>
        <v>52.129380967307412</v>
      </c>
    </row>
    <row r="24" spans="1:9" x14ac:dyDescent="0.2">
      <c r="A24" s="1">
        <v>2012</v>
      </c>
      <c r="B24">
        <f>[1]ALL!$F24/[1]ALL!$C24*100</f>
        <v>57.245902614592936</v>
      </c>
      <c r="C24">
        <f>[2]ALL!$F24/[2]ALL!$C24*100</f>
        <v>51.51393738194723</v>
      </c>
      <c r="D24">
        <f>[3]ALL!$F24/[3]ALL!$C24*100</f>
        <v>52.335263174277088</v>
      </c>
    </row>
    <row r="25" spans="1:9" x14ac:dyDescent="0.2">
      <c r="A25" s="1">
        <v>2013</v>
      </c>
      <c r="B25">
        <f>[1]ALL!$F25/[1]ALL!$C25*100</f>
        <v>57.310086332068934</v>
      </c>
      <c r="C25">
        <f>[2]ALL!$F25/[2]ALL!$C25*100</f>
        <v>52.218646794817516</v>
      </c>
      <c r="D25">
        <f>[3]ALL!$F25/[3]ALL!$C25*100</f>
        <v>53.01509165101367</v>
      </c>
    </row>
    <row r="26" spans="1:9" x14ac:dyDescent="0.2">
      <c r="A26" s="1">
        <v>2014</v>
      </c>
      <c r="B26">
        <f>[1]ALL!$F26/[1]ALL!$C26*100</f>
        <v>56.865283758807358</v>
      </c>
      <c r="C26">
        <f>[2]ALL!$F26/[2]ALL!$C26*100</f>
        <v>52.443074003795061</v>
      </c>
      <c r="D26">
        <f>[3]ALL!$F26/[3]ALL!$C26*100</f>
        <v>53.581446774821018</v>
      </c>
    </row>
    <row r="27" spans="1:9" x14ac:dyDescent="0.2">
      <c r="A27" s="1">
        <v>2015</v>
      </c>
      <c r="B27">
        <f>[1]ALL!$F27/[1]ALL!$C27*100</f>
        <v>57.291489137227217</v>
      </c>
      <c r="C27">
        <f>[2]ALL!$F27/[2]ALL!$C27*100</f>
        <v>52.893623230701877</v>
      </c>
      <c r="D27">
        <f>[3]ALL!$F27/[3]ALL!$C27*100</f>
        <v>53.897608248768236</v>
      </c>
    </row>
    <row r="28" spans="1:9" x14ac:dyDescent="0.2">
      <c r="A28" s="1">
        <v>2016</v>
      </c>
      <c r="B28">
        <f>[1]ALL!$F28/[1]ALL!$C28*100</f>
        <v>57.5260492040521</v>
      </c>
      <c r="C28">
        <f>[2]ALL!$F28/[2]ALL!$C28*100</f>
        <v>54.00906572651725</v>
      </c>
      <c r="D28">
        <f>[3]ALL!$F28/[3]ALL!$C28*100</f>
        <v>54.416193245935894</v>
      </c>
    </row>
    <row r="29" spans="1:9" x14ac:dyDescent="0.2">
      <c r="A29" s="1">
        <v>2017</v>
      </c>
      <c r="B29">
        <f>[1]ALL!$F29/[1]ALL!$C29*100</f>
        <v>57.001321843463224</v>
      </c>
      <c r="C29">
        <f>[2]ALL!$F29/[2]ALL!$C29*100</f>
        <v>53.952974942046581</v>
      </c>
      <c r="D29">
        <f>[3]ALL!$F29/[3]ALL!$C29*100</f>
        <v>54.422671509486676</v>
      </c>
    </row>
    <row r="30" spans="1:9" ht="16" x14ac:dyDescent="0.2">
      <c r="A30" s="1">
        <v>2018</v>
      </c>
      <c r="B30">
        <f>[1]ALL!$F30/[1]ALL!$C30*100</f>
        <v>57.289352749667977</v>
      </c>
      <c r="C30">
        <f>[2]ALL!$F30/[2]ALL!$C30*100</f>
        <v>53.569948902085351</v>
      </c>
      <c r="D30">
        <f>[3]ALL!$F30/[3]ALL!$C30*100</f>
        <v>54.456085489867775</v>
      </c>
      <c r="G30" s="1" t="s">
        <v>8</v>
      </c>
      <c r="H30" s="1" t="s">
        <v>11</v>
      </c>
      <c r="I30" s="1" t="s">
        <v>9</v>
      </c>
    </row>
    <row r="31" spans="1:9" x14ac:dyDescent="0.2">
      <c r="A31" s="1">
        <v>2019</v>
      </c>
      <c r="B31">
        <f>[1]ALL!$F31/[1]ALL!$C31*100</f>
        <v>57.181517187161411</v>
      </c>
      <c r="C31">
        <f>[2]ALL!$F31/[2]ALL!$C31*100</f>
        <v>54.28932154960463</v>
      </c>
      <c r="D31">
        <f>[3]ALL!$F31/[3]ALL!$C31*100</f>
        <v>54.84756384883611</v>
      </c>
      <c r="G31" t="s">
        <v>0</v>
      </c>
      <c r="H31" s="1"/>
      <c r="I31" s="1"/>
    </row>
    <row r="32" spans="1:9" x14ac:dyDescent="0.2">
      <c r="A32" s="1">
        <v>2020</v>
      </c>
      <c r="B32">
        <f>[1]ALL!$F32/[1]ALL!$C32*100</f>
        <v>58.06467745906685</v>
      </c>
      <c r="C32">
        <f>[2]ALL!$F32/[2]ALL!$C32*100</f>
        <v>55.062296483486087</v>
      </c>
      <c r="D32">
        <f>[3]ALL!$F32/[3]ALL!$C32*100</f>
        <v>55.36911527982538</v>
      </c>
      <c r="G32" t="s">
        <v>1</v>
      </c>
      <c r="H32" s="1"/>
      <c r="I32" s="1"/>
    </row>
    <row r="33" spans="1:14" x14ac:dyDescent="0.2">
      <c r="A33" s="1">
        <v>2021</v>
      </c>
      <c r="B33">
        <f>[1]ALL!$F33/[1]ALL!$C33*100</f>
        <v>59.455282349683003</v>
      </c>
      <c r="C33">
        <f>[2]ALL!$F33/[2]ALL!$C33*100</f>
        <v>56.059123595292149</v>
      </c>
      <c r="D33">
        <f>[3]ALL!$F33/[3]ALL!$C33*100</f>
        <v>56.129592103859835</v>
      </c>
      <c r="G33" t="s">
        <v>2</v>
      </c>
      <c r="H33" s="1"/>
      <c r="I33" s="1"/>
      <c r="L33" s="1"/>
      <c r="M33" s="1"/>
      <c r="N33" s="1"/>
    </row>
    <row r="34" spans="1:14" x14ac:dyDescent="0.2">
      <c r="A34" s="1">
        <v>2022</v>
      </c>
      <c r="B34">
        <f>[1]ALL!$F34/[1]ALL!$C34*100</f>
        <v>59.299691737310198</v>
      </c>
      <c r="C34">
        <f>[2]ALL!$F34/[2]ALL!$C34*100</f>
        <v>54.996492830693441</v>
      </c>
      <c r="D34">
        <f>[3]ALL!$F34/[3]ALL!$C34*100</f>
        <v>55.840590301037288</v>
      </c>
      <c r="L34" s="1"/>
      <c r="M34" s="1"/>
      <c r="N34" s="1"/>
    </row>
    <row r="35" spans="1:14" x14ac:dyDescent="0.2">
      <c r="A35" s="1">
        <v>2023</v>
      </c>
      <c r="B35">
        <f>[1]ALL!$F35/[1]ALL!$C35*100</f>
        <v>60.079944132609086</v>
      </c>
      <c r="C35">
        <f>[2]ALL!$F35/[2]ALL!$C35*100</f>
        <v>55.767477480762921</v>
      </c>
      <c r="D35">
        <f>[3]ALL!$F35/[3]ALL!$C35*100</f>
        <v>56.428535400238744</v>
      </c>
      <c r="L35" s="1"/>
      <c r="M35" s="1"/>
      <c r="N35" s="1"/>
    </row>
    <row r="36" spans="1:14" x14ac:dyDescent="0.2">
      <c r="A36" s="1">
        <v>2024</v>
      </c>
      <c r="B36">
        <f>[1]ALL!$F36/[1]ALL!$C36*100</f>
        <v>60.339322158270079</v>
      </c>
      <c r="C36">
        <f>[2]ALL!$F36/[2]ALL!$C36*100</f>
        <v>55.889141488641691</v>
      </c>
      <c r="D36">
        <f>[3]ALL!$F36/[3]ALL!$C36*100</f>
        <v>56.294623223893893</v>
      </c>
      <c r="L36" s="1"/>
      <c r="M36" s="1"/>
      <c r="N36" s="1"/>
    </row>
    <row r="37" spans="1:14" x14ac:dyDescent="0.2">
      <c r="A37" s="1">
        <v>2025</v>
      </c>
      <c r="B37">
        <f>[1]ALL!$F37/[1]ALL!$C37*100</f>
        <v>62.420095403140799</v>
      </c>
      <c r="C37">
        <f>[2]ALL!$F37/[2]ALL!$C37*100</f>
        <v>56.967549496526736</v>
      </c>
      <c r="D37">
        <f>[3]ALL!$F37/[3]ALL!$C37*100</f>
        <v>56.933086234769924</v>
      </c>
      <c r="L37" s="1"/>
      <c r="M37" s="1"/>
      <c r="N37" s="1"/>
    </row>
    <row r="38" spans="1:14" x14ac:dyDescent="0.2">
      <c r="A38" s="1" t="s">
        <v>5</v>
      </c>
      <c r="L38" s="1"/>
      <c r="M38" s="1"/>
      <c r="N38" s="1"/>
    </row>
    <row r="39" spans="1:14" x14ac:dyDescent="0.2">
      <c r="A39" s="1" t="s">
        <v>6</v>
      </c>
      <c r="L39" s="1"/>
      <c r="M39" s="1"/>
      <c r="N39" s="1"/>
    </row>
    <row r="40" spans="1:14" x14ac:dyDescent="0.2">
      <c r="A40" s="1" t="s">
        <v>7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6F6F-F440-49FE-A3D0-B7B47A97B13F}">
  <dimension ref="A1:AQ40"/>
  <sheetViews>
    <sheetView zoomScale="85" zoomScaleNormal="85" workbookViewId="0">
      <selection activeCell="O32" sqref="O32"/>
    </sheetView>
  </sheetViews>
  <sheetFormatPr baseColWidth="10" defaultColWidth="8.83203125" defaultRowHeight="15" x14ac:dyDescent="0.2"/>
  <cols>
    <col min="1" max="1" width="9" style="1"/>
  </cols>
  <sheetData>
    <row r="1" spans="1:43" x14ac:dyDescent="0.2">
      <c r="A1" s="1" t="s">
        <v>4</v>
      </c>
      <c r="B1" t="s">
        <v>0</v>
      </c>
      <c r="C1" t="s">
        <v>1</v>
      </c>
      <c r="D1" t="s">
        <v>2</v>
      </c>
      <c r="F1" t="s">
        <v>3</v>
      </c>
      <c r="G1" t="str">
        <f t="shared" ref="G1:AQ4" si="0">G6</f>
        <v>Year</v>
      </c>
      <c r="H1">
        <f t="shared" si="0"/>
        <v>1990</v>
      </c>
      <c r="M1">
        <f t="shared" si="0"/>
        <v>1995</v>
      </c>
      <c r="R1">
        <f t="shared" si="0"/>
        <v>2000</v>
      </c>
      <c r="W1">
        <f t="shared" si="0"/>
        <v>2005</v>
      </c>
      <c r="AB1">
        <f t="shared" si="0"/>
        <v>2010</v>
      </c>
      <c r="AG1">
        <f t="shared" si="0"/>
        <v>2015</v>
      </c>
      <c r="AL1">
        <f t="shared" si="0"/>
        <v>2020</v>
      </c>
      <c r="AQ1">
        <f t="shared" si="0"/>
        <v>2025</v>
      </c>
    </row>
    <row r="2" spans="1:43" x14ac:dyDescent="0.2">
      <c r="A2" s="1">
        <v>1990</v>
      </c>
      <c r="B2">
        <f>[1]ALL!$G2/[1]ALL!$C2*100</f>
        <v>25</v>
      </c>
      <c r="C2">
        <f>[2]ALL!$G2/[2]ALL!$C2*100</f>
        <v>52.222222222222229</v>
      </c>
      <c r="D2">
        <f>[3]ALL!$G2/[3]ALL!$C2*100</f>
        <v>39.091083229575716</v>
      </c>
      <c r="G2" t="str">
        <f t="shared" si="0"/>
        <v>PMC full text</v>
      </c>
      <c r="H2">
        <f t="shared" si="0"/>
        <v>25</v>
      </c>
      <c r="I2">
        <f t="shared" si="0"/>
        <v>63.636363636363633</v>
      </c>
      <c r="J2">
        <f t="shared" si="0"/>
        <v>28.571428571428569</v>
      </c>
      <c r="K2">
        <f t="shared" si="0"/>
        <v>50</v>
      </c>
      <c r="L2">
        <f t="shared" si="0"/>
        <v>38.235294117647058</v>
      </c>
      <c r="M2">
        <f t="shared" si="0"/>
        <v>34.375</v>
      </c>
      <c r="N2">
        <f t="shared" si="0"/>
        <v>37.209302325581397</v>
      </c>
      <c r="O2">
        <f t="shared" si="0"/>
        <v>35.61643835616438</v>
      </c>
      <c r="P2">
        <f t="shared" si="0"/>
        <v>38.718662952646241</v>
      </c>
      <c r="Q2">
        <f t="shared" si="0"/>
        <v>39.753086419753089</v>
      </c>
      <c r="R2">
        <f t="shared" si="0"/>
        <v>37.453874538745389</v>
      </c>
      <c r="S2">
        <f t="shared" si="0"/>
        <v>44.88752556237219</v>
      </c>
      <c r="T2">
        <f t="shared" si="0"/>
        <v>47.4065138721351</v>
      </c>
      <c r="U2">
        <f t="shared" si="0"/>
        <v>50.021691973969631</v>
      </c>
      <c r="V2">
        <f t="shared" si="0"/>
        <v>51.852932594105624</v>
      </c>
      <c r="W2">
        <f t="shared" si="0"/>
        <v>50.221893491124256</v>
      </c>
      <c r="X2">
        <f t="shared" si="0"/>
        <v>52.243106050212653</v>
      </c>
      <c r="Y2">
        <f t="shared" si="0"/>
        <v>52.595957722974227</v>
      </c>
      <c r="Z2">
        <f t="shared" si="0"/>
        <v>52.996005326231689</v>
      </c>
      <c r="AA2">
        <f t="shared" si="0"/>
        <v>53.156593048986856</v>
      </c>
      <c r="AB2">
        <f t="shared" si="0"/>
        <v>52.822955042381771</v>
      </c>
      <c r="AC2">
        <f t="shared" si="0"/>
        <v>52.001518538828194</v>
      </c>
      <c r="AD2">
        <f t="shared" si="0"/>
        <v>51.293911181177307</v>
      </c>
      <c r="AE2">
        <f t="shared" si="0"/>
        <v>51.57299956102338</v>
      </c>
      <c r="AF2">
        <f t="shared" si="0"/>
        <v>51.249214256898121</v>
      </c>
      <c r="AG2">
        <f t="shared" si="0"/>
        <v>51.5813308012563</v>
      </c>
      <c r="AH2">
        <f t="shared" si="0"/>
        <v>51.915340086830675</v>
      </c>
      <c r="AI2">
        <f t="shared" si="0"/>
        <v>51.643407305727138</v>
      </c>
      <c r="AJ2">
        <f t="shared" si="0"/>
        <v>52.045061880751739</v>
      </c>
      <c r="AK2">
        <f t="shared" si="0"/>
        <v>52.048802366541857</v>
      </c>
      <c r="AL2">
        <f t="shared" si="0"/>
        <v>52.936492059583898</v>
      </c>
      <c r="AM2">
        <f t="shared" si="0"/>
        <v>54.389872754290415</v>
      </c>
      <c r="AN2">
        <f t="shared" si="0"/>
        <v>54.447418299972924</v>
      </c>
      <c r="AO2">
        <f t="shared" si="0"/>
        <v>55.238882769059053</v>
      </c>
      <c r="AP2">
        <f t="shared" si="0"/>
        <v>55.527528721135546</v>
      </c>
      <c r="AQ2">
        <f t="shared" si="0"/>
        <v>57.815375270219569</v>
      </c>
    </row>
    <row r="3" spans="1:43" x14ac:dyDescent="0.2">
      <c r="A3" s="1">
        <v>1991</v>
      </c>
      <c r="B3">
        <f>[1]ALL!$G3/[1]ALL!$C3*100</f>
        <v>63.636363636363633</v>
      </c>
      <c r="C3">
        <f>[2]ALL!$G3/[2]ALL!$C3*100</f>
        <v>47.482014388489205</v>
      </c>
      <c r="D3">
        <f>[3]ALL!$G3/[3]ALL!$C3*100</f>
        <v>38.901822973863389</v>
      </c>
      <c r="G3" t="str">
        <f t="shared" si="0"/>
        <v xml:space="preserve">PMC abstracts </v>
      </c>
      <c r="H3">
        <f t="shared" si="0"/>
        <v>52.222222222222229</v>
      </c>
      <c r="I3">
        <f t="shared" si="0"/>
        <v>47.482014388489205</v>
      </c>
      <c r="J3">
        <f t="shared" si="0"/>
        <v>35.664335664335667</v>
      </c>
      <c r="K3">
        <f t="shared" si="0"/>
        <v>35.353535353535356</v>
      </c>
      <c r="L3">
        <f t="shared" si="0"/>
        <v>39.565217391304344</v>
      </c>
      <c r="M3">
        <f t="shared" si="0"/>
        <v>35.267857142857146</v>
      </c>
      <c r="N3">
        <f t="shared" si="0"/>
        <v>39.852398523985237</v>
      </c>
      <c r="O3">
        <f t="shared" si="0"/>
        <v>39.38356164383562</v>
      </c>
      <c r="P3">
        <f t="shared" si="0"/>
        <v>45.121951219512198</v>
      </c>
      <c r="Q3">
        <f t="shared" si="0"/>
        <v>44.505494505494504</v>
      </c>
      <c r="R3">
        <f t="shared" si="0"/>
        <v>41.525423728813557</v>
      </c>
      <c r="S3">
        <f t="shared" si="0"/>
        <v>40.089086859688194</v>
      </c>
      <c r="T3">
        <f t="shared" si="0"/>
        <v>43.680297397769522</v>
      </c>
      <c r="U3">
        <f t="shared" si="0"/>
        <v>43.137254901960787</v>
      </c>
      <c r="V3">
        <f t="shared" si="0"/>
        <v>47.222222222222221</v>
      </c>
      <c r="W3">
        <f t="shared" si="0"/>
        <v>43.959243085880637</v>
      </c>
      <c r="X3">
        <f t="shared" si="0"/>
        <v>47.067745197168861</v>
      </c>
      <c r="Y3">
        <f t="shared" si="0"/>
        <v>44.034302759134974</v>
      </c>
      <c r="Z3">
        <f t="shared" si="0"/>
        <v>44.414303329223181</v>
      </c>
      <c r="AA3">
        <f t="shared" si="0"/>
        <v>44.860813704496785</v>
      </c>
      <c r="AB3">
        <f t="shared" si="0"/>
        <v>44.302875864579541</v>
      </c>
      <c r="AC3">
        <f t="shared" si="0"/>
        <v>44.524191505530695</v>
      </c>
      <c r="AD3">
        <f t="shared" si="0"/>
        <v>42.911109839162044</v>
      </c>
      <c r="AE3">
        <f t="shared" si="0"/>
        <v>44.008806842238968</v>
      </c>
      <c r="AF3">
        <f t="shared" si="0"/>
        <v>44.503930604499864</v>
      </c>
      <c r="AG3">
        <f t="shared" si="0"/>
        <v>44.800817160367721</v>
      </c>
      <c r="AH3">
        <f t="shared" si="0"/>
        <v>45.794510198942334</v>
      </c>
      <c r="AI3">
        <f t="shared" si="0"/>
        <v>45.620929462413066</v>
      </c>
      <c r="AJ3">
        <f t="shared" si="0"/>
        <v>45.433740406810422</v>
      </c>
      <c r="AK3">
        <f t="shared" si="0"/>
        <v>46.44162402817463</v>
      </c>
      <c r="AL3">
        <f t="shared" si="0"/>
        <v>47.117766127308613</v>
      </c>
      <c r="AM3">
        <f t="shared" si="0"/>
        <v>48.129114380978613</v>
      </c>
      <c r="AN3">
        <f t="shared" si="0"/>
        <v>47.348416880087434</v>
      </c>
      <c r="AO3">
        <f t="shared" si="0"/>
        <v>48.138288173297838</v>
      </c>
      <c r="AP3">
        <f t="shared" si="0"/>
        <v>48.260243305624492</v>
      </c>
      <c r="AQ3">
        <f t="shared" si="0"/>
        <v>49.492522971593303</v>
      </c>
    </row>
    <row r="4" spans="1:43" x14ac:dyDescent="0.2">
      <c r="A4" s="1">
        <v>1992</v>
      </c>
      <c r="B4">
        <f>[1]ALL!$G4/[1]ALL!$C4*100</f>
        <v>28.571428571428569</v>
      </c>
      <c r="C4">
        <f>[2]ALL!$G4/[2]ALL!$C4*100</f>
        <v>35.664335664335667</v>
      </c>
      <c r="D4">
        <f>[3]ALL!$G4/[3]ALL!$C4*100</f>
        <v>38.860330743175929</v>
      </c>
      <c r="G4" t="str">
        <f t="shared" si="0"/>
        <v>Pubmed abstracts</v>
      </c>
      <c r="H4">
        <f t="shared" si="0"/>
        <v>39.091083229575716</v>
      </c>
      <c r="I4">
        <f t="shared" si="0"/>
        <v>38.901822973863389</v>
      </c>
      <c r="J4">
        <f t="shared" si="0"/>
        <v>38.860330743175929</v>
      </c>
      <c r="K4">
        <f t="shared" si="0"/>
        <v>39.74005947791607</v>
      </c>
      <c r="L4">
        <f t="shared" si="0"/>
        <v>39.972281377818341</v>
      </c>
      <c r="M4">
        <f t="shared" si="0"/>
        <v>39.99562308509973</v>
      </c>
      <c r="N4">
        <f t="shared" si="0"/>
        <v>40.430051210428303</v>
      </c>
      <c r="O4">
        <f t="shared" si="0"/>
        <v>41.201048664591184</v>
      </c>
      <c r="P4">
        <f t="shared" si="0"/>
        <v>41.089815078973984</v>
      </c>
      <c r="Q4">
        <f t="shared" si="0"/>
        <v>41.642056964342373</v>
      </c>
      <c r="R4">
        <f t="shared" si="0"/>
        <v>41.583647828227186</v>
      </c>
      <c r="S4">
        <f t="shared" si="0"/>
        <v>41.71777806777154</v>
      </c>
      <c r="T4">
        <f t="shared" si="0"/>
        <v>41.777102330293822</v>
      </c>
      <c r="U4">
        <f t="shared" si="0"/>
        <v>41.631757430680231</v>
      </c>
      <c r="V4">
        <f t="shared" si="0"/>
        <v>41.910740334027174</v>
      </c>
      <c r="W4">
        <f t="shared" si="0"/>
        <v>42.014294256670176</v>
      </c>
      <c r="X4">
        <f t="shared" si="0"/>
        <v>42.107199642580255</v>
      </c>
      <c r="Y4">
        <f t="shared" si="0"/>
        <v>42.923386613626015</v>
      </c>
      <c r="Z4">
        <f t="shared" si="0"/>
        <v>42.835703960363261</v>
      </c>
      <c r="AA4">
        <f t="shared" si="0"/>
        <v>42.810862118773471</v>
      </c>
      <c r="AB4">
        <f t="shared" si="0"/>
        <v>43.227386165654281</v>
      </c>
      <c r="AC4">
        <f t="shared" si="0"/>
        <v>43.938020484755036</v>
      </c>
      <c r="AD4">
        <f t="shared" si="0"/>
        <v>44.229931210508298</v>
      </c>
      <c r="AE4">
        <f t="shared" si="0"/>
        <v>44.737353455534681</v>
      </c>
      <c r="AF4">
        <f t="shared" si="0"/>
        <v>45.368177505988982</v>
      </c>
      <c r="AG4">
        <f t="shared" si="0"/>
        <v>45.816556269781707</v>
      </c>
      <c r="AH4">
        <f t="shared" si="0"/>
        <v>46.220909612644043</v>
      </c>
      <c r="AI4">
        <f t="shared" si="0"/>
        <v>46.137385385181986</v>
      </c>
      <c r="AJ4">
        <f t="shared" si="0"/>
        <v>46.33676409031591</v>
      </c>
      <c r="AK4">
        <f t="shared" si="0"/>
        <v>46.909457167090757</v>
      </c>
      <c r="AL4">
        <f t="shared" si="0"/>
        <v>47.332503294974451</v>
      </c>
      <c r="AM4">
        <f t="shared" si="0"/>
        <v>48.13116279971689</v>
      </c>
      <c r="AN4">
        <f t="shared" si="0"/>
        <v>48.160384061060022</v>
      </c>
      <c r="AO4">
        <f t="shared" si="0"/>
        <v>48.572837679551199</v>
      </c>
      <c r="AP4">
        <f t="shared" si="0"/>
        <v>48.628794501061456</v>
      </c>
      <c r="AQ4">
        <f t="shared" si="0"/>
        <v>49.52959268167659</v>
      </c>
    </row>
    <row r="5" spans="1:43" x14ac:dyDescent="0.2">
      <c r="A5" s="1">
        <v>1993</v>
      </c>
      <c r="B5">
        <f>[1]ALL!$G5/[1]ALL!$C5*100</f>
        <v>50</v>
      </c>
      <c r="C5">
        <f>[2]ALL!$G5/[2]ALL!$C5*100</f>
        <v>35.353535353535356</v>
      </c>
      <c r="D5">
        <f>[3]ALL!$G5/[3]ALL!$C5*100</f>
        <v>39.74005947791607</v>
      </c>
    </row>
    <row r="6" spans="1:43" x14ac:dyDescent="0.2">
      <c r="A6" s="1">
        <v>1994</v>
      </c>
      <c r="B6">
        <f>[1]ALL!$G6/[1]ALL!$C6*100</f>
        <v>38.235294117647058</v>
      </c>
      <c r="C6">
        <f>[2]ALL!$G6/[2]ALL!$C6*100</f>
        <v>39.565217391304344</v>
      </c>
      <c r="D6">
        <f>[3]ALL!$G6/[3]ALL!$C6*100</f>
        <v>39.972281377818341</v>
      </c>
      <c r="G6" t="str" cm="1">
        <f t="array" ref="G6:AQ9">TRANSPOSE(A1:D37)</f>
        <v>Year</v>
      </c>
      <c r="H6">
        <v>1990</v>
      </c>
      <c r="I6">
        <v>1991</v>
      </c>
      <c r="J6">
        <v>1992</v>
      </c>
      <c r="K6">
        <v>1993</v>
      </c>
      <c r="L6">
        <v>1994</v>
      </c>
      <c r="M6">
        <v>1995</v>
      </c>
      <c r="N6">
        <v>1996</v>
      </c>
      <c r="O6">
        <v>1997</v>
      </c>
      <c r="P6">
        <v>1998</v>
      </c>
      <c r="Q6">
        <v>1999</v>
      </c>
      <c r="R6">
        <v>2000</v>
      </c>
      <c r="S6">
        <v>2001</v>
      </c>
      <c r="T6">
        <v>2002</v>
      </c>
      <c r="U6">
        <v>2003</v>
      </c>
      <c r="V6">
        <v>2004</v>
      </c>
      <c r="W6">
        <v>2005</v>
      </c>
      <c r="X6">
        <v>2006</v>
      </c>
      <c r="Y6">
        <v>2007</v>
      </c>
      <c r="Z6">
        <v>2008</v>
      </c>
      <c r="AA6">
        <v>2009</v>
      </c>
      <c r="AB6">
        <v>2010</v>
      </c>
      <c r="AC6">
        <v>2011</v>
      </c>
      <c r="AD6">
        <v>2012</v>
      </c>
      <c r="AE6">
        <v>2013</v>
      </c>
      <c r="AF6">
        <v>2014</v>
      </c>
      <c r="AG6">
        <v>2015</v>
      </c>
      <c r="AH6">
        <v>2016</v>
      </c>
      <c r="AI6">
        <v>2017</v>
      </c>
      <c r="AJ6">
        <v>2018</v>
      </c>
      <c r="AK6">
        <v>2019</v>
      </c>
      <c r="AL6">
        <v>2020</v>
      </c>
      <c r="AM6">
        <v>2021</v>
      </c>
      <c r="AN6">
        <v>2022</v>
      </c>
      <c r="AO6">
        <v>2023</v>
      </c>
      <c r="AP6">
        <v>2024</v>
      </c>
      <c r="AQ6">
        <v>2025</v>
      </c>
    </row>
    <row r="7" spans="1:43" x14ac:dyDescent="0.2">
      <c r="A7" s="1">
        <v>1995</v>
      </c>
      <c r="B7">
        <f>[1]ALL!$G7/[1]ALL!$C7*100</f>
        <v>34.375</v>
      </c>
      <c r="C7">
        <f>[2]ALL!$G7/[2]ALL!$C7*100</f>
        <v>35.267857142857146</v>
      </c>
      <c r="D7">
        <f>[3]ALL!$G7/[3]ALL!$C7*100</f>
        <v>39.99562308509973</v>
      </c>
      <c r="G7" t="str">
        <v>PMC full text</v>
      </c>
      <c r="H7">
        <v>25</v>
      </c>
      <c r="I7">
        <v>63.636363636363633</v>
      </c>
      <c r="J7">
        <v>28.571428571428569</v>
      </c>
      <c r="K7">
        <v>50</v>
      </c>
      <c r="L7">
        <v>38.235294117647058</v>
      </c>
      <c r="M7">
        <v>34.375</v>
      </c>
      <c r="N7">
        <v>37.209302325581397</v>
      </c>
      <c r="O7">
        <v>35.61643835616438</v>
      </c>
      <c r="P7">
        <v>38.718662952646241</v>
      </c>
      <c r="Q7">
        <v>39.753086419753089</v>
      </c>
      <c r="R7">
        <v>37.453874538745389</v>
      </c>
      <c r="S7">
        <v>44.88752556237219</v>
      </c>
      <c r="T7">
        <v>47.4065138721351</v>
      </c>
      <c r="U7">
        <v>50.021691973969631</v>
      </c>
      <c r="V7">
        <v>51.852932594105624</v>
      </c>
      <c r="W7">
        <v>50.221893491124256</v>
      </c>
      <c r="X7">
        <v>52.243106050212653</v>
      </c>
      <c r="Y7">
        <v>52.595957722974227</v>
      </c>
      <c r="Z7">
        <v>52.996005326231689</v>
      </c>
      <c r="AA7">
        <v>53.156593048986856</v>
      </c>
      <c r="AB7">
        <v>52.822955042381771</v>
      </c>
      <c r="AC7">
        <v>52.001518538828194</v>
      </c>
      <c r="AD7">
        <v>51.293911181177307</v>
      </c>
      <c r="AE7">
        <v>51.57299956102338</v>
      </c>
      <c r="AF7">
        <v>51.249214256898121</v>
      </c>
      <c r="AG7">
        <v>51.5813308012563</v>
      </c>
      <c r="AH7">
        <v>51.915340086830675</v>
      </c>
      <c r="AI7">
        <v>51.643407305727138</v>
      </c>
      <c r="AJ7">
        <v>52.045061880751739</v>
      </c>
      <c r="AK7">
        <v>52.048802366541857</v>
      </c>
      <c r="AL7">
        <v>52.936492059583898</v>
      </c>
      <c r="AM7">
        <v>54.389872754290415</v>
      </c>
      <c r="AN7">
        <v>54.447418299972924</v>
      </c>
      <c r="AO7">
        <v>55.238882769059053</v>
      </c>
      <c r="AP7">
        <v>55.527528721135546</v>
      </c>
      <c r="AQ7">
        <v>57.815375270219569</v>
      </c>
    </row>
    <row r="8" spans="1:43" x14ac:dyDescent="0.2">
      <c r="A8" s="1">
        <v>1996</v>
      </c>
      <c r="B8">
        <f>[1]ALL!$G8/[1]ALL!$C8*100</f>
        <v>37.209302325581397</v>
      </c>
      <c r="C8">
        <f>[2]ALL!$G8/[2]ALL!$C8*100</f>
        <v>39.852398523985237</v>
      </c>
      <c r="D8">
        <f>[3]ALL!$G8/[3]ALL!$C8*100</f>
        <v>40.430051210428303</v>
      </c>
      <c r="G8" t="str">
        <v xml:space="preserve">PMC abstracts </v>
      </c>
      <c r="H8">
        <v>52.222222222222229</v>
      </c>
      <c r="I8">
        <v>47.482014388489205</v>
      </c>
      <c r="J8">
        <v>35.664335664335667</v>
      </c>
      <c r="K8">
        <v>35.353535353535356</v>
      </c>
      <c r="L8">
        <v>39.565217391304344</v>
      </c>
      <c r="M8">
        <v>35.267857142857146</v>
      </c>
      <c r="N8">
        <v>39.852398523985237</v>
      </c>
      <c r="O8">
        <v>39.38356164383562</v>
      </c>
      <c r="P8">
        <v>45.121951219512198</v>
      </c>
      <c r="Q8">
        <v>44.505494505494504</v>
      </c>
      <c r="R8">
        <v>41.525423728813557</v>
      </c>
      <c r="S8">
        <v>40.089086859688194</v>
      </c>
      <c r="T8">
        <v>43.680297397769522</v>
      </c>
      <c r="U8">
        <v>43.137254901960787</v>
      </c>
      <c r="V8">
        <v>47.222222222222221</v>
      </c>
      <c r="W8">
        <v>43.959243085880637</v>
      </c>
      <c r="X8">
        <v>47.067745197168861</v>
      </c>
      <c r="Y8">
        <v>44.034302759134974</v>
      </c>
      <c r="Z8">
        <v>44.414303329223181</v>
      </c>
      <c r="AA8">
        <v>44.860813704496785</v>
      </c>
      <c r="AB8">
        <v>44.302875864579541</v>
      </c>
      <c r="AC8">
        <v>44.524191505530695</v>
      </c>
      <c r="AD8">
        <v>42.911109839162044</v>
      </c>
      <c r="AE8">
        <v>44.008806842238968</v>
      </c>
      <c r="AF8">
        <v>44.503930604499864</v>
      </c>
      <c r="AG8">
        <v>44.800817160367721</v>
      </c>
      <c r="AH8">
        <v>45.794510198942334</v>
      </c>
      <c r="AI8">
        <v>45.620929462413066</v>
      </c>
      <c r="AJ8">
        <v>45.433740406810422</v>
      </c>
      <c r="AK8">
        <v>46.44162402817463</v>
      </c>
      <c r="AL8">
        <v>47.117766127308613</v>
      </c>
      <c r="AM8">
        <v>48.129114380978613</v>
      </c>
      <c r="AN8">
        <v>47.348416880087434</v>
      </c>
      <c r="AO8">
        <v>48.138288173297838</v>
      </c>
      <c r="AP8">
        <v>48.260243305624492</v>
      </c>
      <c r="AQ8">
        <v>49.492522971593303</v>
      </c>
    </row>
    <row r="9" spans="1:43" x14ac:dyDescent="0.2">
      <c r="A9" s="1">
        <v>1997</v>
      </c>
      <c r="B9">
        <f>[1]ALL!$G9/[1]ALL!$C9*100</f>
        <v>35.61643835616438</v>
      </c>
      <c r="C9">
        <f>[2]ALL!$G9/[2]ALL!$C9*100</f>
        <v>39.38356164383562</v>
      </c>
      <c r="D9">
        <f>[3]ALL!$G9/[3]ALL!$C9*100</f>
        <v>41.201048664591184</v>
      </c>
      <c r="G9" t="str">
        <v>Pubmed abstracts</v>
      </c>
      <c r="H9">
        <v>39.091083229575716</v>
      </c>
      <c r="I9">
        <v>38.901822973863389</v>
      </c>
      <c r="J9">
        <v>38.860330743175929</v>
      </c>
      <c r="K9">
        <v>39.74005947791607</v>
      </c>
      <c r="L9">
        <v>39.972281377818341</v>
      </c>
      <c r="M9">
        <v>39.99562308509973</v>
      </c>
      <c r="N9">
        <v>40.430051210428303</v>
      </c>
      <c r="O9">
        <v>41.201048664591184</v>
      </c>
      <c r="P9">
        <v>41.089815078973984</v>
      </c>
      <c r="Q9">
        <v>41.642056964342373</v>
      </c>
      <c r="R9">
        <v>41.583647828227186</v>
      </c>
      <c r="S9">
        <v>41.71777806777154</v>
      </c>
      <c r="T9">
        <v>41.777102330293822</v>
      </c>
      <c r="U9">
        <v>41.631757430680231</v>
      </c>
      <c r="V9">
        <v>41.910740334027174</v>
      </c>
      <c r="W9">
        <v>42.014294256670176</v>
      </c>
      <c r="X9">
        <v>42.107199642580255</v>
      </c>
      <c r="Y9">
        <v>42.923386613626015</v>
      </c>
      <c r="Z9">
        <v>42.835703960363261</v>
      </c>
      <c r="AA9">
        <v>42.810862118773471</v>
      </c>
      <c r="AB9">
        <v>43.227386165654281</v>
      </c>
      <c r="AC9">
        <v>43.938020484755036</v>
      </c>
      <c r="AD9">
        <v>44.229931210508298</v>
      </c>
      <c r="AE9">
        <v>44.737353455534681</v>
      </c>
      <c r="AF9">
        <v>45.368177505988982</v>
      </c>
      <c r="AG9">
        <v>45.816556269781707</v>
      </c>
      <c r="AH9">
        <v>46.220909612644043</v>
      </c>
      <c r="AI9">
        <v>46.137385385181986</v>
      </c>
      <c r="AJ9">
        <v>46.33676409031591</v>
      </c>
      <c r="AK9">
        <v>46.909457167090757</v>
      </c>
      <c r="AL9">
        <v>47.332503294974451</v>
      </c>
      <c r="AM9">
        <v>48.13116279971689</v>
      </c>
      <c r="AN9">
        <v>48.160384061060022</v>
      </c>
      <c r="AO9">
        <v>48.572837679551199</v>
      </c>
      <c r="AP9">
        <v>48.628794501061456</v>
      </c>
      <c r="AQ9">
        <v>49.52959268167659</v>
      </c>
    </row>
    <row r="10" spans="1:43" x14ac:dyDescent="0.2">
      <c r="A10" s="1">
        <v>1998</v>
      </c>
      <c r="B10">
        <f>[1]ALL!$G10/[1]ALL!$C10*100</f>
        <v>38.718662952646241</v>
      </c>
      <c r="C10">
        <f>[2]ALL!$G10/[2]ALL!$C10*100</f>
        <v>45.121951219512198</v>
      </c>
      <c r="D10">
        <f>[3]ALL!$G10/[3]ALL!$C10*100</f>
        <v>41.089815078973984</v>
      </c>
    </row>
    <row r="11" spans="1:43" x14ac:dyDescent="0.2">
      <c r="A11" s="1">
        <v>1999</v>
      </c>
      <c r="B11">
        <f>[1]ALL!$G11/[1]ALL!$C11*100</f>
        <v>39.753086419753089</v>
      </c>
      <c r="C11">
        <f>[2]ALL!$G11/[2]ALL!$C11*100</f>
        <v>44.505494505494504</v>
      </c>
      <c r="D11">
        <f>[3]ALL!$G11/[3]ALL!$C11*100</f>
        <v>41.642056964342373</v>
      </c>
    </row>
    <row r="12" spans="1:43" x14ac:dyDescent="0.2">
      <c r="A12" s="1">
        <v>2000</v>
      </c>
      <c r="B12">
        <f>[1]ALL!$G12/[1]ALL!$C12*100</f>
        <v>37.453874538745389</v>
      </c>
      <c r="C12">
        <f>[2]ALL!$G12/[2]ALL!$C12*100</f>
        <v>41.525423728813557</v>
      </c>
      <c r="D12">
        <f>[3]ALL!$G12/[3]ALL!$C12*100</f>
        <v>41.583647828227186</v>
      </c>
    </row>
    <row r="13" spans="1:43" x14ac:dyDescent="0.2">
      <c r="A13" s="1">
        <v>2001</v>
      </c>
      <c r="B13">
        <f>[1]ALL!$G13/[1]ALL!$C13*100</f>
        <v>44.88752556237219</v>
      </c>
      <c r="C13">
        <f>[2]ALL!$G13/[2]ALL!$C13*100</f>
        <v>40.089086859688194</v>
      </c>
      <c r="D13">
        <f>[3]ALL!$G13/[3]ALL!$C13*100</f>
        <v>41.71777806777154</v>
      </c>
    </row>
    <row r="14" spans="1:43" x14ac:dyDescent="0.2">
      <c r="A14" s="1">
        <v>2002</v>
      </c>
      <c r="B14">
        <f>[1]ALL!$G14/[1]ALL!$C14*100</f>
        <v>47.4065138721351</v>
      </c>
      <c r="C14">
        <f>[2]ALL!$G14/[2]ALL!$C14*100</f>
        <v>43.680297397769522</v>
      </c>
      <c r="D14">
        <f>[3]ALL!$G14/[3]ALL!$C14*100</f>
        <v>41.777102330293822</v>
      </c>
    </row>
    <row r="15" spans="1:43" x14ac:dyDescent="0.2">
      <c r="A15" s="1">
        <v>2003</v>
      </c>
      <c r="B15">
        <f>[1]ALL!$G15/[1]ALL!$C15*100</f>
        <v>50.021691973969631</v>
      </c>
      <c r="C15">
        <f>[2]ALL!$G15/[2]ALL!$C15*100</f>
        <v>43.137254901960787</v>
      </c>
      <c r="D15">
        <f>[3]ALL!$G15/[3]ALL!$C15*100</f>
        <v>41.631757430680231</v>
      </c>
    </row>
    <row r="16" spans="1:43" x14ac:dyDescent="0.2">
      <c r="A16" s="1">
        <v>2004</v>
      </c>
      <c r="B16">
        <f>[1]ALL!$G16/[1]ALL!$C16*100</f>
        <v>51.852932594105624</v>
      </c>
      <c r="C16">
        <f>[2]ALL!$G16/[2]ALL!$C16*100</f>
        <v>47.222222222222221</v>
      </c>
      <c r="D16">
        <f>[3]ALL!$G16/[3]ALL!$C16*100</f>
        <v>41.910740334027174</v>
      </c>
    </row>
    <row r="17" spans="1:9" x14ac:dyDescent="0.2">
      <c r="A17" s="1">
        <v>2005</v>
      </c>
      <c r="B17">
        <f>[1]ALL!$G17/[1]ALL!$C17*100</f>
        <v>50.221893491124256</v>
      </c>
      <c r="C17">
        <f>[2]ALL!$G17/[2]ALL!$C17*100</f>
        <v>43.959243085880637</v>
      </c>
      <c r="D17">
        <f>[3]ALL!$G17/[3]ALL!$C17*100</f>
        <v>42.014294256670176</v>
      </c>
    </row>
    <row r="18" spans="1:9" x14ac:dyDescent="0.2">
      <c r="A18" s="1">
        <v>2006</v>
      </c>
      <c r="B18">
        <f>[1]ALL!$G18/[1]ALL!$C18*100</f>
        <v>52.243106050212653</v>
      </c>
      <c r="C18">
        <f>[2]ALL!$G18/[2]ALL!$C18*100</f>
        <v>47.067745197168861</v>
      </c>
      <c r="D18">
        <f>[3]ALL!$G18/[3]ALL!$C18*100</f>
        <v>42.107199642580255</v>
      </c>
    </row>
    <row r="19" spans="1:9" x14ac:dyDescent="0.2">
      <c r="A19" s="1">
        <v>2007</v>
      </c>
      <c r="B19">
        <f>[1]ALL!$G19/[1]ALL!$C19*100</f>
        <v>52.595957722974227</v>
      </c>
      <c r="C19">
        <f>[2]ALL!$G19/[2]ALL!$C19*100</f>
        <v>44.034302759134974</v>
      </c>
      <c r="D19">
        <f>[3]ALL!$G19/[3]ALL!$C19*100</f>
        <v>42.923386613626015</v>
      </c>
    </row>
    <row r="20" spans="1:9" x14ac:dyDescent="0.2">
      <c r="A20" s="1">
        <v>2008</v>
      </c>
      <c r="B20">
        <f>[1]ALL!$G20/[1]ALL!$C20*100</f>
        <v>52.996005326231689</v>
      </c>
      <c r="C20">
        <f>[2]ALL!$G20/[2]ALL!$C20*100</f>
        <v>44.414303329223181</v>
      </c>
      <c r="D20">
        <f>[3]ALL!$G20/[3]ALL!$C20*100</f>
        <v>42.835703960363261</v>
      </c>
    </row>
    <row r="21" spans="1:9" x14ac:dyDescent="0.2">
      <c r="A21" s="1">
        <v>2009</v>
      </c>
      <c r="B21">
        <f>[1]ALL!$G21/[1]ALL!$C21*100</f>
        <v>53.156593048986856</v>
      </c>
      <c r="C21">
        <f>[2]ALL!$G21/[2]ALL!$C21*100</f>
        <v>44.860813704496785</v>
      </c>
      <c r="D21">
        <f>[3]ALL!$G21/[3]ALL!$C21*100</f>
        <v>42.810862118773471</v>
      </c>
    </row>
    <row r="22" spans="1:9" x14ac:dyDescent="0.2">
      <c r="A22" s="1">
        <v>2010</v>
      </c>
      <c r="B22">
        <f>[1]ALL!$G22/[1]ALL!$C22*100</f>
        <v>52.822955042381771</v>
      </c>
      <c r="C22">
        <f>[2]ALL!$G22/[2]ALL!$C22*100</f>
        <v>44.302875864579541</v>
      </c>
      <c r="D22">
        <f>[3]ALL!$G22/[3]ALL!$C22*100</f>
        <v>43.227386165654281</v>
      </c>
    </row>
    <row r="23" spans="1:9" x14ac:dyDescent="0.2">
      <c r="A23" s="1">
        <v>2011</v>
      </c>
      <c r="B23">
        <f>[1]ALL!$G23/[1]ALL!$C23*100</f>
        <v>52.001518538828194</v>
      </c>
      <c r="C23">
        <f>[2]ALL!$G23/[2]ALL!$C23*100</f>
        <v>44.524191505530695</v>
      </c>
      <c r="D23">
        <f>[3]ALL!$G23/[3]ALL!$C23*100</f>
        <v>43.938020484755036</v>
      </c>
    </row>
    <row r="24" spans="1:9" x14ac:dyDescent="0.2">
      <c r="A24" s="1">
        <v>2012</v>
      </c>
      <c r="B24">
        <f>[1]ALL!$G24/[1]ALL!$C24*100</f>
        <v>51.293911181177307</v>
      </c>
      <c r="C24">
        <f>[2]ALL!$G24/[2]ALL!$C24*100</f>
        <v>42.911109839162044</v>
      </c>
      <c r="D24">
        <f>[3]ALL!$G24/[3]ALL!$C24*100</f>
        <v>44.229931210508298</v>
      </c>
    </row>
    <row r="25" spans="1:9" x14ac:dyDescent="0.2">
      <c r="A25" s="1">
        <v>2013</v>
      </c>
      <c r="B25">
        <f>[1]ALL!$G25/[1]ALL!$C25*100</f>
        <v>51.57299956102338</v>
      </c>
      <c r="C25">
        <f>[2]ALL!$G25/[2]ALL!$C25*100</f>
        <v>44.008806842238968</v>
      </c>
      <c r="D25">
        <f>[3]ALL!$G25/[3]ALL!$C25*100</f>
        <v>44.737353455534681</v>
      </c>
    </row>
    <row r="26" spans="1:9" x14ac:dyDescent="0.2">
      <c r="A26" s="1">
        <v>2014</v>
      </c>
      <c r="B26">
        <f>[1]ALL!$G26/[1]ALL!$C26*100</f>
        <v>51.249214256898121</v>
      </c>
      <c r="C26">
        <f>[2]ALL!$G26/[2]ALL!$C26*100</f>
        <v>44.503930604499864</v>
      </c>
      <c r="D26">
        <f>[3]ALL!$G26/[3]ALL!$C26*100</f>
        <v>45.368177505988982</v>
      </c>
    </row>
    <row r="27" spans="1:9" x14ac:dyDescent="0.2">
      <c r="A27" s="1">
        <v>2015</v>
      </c>
      <c r="B27">
        <f>[1]ALL!$G27/[1]ALL!$C27*100</f>
        <v>51.5813308012563</v>
      </c>
      <c r="C27">
        <f>[2]ALL!$G27/[2]ALL!$C27*100</f>
        <v>44.800817160367721</v>
      </c>
      <c r="D27">
        <f>[3]ALL!$G27/[3]ALL!$C27*100</f>
        <v>45.816556269781707</v>
      </c>
    </row>
    <row r="28" spans="1:9" x14ac:dyDescent="0.2">
      <c r="A28" s="1">
        <v>2016</v>
      </c>
      <c r="B28">
        <f>[1]ALL!$G28/[1]ALL!$C28*100</f>
        <v>51.915340086830675</v>
      </c>
      <c r="C28">
        <f>[2]ALL!$G28/[2]ALL!$C28*100</f>
        <v>45.794510198942334</v>
      </c>
      <c r="D28">
        <f>[3]ALL!$G28/[3]ALL!$C28*100</f>
        <v>46.220909612644043</v>
      </c>
    </row>
    <row r="29" spans="1:9" x14ac:dyDescent="0.2">
      <c r="A29" s="1">
        <v>2017</v>
      </c>
      <c r="B29">
        <f>[1]ALL!$G29/[1]ALL!$C29*100</f>
        <v>51.643407305727138</v>
      </c>
      <c r="C29">
        <f>[2]ALL!$G29/[2]ALL!$C29*100</f>
        <v>45.620929462413066</v>
      </c>
      <c r="D29">
        <f>[3]ALL!$G29/[3]ALL!$C29*100</f>
        <v>46.137385385181986</v>
      </c>
    </row>
    <row r="30" spans="1:9" ht="16" x14ac:dyDescent="0.2">
      <c r="A30" s="1">
        <v>2018</v>
      </c>
      <c r="B30">
        <f>[1]ALL!$G30/[1]ALL!$C30*100</f>
        <v>52.045061880751739</v>
      </c>
      <c r="C30">
        <f>[2]ALL!$G30/[2]ALL!$C30*100</f>
        <v>45.433740406810422</v>
      </c>
      <c r="D30">
        <f>[3]ALL!$G30/[3]ALL!$C30*100</f>
        <v>46.33676409031591</v>
      </c>
      <c r="G30" s="1" t="s">
        <v>8</v>
      </c>
      <c r="H30" s="1" t="s">
        <v>11</v>
      </c>
      <c r="I30" s="1" t="s">
        <v>9</v>
      </c>
    </row>
    <row r="31" spans="1:9" x14ac:dyDescent="0.2">
      <c r="A31" s="1">
        <v>2019</v>
      </c>
      <c r="B31">
        <f>[1]ALL!$G31/[1]ALL!$C31*100</f>
        <v>52.048802366541857</v>
      </c>
      <c r="C31">
        <f>[2]ALL!$G31/[2]ALL!$C31*100</f>
        <v>46.44162402817463</v>
      </c>
      <c r="D31">
        <f>[3]ALL!$G31/[3]ALL!$C31*100</f>
        <v>46.909457167090757</v>
      </c>
      <c r="G31" t="s">
        <v>0</v>
      </c>
      <c r="H31" s="1"/>
      <c r="I31" s="1"/>
    </row>
    <row r="32" spans="1:9" x14ac:dyDescent="0.2">
      <c r="A32" s="1">
        <v>2020</v>
      </c>
      <c r="B32">
        <f>[1]ALL!$G32/[1]ALL!$C32*100</f>
        <v>52.936492059583898</v>
      </c>
      <c r="C32">
        <f>[2]ALL!$G32/[2]ALL!$C32*100</f>
        <v>47.117766127308613</v>
      </c>
      <c r="D32">
        <f>[3]ALL!$G32/[3]ALL!$C32*100</f>
        <v>47.332503294974451</v>
      </c>
      <c r="G32" t="s">
        <v>1</v>
      </c>
      <c r="H32" s="1"/>
      <c r="I32" s="1"/>
    </row>
    <row r="33" spans="1:14" x14ac:dyDescent="0.2">
      <c r="A33" s="1">
        <v>2021</v>
      </c>
      <c r="B33">
        <f>[1]ALL!$G33/[1]ALL!$C33*100</f>
        <v>54.389872754290415</v>
      </c>
      <c r="C33">
        <f>[2]ALL!$G33/[2]ALL!$C33*100</f>
        <v>48.129114380978613</v>
      </c>
      <c r="D33">
        <f>[3]ALL!$G33/[3]ALL!$C33*100</f>
        <v>48.13116279971689</v>
      </c>
      <c r="G33" t="s">
        <v>2</v>
      </c>
      <c r="H33" s="1"/>
      <c r="I33" s="1"/>
      <c r="L33" s="1"/>
      <c r="M33" s="1"/>
      <c r="N33" s="1"/>
    </row>
    <row r="34" spans="1:14" x14ac:dyDescent="0.2">
      <c r="A34" s="1">
        <v>2022</v>
      </c>
      <c r="B34">
        <f>[1]ALL!$G34/[1]ALL!$C34*100</f>
        <v>54.447418299972924</v>
      </c>
      <c r="C34">
        <f>[2]ALL!$G34/[2]ALL!$C34*100</f>
        <v>47.348416880087434</v>
      </c>
      <c r="D34">
        <f>[3]ALL!$G34/[3]ALL!$C34*100</f>
        <v>48.160384061060022</v>
      </c>
      <c r="L34" s="1"/>
      <c r="M34" s="1"/>
      <c r="N34" s="1"/>
    </row>
    <row r="35" spans="1:14" x14ac:dyDescent="0.2">
      <c r="A35" s="1">
        <v>2023</v>
      </c>
      <c r="B35">
        <f>[1]ALL!$G35/[1]ALL!$C35*100</f>
        <v>55.238882769059053</v>
      </c>
      <c r="C35">
        <f>[2]ALL!$G35/[2]ALL!$C35*100</f>
        <v>48.138288173297838</v>
      </c>
      <c r="D35">
        <f>[3]ALL!$G35/[3]ALL!$C35*100</f>
        <v>48.572837679551199</v>
      </c>
      <c r="L35" s="1"/>
      <c r="M35" s="1"/>
      <c r="N35" s="1"/>
    </row>
    <row r="36" spans="1:14" x14ac:dyDescent="0.2">
      <c r="A36" s="1">
        <v>2024</v>
      </c>
      <c r="B36">
        <f>[1]ALL!$G36/[1]ALL!$C36*100</f>
        <v>55.527528721135546</v>
      </c>
      <c r="C36">
        <f>[2]ALL!$G36/[2]ALL!$C36*100</f>
        <v>48.260243305624492</v>
      </c>
      <c r="D36">
        <f>[3]ALL!$G36/[3]ALL!$C36*100</f>
        <v>48.628794501061456</v>
      </c>
      <c r="L36" s="1"/>
      <c r="M36" s="1"/>
      <c r="N36" s="1"/>
    </row>
    <row r="37" spans="1:14" x14ac:dyDescent="0.2">
      <c r="A37" s="1">
        <v>2025</v>
      </c>
      <c r="B37">
        <f>[1]ALL!$G37/[1]ALL!$C37*100</f>
        <v>57.815375270219569</v>
      </c>
      <c r="C37">
        <f>[2]ALL!$G37/[2]ALL!$C37*100</f>
        <v>49.492522971593303</v>
      </c>
      <c r="D37">
        <f>[3]ALL!$G37/[3]ALL!$C37*100</f>
        <v>49.52959268167659</v>
      </c>
      <c r="L37" s="1"/>
      <c r="M37" s="1"/>
      <c r="N37" s="1"/>
    </row>
    <row r="38" spans="1:14" x14ac:dyDescent="0.2">
      <c r="A38" s="1" t="s">
        <v>5</v>
      </c>
      <c r="L38" s="1"/>
      <c r="M38" s="1"/>
      <c r="N38" s="1"/>
    </row>
    <row r="39" spans="1:14" x14ac:dyDescent="0.2">
      <c r="A39" s="1" t="s">
        <v>6</v>
      </c>
      <c r="L39" s="1"/>
      <c r="M39" s="1"/>
      <c r="N39" s="1"/>
    </row>
    <row r="40" spans="1:14" x14ac:dyDescent="0.2">
      <c r="A40" s="1" t="s">
        <v>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HasPval</vt:lpstr>
      <vt:lpstr>Has005</vt:lpstr>
      <vt:lpstr>Has001</vt:lpstr>
      <vt:lpstr>Has0005</vt:lpstr>
      <vt:lpstr>Has0005 (2)</vt:lpstr>
      <vt:lpstr>Has0001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최진혁</dc:creator>
  <cp:lastModifiedBy>진혁 최</cp:lastModifiedBy>
  <dcterms:created xsi:type="dcterms:W3CDTF">2015-06-05T18:19:34Z</dcterms:created>
  <dcterms:modified xsi:type="dcterms:W3CDTF">2026-07-19T09:01:21Z</dcterms:modified>
</cp:coreProperties>
</file>