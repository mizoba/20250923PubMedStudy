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3/"/>
    </mc:Choice>
  </mc:AlternateContent>
  <xr:revisionPtr revIDLastSave="0" documentId="13_ncr:1_{A9B6D069-B978-7A43-85E2-74B26A55924F}" xr6:coauthVersionLast="47" xr6:coauthVersionMax="47" xr10:uidLastSave="{00000000-0000-0000-0000-000000000000}"/>
  <bookViews>
    <workbookView xWindow="0" yWindow="760" windowWidth="30240" windowHeight="17740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0" l="1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sharedStrings.xml><?xml version="1.0" encoding="utf-8"?>
<sst xmlns="http://schemas.openxmlformats.org/spreadsheetml/2006/main" count="80" uniqueCount="10">
  <si>
    <t>Year</t>
    <phoneticPr fontId="1" type="noConversion"/>
  </si>
  <si>
    <t>Total article count</t>
    <phoneticPr fontId="1" type="noConversion"/>
  </si>
  <si>
    <t>HasPvalue</t>
    <phoneticPr fontId="1" type="noConversion"/>
  </si>
  <si>
    <t>Pvalue0.05</t>
    <phoneticPr fontId="1" type="noConversion"/>
  </si>
  <si>
    <t>Pvalue0.01</t>
    <phoneticPr fontId="1" type="noConversion"/>
  </si>
  <si>
    <t>Pvalue0.005</t>
    <phoneticPr fontId="1" type="noConversion"/>
  </si>
  <si>
    <t>Pvalue0.001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</si>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</sst>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</row>
    <row r="6" spans="1:7" x14ac:dyDescent="0.2">
      <c r="A6">
        <v>1994</v>
      </c>
      <c r="B6">
        <v>3</v>
      </c>
      <c r="C6">
        <v>2</v>
      </c>
      <c r="D6">
        <v>1</v>
      </c>
      <c r="E6">
        <v>1</v>
      </c>
      <c r="F6">
        <v>1</v>
      </c>
      <c r="G6">
        <v>1</v>
      </c>
    </row>
    <row r="7" spans="1:7" x14ac:dyDescent="0.2">
      <c r="A7">
        <v>1995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2">
      <c r="A8">
        <v>1996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2">
      <c r="A9">
        <v>1997</v>
      </c>
      <c r="B9">
        <v>4</v>
      </c>
      <c r="C9">
        <v>4</v>
      </c>
      <c r="D9">
        <v>4</v>
      </c>
      <c r="E9">
        <v>2</v>
      </c>
      <c r="F9">
        <v>1</v>
      </c>
      <c r="G9">
        <v>1</v>
      </c>
    </row>
    <row r="10" spans="1:7" x14ac:dyDescent="0.2">
      <c r="A10">
        <v>1998</v>
      </c>
      <c r="B10">
        <v>5</v>
      </c>
      <c r="C10">
        <v>4</v>
      </c>
      <c r="D10">
        <v>4</v>
      </c>
      <c r="E10">
        <v>2</v>
      </c>
      <c r="F10">
        <v>2</v>
      </c>
      <c r="G10">
        <v>2</v>
      </c>
    </row>
    <row r="11" spans="1:7" x14ac:dyDescent="0.2">
      <c r="A11">
        <v>1999</v>
      </c>
      <c r="B11">
        <v>6</v>
      </c>
      <c r="C11">
        <v>5</v>
      </c>
      <c r="D11">
        <v>3</v>
      </c>
      <c r="E11">
        <v>3</v>
      </c>
      <c r="F11">
        <v>3</v>
      </c>
      <c r="G11">
        <v>2</v>
      </c>
    </row>
    <row r="12" spans="1:7" x14ac:dyDescent="0.2">
      <c r="A12">
        <v>2000</v>
      </c>
      <c r="B12">
        <v>10</v>
      </c>
      <c r="C12">
        <v>9</v>
      </c>
      <c r="D12">
        <v>9</v>
      </c>
      <c r="E12">
        <v>5</v>
      </c>
      <c r="F12">
        <v>2</v>
      </c>
      <c r="G12">
        <v>1</v>
      </c>
    </row>
    <row r="13" spans="1:7" x14ac:dyDescent="0.2">
      <c r="A13">
        <v>2001</v>
      </c>
      <c r="B13">
        <v>21</v>
      </c>
      <c r="C13">
        <v>15</v>
      </c>
      <c r="D13">
        <v>12</v>
      </c>
      <c r="E13">
        <v>9</v>
      </c>
      <c r="F13">
        <v>9</v>
      </c>
      <c r="G13">
        <v>8</v>
      </c>
    </row>
    <row r="14" spans="1:7" x14ac:dyDescent="0.2">
      <c r="A14">
        <v>2002</v>
      </c>
      <c r="B14">
        <v>65</v>
      </c>
      <c r="C14">
        <v>50</v>
      </c>
      <c r="D14">
        <v>44</v>
      </c>
      <c r="E14">
        <v>33</v>
      </c>
      <c r="F14">
        <v>27</v>
      </c>
      <c r="G14">
        <v>24</v>
      </c>
    </row>
    <row r="15" spans="1:7" x14ac:dyDescent="0.2">
      <c r="A15">
        <v>2003</v>
      </c>
      <c r="B15">
        <v>68</v>
      </c>
      <c r="C15">
        <v>50</v>
      </c>
      <c r="D15">
        <v>49</v>
      </c>
      <c r="E15">
        <v>35</v>
      </c>
      <c r="F15">
        <v>26</v>
      </c>
      <c r="G15">
        <v>21</v>
      </c>
    </row>
    <row r="16" spans="1:7" x14ac:dyDescent="0.2">
      <c r="A16">
        <v>2004</v>
      </c>
      <c r="B16">
        <v>157</v>
      </c>
      <c r="C16">
        <v>129</v>
      </c>
      <c r="D16">
        <v>116</v>
      </c>
      <c r="E16">
        <v>87</v>
      </c>
      <c r="F16">
        <v>68</v>
      </c>
      <c r="G16">
        <v>60</v>
      </c>
    </row>
    <row r="17" spans="1:7" x14ac:dyDescent="0.2">
      <c r="A17">
        <v>2005</v>
      </c>
      <c r="B17">
        <v>190</v>
      </c>
      <c r="C17">
        <v>151</v>
      </c>
      <c r="D17">
        <v>142</v>
      </c>
      <c r="E17">
        <v>110</v>
      </c>
      <c r="F17">
        <v>93</v>
      </c>
      <c r="G17">
        <v>86</v>
      </c>
    </row>
    <row r="18" spans="1:7" x14ac:dyDescent="0.2">
      <c r="A18">
        <v>2006</v>
      </c>
      <c r="B18">
        <v>258</v>
      </c>
      <c r="C18">
        <v>198</v>
      </c>
      <c r="D18">
        <v>185</v>
      </c>
      <c r="E18">
        <v>138</v>
      </c>
      <c r="F18">
        <v>123</v>
      </c>
      <c r="G18">
        <v>115</v>
      </c>
    </row>
    <row r="19" spans="1:7" x14ac:dyDescent="0.2">
      <c r="A19">
        <v>2007</v>
      </c>
      <c r="B19">
        <v>476</v>
      </c>
      <c r="C19">
        <v>354</v>
      </c>
      <c r="D19">
        <v>335</v>
      </c>
      <c r="E19">
        <v>256</v>
      </c>
      <c r="F19">
        <v>205</v>
      </c>
      <c r="G19">
        <v>180</v>
      </c>
    </row>
    <row r="20" spans="1:7" x14ac:dyDescent="0.2">
      <c r="A20">
        <v>2008</v>
      </c>
      <c r="B20">
        <v>756</v>
      </c>
      <c r="C20">
        <v>586</v>
      </c>
      <c r="D20">
        <v>565</v>
      </c>
      <c r="E20">
        <v>444</v>
      </c>
      <c r="F20">
        <v>382</v>
      </c>
      <c r="G20">
        <v>337</v>
      </c>
    </row>
    <row r="21" spans="1:7" x14ac:dyDescent="0.2">
      <c r="A21">
        <v>2009</v>
      </c>
      <c r="B21">
        <v>1076</v>
      </c>
      <c r="C21">
        <v>791</v>
      </c>
      <c r="D21">
        <v>754</v>
      </c>
      <c r="E21">
        <v>578</v>
      </c>
      <c r="F21">
        <v>492</v>
      </c>
      <c r="G21">
        <v>444</v>
      </c>
    </row>
    <row r="22" spans="1:7" x14ac:dyDescent="0.2">
      <c r="A22">
        <v>2010</v>
      </c>
      <c r="B22">
        <v>1462</v>
      </c>
      <c r="C22">
        <v>1058</v>
      </c>
      <c r="D22">
        <v>1012</v>
      </c>
      <c r="E22">
        <v>799</v>
      </c>
      <c r="F22">
        <v>687</v>
      </c>
      <c r="G22">
        <v>598</v>
      </c>
    </row>
    <row r="23" spans="1:7" x14ac:dyDescent="0.2">
      <c r="A23">
        <v>2011</v>
      </c>
      <c r="B23">
        <v>2043</v>
      </c>
      <c r="C23">
        <v>1480</v>
      </c>
      <c r="D23">
        <v>1414</v>
      </c>
      <c r="E23">
        <v>1098</v>
      </c>
      <c r="F23">
        <v>926</v>
      </c>
      <c r="G23">
        <v>815</v>
      </c>
    </row>
    <row r="24" spans="1:7" x14ac:dyDescent="0.2">
      <c r="A24">
        <v>2012</v>
      </c>
      <c r="B24">
        <v>2521</v>
      </c>
      <c r="C24">
        <v>1890</v>
      </c>
      <c r="D24">
        <v>1798</v>
      </c>
      <c r="E24">
        <v>1391</v>
      </c>
      <c r="F24">
        <v>1217</v>
      </c>
      <c r="G24">
        <v>1060</v>
      </c>
    </row>
    <row r="25" spans="1:7" x14ac:dyDescent="0.2">
      <c r="A25">
        <v>2013</v>
      </c>
      <c r="B25">
        <v>3459</v>
      </c>
      <c r="C25">
        <v>2569</v>
      </c>
      <c r="D25">
        <v>2451</v>
      </c>
      <c r="E25">
        <v>1891</v>
      </c>
      <c r="F25">
        <v>1631</v>
      </c>
      <c r="G25">
        <v>1449</v>
      </c>
    </row>
    <row r="26" spans="1:7" x14ac:dyDescent="0.2">
      <c r="A26">
        <v>2014</v>
      </c>
      <c r="B26">
        <v>4252</v>
      </c>
      <c r="C26">
        <v>3157</v>
      </c>
      <c r="D26">
        <v>3016</v>
      </c>
      <c r="E26">
        <v>2332</v>
      </c>
      <c r="F26">
        <v>1997</v>
      </c>
      <c r="G26">
        <v>1754</v>
      </c>
    </row>
    <row r="27" spans="1:7" x14ac:dyDescent="0.2">
      <c r="A27">
        <v>2015</v>
      </c>
      <c r="B27">
        <v>4706</v>
      </c>
      <c r="C27">
        <v>3544</v>
      </c>
      <c r="D27">
        <v>3393</v>
      </c>
      <c r="E27">
        <v>2553</v>
      </c>
      <c r="F27">
        <v>2174</v>
      </c>
      <c r="G27">
        <v>1920</v>
      </c>
    </row>
    <row r="28" spans="1:7" x14ac:dyDescent="0.2">
      <c r="A28">
        <v>2016</v>
      </c>
      <c r="B28">
        <v>5058</v>
      </c>
      <c r="C28">
        <v>3849</v>
      </c>
      <c r="D28">
        <v>3699</v>
      </c>
      <c r="E28">
        <v>2825</v>
      </c>
      <c r="F28">
        <v>2410</v>
      </c>
      <c r="G28">
        <v>2143</v>
      </c>
    </row>
    <row r="29" spans="1:7" x14ac:dyDescent="0.2">
      <c r="A29">
        <v>2017</v>
      </c>
      <c r="B29">
        <v>5499</v>
      </c>
      <c r="C29">
        <v>4199</v>
      </c>
      <c r="D29">
        <v>4002</v>
      </c>
      <c r="E29">
        <v>2996</v>
      </c>
      <c r="F29">
        <v>2583</v>
      </c>
      <c r="G29">
        <v>2285</v>
      </c>
    </row>
    <row r="30" spans="1:7" x14ac:dyDescent="0.2">
      <c r="A30">
        <v>2018</v>
      </c>
      <c r="B30">
        <v>5323</v>
      </c>
      <c r="C30">
        <v>4232</v>
      </c>
      <c r="D30">
        <v>4012</v>
      </c>
      <c r="E30">
        <v>3160</v>
      </c>
      <c r="F30">
        <v>2704</v>
      </c>
      <c r="G30">
        <v>2406</v>
      </c>
    </row>
    <row r="31" spans="1:7" x14ac:dyDescent="0.2">
      <c r="A31">
        <v>2019</v>
      </c>
      <c r="B31">
        <v>5881</v>
      </c>
      <c r="C31">
        <v>4800</v>
      </c>
      <c r="D31">
        <v>4566</v>
      </c>
      <c r="E31">
        <v>3606</v>
      </c>
      <c r="F31">
        <v>3107</v>
      </c>
      <c r="G31">
        <v>2774</v>
      </c>
    </row>
    <row r="32" spans="1:7" x14ac:dyDescent="0.2">
      <c r="A32">
        <v>2020</v>
      </c>
      <c r="B32">
        <v>7067</v>
      </c>
      <c r="C32">
        <v>5783</v>
      </c>
      <c r="D32">
        <v>5526</v>
      </c>
      <c r="E32">
        <v>4324</v>
      </c>
      <c r="F32">
        <v>3753</v>
      </c>
      <c r="G32">
        <v>3309</v>
      </c>
    </row>
    <row r="33" spans="1:7" x14ac:dyDescent="0.2">
      <c r="A33">
        <v>2021</v>
      </c>
      <c r="B33">
        <v>8152</v>
      </c>
      <c r="C33">
        <v>6784</v>
      </c>
      <c r="D33">
        <v>6455</v>
      </c>
      <c r="E33">
        <v>5077</v>
      </c>
      <c r="F33">
        <v>4426</v>
      </c>
      <c r="G33">
        <v>3939</v>
      </c>
    </row>
    <row r="34" spans="1:7" x14ac:dyDescent="0.2">
      <c r="A34">
        <v>2022</v>
      </c>
      <c r="B34">
        <v>9721</v>
      </c>
      <c r="C34">
        <v>8225</v>
      </c>
      <c r="D34">
        <v>7866</v>
      </c>
      <c r="E34">
        <v>5999</v>
      </c>
      <c r="F34">
        <v>5246</v>
      </c>
      <c r="G34">
        <v>4692</v>
      </c>
    </row>
    <row r="35" spans="1:7" x14ac:dyDescent="0.2">
      <c r="A35">
        <v>2023</v>
      </c>
      <c r="B35">
        <v>8052</v>
      </c>
      <c r="C35">
        <v>6845</v>
      </c>
      <c r="D35">
        <v>6559</v>
      </c>
      <c r="E35">
        <v>5150</v>
      </c>
      <c r="F35">
        <v>4542</v>
      </c>
      <c r="G35">
        <v>4029</v>
      </c>
    </row>
    <row r="36" spans="1:7" x14ac:dyDescent="0.2">
      <c r="A36">
        <v>2024</v>
      </c>
      <c r="B36">
        <v>8653</v>
      </c>
      <c r="C36">
        <v>7493</v>
      </c>
      <c r="D36">
        <v>7174</v>
      </c>
      <c r="E36">
        <v>5718</v>
      </c>
      <c r="F36">
        <v>5026</v>
      </c>
      <c r="G36">
        <v>4507</v>
      </c>
    </row>
    <row r="37" spans="1:7" x14ac:dyDescent="0.2">
      <c r="A37">
        <v>2025</v>
      </c>
      <c r="B37">
        <v>7148</v>
      </c>
      <c r="C37">
        <v>6234</v>
      </c>
      <c r="D37">
        <v>5989</v>
      </c>
      <c r="E37">
        <v>4811</v>
      </c>
      <c r="F37">
        <v>4272</v>
      </c>
      <c r="G37">
        <v>3846</v>
      </c>
    </row>
    <row r="38" spans="1:7" x14ac:dyDescent="0.2">
      <c r="A38" t="s">
        <v>7</v>
      </c>
      <c r="B38">
        <f t="shared" ref="B38:G38" si="0">SUM(B2:B37)</f>
        <v>92098</v>
      </c>
      <c r="C38">
        <f t="shared" si="0"/>
        <v>74493</v>
      </c>
      <c r="D38">
        <f t="shared" si="0"/>
        <v>71158</v>
      </c>
      <c r="E38">
        <f t="shared" si="0"/>
        <v>55436</v>
      </c>
      <c r="F38">
        <f t="shared" si="0"/>
        <v>48137</v>
      </c>
      <c r="G38">
        <f t="shared" si="0"/>
        <v>42810</v>
      </c>
    </row>
    <row r="39" spans="1:7" x14ac:dyDescent="0.2">
      <c r="A39" t="s">
        <v>8</v>
      </c>
      <c r="B39">
        <f>MAX(B2:B37)</f>
        <v>9721</v>
      </c>
      <c r="C39">
        <f t="shared" ref="C39:G39" si="1">MAX(C2:C37)</f>
        <v>8225</v>
      </c>
      <c r="D39">
        <f t="shared" si="1"/>
        <v>7866</v>
      </c>
      <c r="E39">
        <f t="shared" si="1"/>
        <v>5999</v>
      </c>
      <c r="F39">
        <f t="shared" si="1"/>
        <v>5246</v>
      </c>
      <c r="G39">
        <f t="shared" si="1"/>
        <v>4692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2</v>
      </c>
      <c r="C7">
        <v>2</v>
      </c>
      <c r="D7">
        <v>1</v>
      </c>
      <c r="E7">
        <v>1</v>
      </c>
      <c r="F7">
        <v>0</v>
      </c>
      <c r="G7">
        <v>0</v>
      </c>
    </row>
    <row r="8" spans="1:7" x14ac:dyDescent="0.2">
      <c r="A8">
        <v>1996</v>
      </c>
      <c r="B8">
        <v>2</v>
      </c>
      <c r="C8">
        <v>2</v>
      </c>
      <c r="D8">
        <v>2</v>
      </c>
      <c r="E8">
        <v>2</v>
      </c>
      <c r="F8">
        <v>1</v>
      </c>
      <c r="G8">
        <v>1</v>
      </c>
    </row>
    <row r="9" spans="1:7" x14ac:dyDescent="0.2">
      <c r="A9">
        <v>1997</v>
      </c>
      <c r="B9">
        <v>14</v>
      </c>
      <c r="C9">
        <v>5</v>
      </c>
      <c r="D9">
        <v>5</v>
      </c>
      <c r="E9">
        <v>4</v>
      </c>
      <c r="F9">
        <v>1</v>
      </c>
      <c r="G9">
        <v>0</v>
      </c>
    </row>
    <row r="10" spans="1:7" x14ac:dyDescent="0.2">
      <c r="A10">
        <v>1998</v>
      </c>
      <c r="B10">
        <v>20</v>
      </c>
      <c r="C10">
        <v>6</v>
      </c>
      <c r="D10">
        <v>6</v>
      </c>
      <c r="E10">
        <v>4</v>
      </c>
      <c r="F10">
        <v>2</v>
      </c>
      <c r="G10">
        <v>2</v>
      </c>
    </row>
    <row r="11" spans="1:7" x14ac:dyDescent="0.2">
      <c r="A11">
        <v>1999</v>
      </c>
      <c r="B11">
        <v>10</v>
      </c>
      <c r="C11">
        <v>5</v>
      </c>
      <c r="D11">
        <v>5</v>
      </c>
      <c r="E11">
        <v>5</v>
      </c>
      <c r="F11">
        <v>3</v>
      </c>
      <c r="G11">
        <v>2</v>
      </c>
    </row>
    <row r="12" spans="1:7" x14ac:dyDescent="0.2">
      <c r="A12">
        <v>2000</v>
      </c>
      <c r="B12">
        <v>24</v>
      </c>
      <c r="C12">
        <v>16</v>
      </c>
      <c r="D12">
        <v>16</v>
      </c>
      <c r="E12">
        <v>8</v>
      </c>
      <c r="F12">
        <v>6</v>
      </c>
      <c r="G12">
        <v>4</v>
      </c>
    </row>
    <row r="13" spans="1:7" x14ac:dyDescent="0.2">
      <c r="A13">
        <v>2001</v>
      </c>
      <c r="B13">
        <v>24</v>
      </c>
      <c r="C13">
        <v>22</v>
      </c>
      <c r="D13">
        <v>22</v>
      </c>
      <c r="E13">
        <v>14</v>
      </c>
      <c r="F13">
        <v>7</v>
      </c>
      <c r="G13">
        <v>6</v>
      </c>
    </row>
    <row r="14" spans="1:7" x14ac:dyDescent="0.2">
      <c r="A14">
        <v>2002</v>
      </c>
      <c r="B14">
        <v>81</v>
      </c>
      <c r="C14">
        <v>48</v>
      </c>
      <c r="D14">
        <v>43</v>
      </c>
      <c r="E14">
        <v>35</v>
      </c>
      <c r="F14">
        <v>27</v>
      </c>
      <c r="G14">
        <v>23</v>
      </c>
    </row>
    <row r="15" spans="1:7" x14ac:dyDescent="0.2">
      <c r="A15">
        <v>2003</v>
      </c>
      <c r="B15">
        <v>103</v>
      </c>
      <c r="C15">
        <v>59</v>
      </c>
      <c r="D15">
        <v>56</v>
      </c>
      <c r="E15">
        <v>43</v>
      </c>
      <c r="F15">
        <v>35</v>
      </c>
      <c r="G15">
        <v>31</v>
      </c>
    </row>
    <row r="16" spans="1:7" x14ac:dyDescent="0.2">
      <c r="A16">
        <v>2004</v>
      </c>
      <c r="B16">
        <v>196</v>
      </c>
      <c r="C16">
        <v>121</v>
      </c>
      <c r="D16">
        <v>115</v>
      </c>
      <c r="E16">
        <v>90</v>
      </c>
      <c r="F16">
        <v>81</v>
      </c>
      <c r="G16">
        <v>67</v>
      </c>
    </row>
    <row r="17" spans="1:7" x14ac:dyDescent="0.2">
      <c r="A17">
        <v>2005</v>
      </c>
      <c r="B17">
        <v>175</v>
      </c>
      <c r="C17">
        <v>121</v>
      </c>
      <c r="D17">
        <v>117</v>
      </c>
      <c r="E17">
        <v>84</v>
      </c>
      <c r="F17">
        <v>66</v>
      </c>
      <c r="G17">
        <v>51</v>
      </c>
    </row>
    <row r="18" spans="1:7" x14ac:dyDescent="0.2">
      <c r="A18">
        <v>2006</v>
      </c>
      <c r="B18">
        <v>123</v>
      </c>
      <c r="C18">
        <v>90</v>
      </c>
      <c r="D18">
        <v>87</v>
      </c>
      <c r="E18">
        <v>65</v>
      </c>
      <c r="F18">
        <v>55</v>
      </c>
      <c r="G18">
        <v>47</v>
      </c>
    </row>
    <row r="19" spans="1:7" x14ac:dyDescent="0.2">
      <c r="A19">
        <v>2007</v>
      </c>
      <c r="B19">
        <v>145</v>
      </c>
      <c r="C19">
        <v>110</v>
      </c>
      <c r="D19">
        <v>105</v>
      </c>
      <c r="E19">
        <v>76</v>
      </c>
      <c r="F19">
        <v>67</v>
      </c>
      <c r="G19">
        <v>65</v>
      </c>
    </row>
    <row r="20" spans="1:7" x14ac:dyDescent="0.2">
      <c r="A20">
        <v>2008</v>
      </c>
      <c r="B20">
        <v>181</v>
      </c>
      <c r="C20">
        <v>145</v>
      </c>
      <c r="D20">
        <v>137</v>
      </c>
      <c r="E20">
        <v>116</v>
      </c>
      <c r="F20">
        <v>97</v>
      </c>
      <c r="G20">
        <v>90</v>
      </c>
    </row>
    <row r="21" spans="1:7" x14ac:dyDescent="0.2">
      <c r="A21">
        <v>2009</v>
      </c>
      <c r="B21">
        <v>217</v>
      </c>
      <c r="C21">
        <v>176</v>
      </c>
      <c r="D21">
        <v>174</v>
      </c>
      <c r="E21">
        <v>135</v>
      </c>
      <c r="F21">
        <v>119</v>
      </c>
      <c r="G21">
        <v>99</v>
      </c>
    </row>
    <row r="22" spans="1:7" x14ac:dyDescent="0.2">
      <c r="A22">
        <v>2010</v>
      </c>
      <c r="B22">
        <v>362</v>
      </c>
      <c r="C22">
        <v>285</v>
      </c>
      <c r="D22">
        <v>275</v>
      </c>
      <c r="E22">
        <v>219</v>
      </c>
      <c r="F22">
        <v>185</v>
      </c>
      <c r="G22">
        <v>166</v>
      </c>
    </row>
    <row r="23" spans="1:7" x14ac:dyDescent="0.2">
      <c r="A23">
        <v>2011</v>
      </c>
      <c r="B23">
        <v>508</v>
      </c>
      <c r="C23">
        <v>409</v>
      </c>
      <c r="D23">
        <v>397</v>
      </c>
      <c r="E23">
        <v>342</v>
      </c>
      <c r="F23">
        <v>298</v>
      </c>
      <c r="G23">
        <v>274</v>
      </c>
    </row>
    <row r="24" spans="1:7" x14ac:dyDescent="0.2">
      <c r="A24">
        <v>2012</v>
      </c>
      <c r="B24">
        <v>867</v>
      </c>
      <c r="C24">
        <v>722</v>
      </c>
      <c r="D24">
        <v>704</v>
      </c>
      <c r="E24">
        <v>588</v>
      </c>
      <c r="F24">
        <v>505</v>
      </c>
      <c r="G24">
        <v>444</v>
      </c>
    </row>
    <row r="25" spans="1:7" x14ac:dyDescent="0.2">
      <c r="A25">
        <v>2013</v>
      </c>
      <c r="B25">
        <v>1306</v>
      </c>
      <c r="C25">
        <v>1083</v>
      </c>
      <c r="D25">
        <v>1050</v>
      </c>
      <c r="E25">
        <v>845</v>
      </c>
      <c r="F25">
        <v>717</v>
      </c>
      <c r="G25">
        <v>650</v>
      </c>
    </row>
    <row r="26" spans="1:7" x14ac:dyDescent="0.2">
      <c r="A26">
        <v>2014</v>
      </c>
      <c r="B26">
        <v>1459</v>
      </c>
      <c r="C26">
        <v>1201</v>
      </c>
      <c r="D26">
        <v>1153</v>
      </c>
      <c r="E26">
        <v>899</v>
      </c>
      <c r="F26">
        <v>780</v>
      </c>
      <c r="G26">
        <v>699</v>
      </c>
    </row>
    <row r="27" spans="1:7" x14ac:dyDescent="0.2">
      <c r="A27">
        <v>2015</v>
      </c>
      <c r="B27">
        <v>1465</v>
      </c>
      <c r="C27">
        <v>1219</v>
      </c>
      <c r="D27">
        <v>1178</v>
      </c>
      <c r="E27">
        <v>976</v>
      </c>
      <c r="F27">
        <v>858</v>
      </c>
      <c r="G27">
        <v>770</v>
      </c>
    </row>
    <row r="28" spans="1:7" x14ac:dyDescent="0.2">
      <c r="A28">
        <v>2016</v>
      </c>
      <c r="B28">
        <v>1482</v>
      </c>
      <c r="C28">
        <v>1256</v>
      </c>
      <c r="D28">
        <v>1227</v>
      </c>
      <c r="E28">
        <v>1020</v>
      </c>
      <c r="F28">
        <v>880</v>
      </c>
      <c r="G28">
        <v>788</v>
      </c>
    </row>
    <row r="29" spans="1:7" x14ac:dyDescent="0.2">
      <c r="A29">
        <v>2017</v>
      </c>
      <c r="B29">
        <v>1346</v>
      </c>
      <c r="C29">
        <v>1148</v>
      </c>
      <c r="D29">
        <v>1113</v>
      </c>
      <c r="E29">
        <v>904</v>
      </c>
      <c r="F29">
        <v>776</v>
      </c>
      <c r="G29">
        <v>690</v>
      </c>
    </row>
    <row r="30" spans="1:7" x14ac:dyDescent="0.2">
      <c r="A30">
        <v>2018</v>
      </c>
      <c r="B30">
        <v>1827</v>
      </c>
      <c r="C30">
        <v>1508</v>
      </c>
      <c r="D30">
        <v>1463</v>
      </c>
      <c r="E30">
        <v>1191</v>
      </c>
      <c r="F30">
        <v>1056</v>
      </c>
      <c r="G30">
        <v>954</v>
      </c>
    </row>
    <row r="31" spans="1:7" x14ac:dyDescent="0.2">
      <c r="A31">
        <v>2019</v>
      </c>
      <c r="B31">
        <v>2145</v>
      </c>
      <c r="C31">
        <v>1741</v>
      </c>
      <c r="D31">
        <v>1702</v>
      </c>
      <c r="E31">
        <v>1371</v>
      </c>
      <c r="F31">
        <v>1194</v>
      </c>
      <c r="G31">
        <v>1065</v>
      </c>
    </row>
    <row r="32" spans="1:7" x14ac:dyDescent="0.2">
      <c r="A32">
        <v>2020</v>
      </c>
      <c r="B32">
        <v>1930</v>
      </c>
      <c r="C32">
        <v>1565</v>
      </c>
      <c r="D32">
        <v>1532</v>
      </c>
      <c r="E32">
        <v>1243</v>
      </c>
      <c r="F32">
        <v>1091</v>
      </c>
      <c r="G32">
        <v>988</v>
      </c>
    </row>
    <row r="33" spans="1:7" x14ac:dyDescent="0.2">
      <c r="A33">
        <v>2021</v>
      </c>
      <c r="B33">
        <v>2316</v>
      </c>
      <c r="C33">
        <v>1887</v>
      </c>
      <c r="D33">
        <v>1830</v>
      </c>
      <c r="E33">
        <v>1464</v>
      </c>
      <c r="F33">
        <v>1300</v>
      </c>
      <c r="G33">
        <v>1185</v>
      </c>
    </row>
    <row r="34" spans="1:7" x14ac:dyDescent="0.2">
      <c r="A34">
        <v>2022</v>
      </c>
      <c r="B34">
        <v>1433</v>
      </c>
      <c r="C34">
        <v>1141</v>
      </c>
      <c r="D34">
        <v>1113</v>
      </c>
      <c r="E34">
        <v>919</v>
      </c>
      <c r="F34">
        <v>820</v>
      </c>
      <c r="G34">
        <v>738</v>
      </c>
    </row>
    <row r="35" spans="1:7" x14ac:dyDescent="0.2">
      <c r="A35">
        <v>2023</v>
      </c>
      <c r="B35">
        <v>1068</v>
      </c>
      <c r="C35">
        <v>830</v>
      </c>
      <c r="D35">
        <v>813</v>
      </c>
      <c r="E35">
        <v>644</v>
      </c>
      <c r="F35">
        <v>574</v>
      </c>
      <c r="G35">
        <v>519</v>
      </c>
    </row>
    <row r="36" spans="1:7" x14ac:dyDescent="0.2">
      <c r="A36">
        <v>2024</v>
      </c>
      <c r="B36">
        <v>902</v>
      </c>
      <c r="C36">
        <v>711</v>
      </c>
      <c r="D36">
        <v>695</v>
      </c>
      <c r="E36">
        <v>543</v>
      </c>
      <c r="F36">
        <v>480</v>
      </c>
      <c r="G36">
        <v>430</v>
      </c>
    </row>
    <row r="37" spans="1:7" x14ac:dyDescent="0.2">
      <c r="A37">
        <v>2025</v>
      </c>
      <c r="B37">
        <v>642</v>
      </c>
      <c r="C37">
        <v>531</v>
      </c>
      <c r="D37">
        <v>515</v>
      </c>
      <c r="E37">
        <v>426</v>
      </c>
      <c r="F37">
        <v>375</v>
      </c>
      <c r="G37">
        <v>344</v>
      </c>
    </row>
    <row r="38" spans="1:7" x14ac:dyDescent="0.2">
      <c r="A38" t="s">
        <v>7</v>
      </c>
      <c r="B38">
        <f t="shared" ref="B38:G38" si="0">SUM(B2:B37)</f>
        <v>22376</v>
      </c>
      <c r="C38">
        <f t="shared" si="0"/>
        <v>18166</v>
      </c>
      <c r="D38">
        <f t="shared" si="0"/>
        <v>17652</v>
      </c>
      <c r="E38">
        <f t="shared" si="0"/>
        <v>14276</v>
      </c>
      <c r="F38">
        <f t="shared" si="0"/>
        <v>12456</v>
      </c>
      <c r="G38">
        <f t="shared" si="0"/>
        <v>11192</v>
      </c>
    </row>
    <row r="39" spans="1:7" x14ac:dyDescent="0.2">
      <c r="A39" t="s">
        <v>8</v>
      </c>
      <c r="B39">
        <f>MAX(B2:B37)</f>
        <v>2316</v>
      </c>
      <c r="C39">
        <f t="shared" ref="C39:G39" si="1">MAX(C2:C37)</f>
        <v>1887</v>
      </c>
      <c r="D39">
        <f t="shared" si="1"/>
        <v>1830</v>
      </c>
      <c r="E39">
        <f t="shared" si="1"/>
        <v>1464</v>
      </c>
      <c r="F39">
        <f t="shared" si="1"/>
        <v>1300</v>
      </c>
      <c r="G39">
        <f t="shared" si="1"/>
        <v>1185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6</v>
      </c>
      <c r="C13">
        <v>3</v>
      </c>
      <c r="D13">
        <v>3</v>
      </c>
      <c r="E13">
        <v>3</v>
      </c>
      <c r="F13">
        <v>3</v>
      </c>
      <c r="G13">
        <v>3</v>
      </c>
    </row>
    <row r="14" spans="1:7" x14ac:dyDescent="0.2">
      <c r="A14">
        <v>2002</v>
      </c>
      <c r="B14">
        <v>9</v>
      </c>
      <c r="C14">
        <v>7</v>
      </c>
      <c r="D14">
        <v>7</v>
      </c>
      <c r="E14">
        <v>6</v>
      </c>
      <c r="F14">
        <v>6</v>
      </c>
      <c r="G14">
        <v>6</v>
      </c>
    </row>
    <row r="15" spans="1:7" x14ac:dyDescent="0.2">
      <c r="A15">
        <v>2003</v>
      </c>
      <c r="B15">
        <v>15</v>
      </c>
      <c r="C15">
        <v>11</v>
      </c>
      <c r="D15">
        <v>11</v>
      </c>
      <c r="E15">
        <v>9</v>
      </c>
      <c r="F15">
        <v>8</v>
      </c>
      <c r="G15">
        <v>6</v>
      </c>
    </row>
    <row r="16" spans="1:7" x14ac:dyDescent="0.2">
      <c r="A16">
        <v>2004</v>
      </c>
      <c r="B16">
        <v>29</v>
      </c>
      <c r="C16">
        <v>24</v>
      </c>
      <c r="D16">
        <v>22</v>
      </c>
      <c r="E16">
        <v>19</v>
      </c>
      <c r="F16">
        <v>16</v>
      </c>
      <c r="G16">
        <v>11</v>
      </c>
    </row>
    <row r="17" spans="1:7" x14ac:dyDescent="0.2">
      <c r="A17">
        <v>2005</v>
      </c>
      <c r="B17">
        <v>47</v>
      </c>
      <c r="C17">
        <v>37</v>
      </c>
      <c r="D17">
        <v>33</v>
      </c>
      <c r="E17">
        <v>29</v>
      </c>
      <c r="F17">
        <v>26</v>
      </c>
      <c r="G17">
        <v>25</v>
      </c>
    </row>
    <row r="18" spans="1:7" x14ac:dyDescent="0.2">
      <c r="A18">
        <v>2006</v>
      </c>
      <c r="B18">
        <v>63</v>
      </c>
      <c r="C18">
        <v>44</v>
      </c>
      <c r="D18">
        <v>39</v>
      </c>
      <c r="E18">
        <v>34</v>
      </c>
      <c r="F18">
        <v>31</v>
      </c>
      <c r="G18">
        <v>27</v>
      </c>
    </row>
    <row r="19" spans="1:7" x14ac:dyDescent="0.2">
      <c r="A19">
        <v>2007</v>
      </c>
      <c r="B19">
        <v>91</v>
      </c>
      <c r="C19">
        <v>53</v>
      </c>
      <c r="D19">
        <v>52</v>
      </c>
      <c r="E19">
        <v>43</v>
      </c>
      <c r="F19">
        <v>41</v>
      </c>
      <c r="G19">
        <v>38</v>
      </c>
    </row>
    <row r="20" spans="1:7" x14ac:dyDescent="0.2">
      <c r="A20">
        <v>2008</v>
      </c>
      <c r="B20">
        <v>144</v>
      </c>
      <c r="C20">
        <v>113</v>
      </c>
      <c r="D20">
        <v>106</v>
      </c>
      <c r="E20">
        <v>79</v>
      </c>
      <c r="F20">
        <v>68</v>
      </c>
      <c r="G20">
        <v>59</v>
      </c>
    </row>
    <row r="21" spans="1:7" x14ac:dyDescent="0.2">
      <c r="A21">
        <v>2009</v>
      </c>
      <c r="B21">
        <v>211</v>
      </c>
      <c r="C21">
        <v>170</v>
      </c>
      <c r="D21">
        <v>156</v>
      </c>
      <c r="E21">
        <v>129</v>
      </c>
      <c r="F21">
        <v>114</v>
      </c>
      <c r="G21">
        <v>103</v>
      </c>
    </row>
    <row r="22" spans="1:7" x14ac:dyDescent="0.2">
      <c r="A22">
        <v>2010</v>
      </c>
      <c r="B22">
        <v>323</v>
      </c>
      <c r="C22">
        <v>247</v>
      </c>
      <c r="D22">
        <v>216</v>
      </c>
      <c r="E22">
        <v>182</v>
      </c>
      <c r="F22">
        <v>155</v>
      </c>
      <c r="G22">
        <v>136</v>
      </c>
    </row>
    <row r="23" spans="1:7" x14ac:dyDescent="0.2">
      <c r="A23">
        <v>2011</v>
      </c>
      <c r="B23">
        <v>520</v>
      </c>
      <c r="C23">
        <v>421</v>
      </c>
      <c r="D23">
        <v>383</v>
      </c>
      <c r="E23">
        <v>327</v>
      </c>
      <c r="F23">
        <v>276</v>
      </c>
      <c r="G23">
        <v>246</v>
      </c>
    </row>
    <row r="24" spans="1:7" x14ac:dyDescent="0.2">
      <c r="A24">
        <v>2012</v>
      </c>
      <c r="B24">
        <v>831</v>
      </c>
      <c r="C24">
        <v>691</v>
      </c>
      <c r="D24">
        <v>648</v>
      </c>
      <c r="E24">
        <v>524</v>
      </c>
      <c r="F24">
        <v>451</v>
      </c>
      <c r="G24">
        <v>394</v>
      </c>
    </row>
    <row r="25" spans="1:7" x14ac:dyDescent="0.2">
      <c r="A25">
        <v>2013</v>
      </c>
      <c r="B25">
        <v>1407</v>
      </c>
      <c r="C25">
        <v>1193</v>
      </c>
      <c r="D25">
        <v>1103</v>
      </c>
      <c r="E25">
        <v>838</v>
      </c>
      <c r="F25">
        <v>744</v>
      </c>
      <c r="G25">
        <v>645</v>
      </c>
    </row>
    <row r="26" spans="1:7" x14ac:dyDescent="0.2">
      <c r="A26">
        <v>2014</v>
      </c>
      <c r="B26">
        <v>1853</v>
      </c>
      <c r="C26">
        <v>1612</v>
      </c>
      <c r="D26">
        <v>1516</v>
      </c>
      <c r="E26">
        <v>1192</v>
      </c>
      <c r="F26">
        <v>1053</v>
      </c>
      <c r="G26">
        <v>927</v>
      </c>
    </row>
    <row r="27" spans="1:7" x14ac:dyDescent="0.2">
      <c r="A27">
        <v>2015</v>
      </c>
      <c r="B27">
        <v>2396</v>
      </c>
      <c r="C27">
        <v>2060</v>
      </c>
      <c r="D27">
        <v>1940</v>
      </c>
      <c r="E27">
        <v>1567</v>
      </c>
      <c r="F27">
        <v>1371</v>
      </c>
      <c r="G27">
        <v>1218</v>
      </c>
    </row>
    <row r="28" spans="1:7" x14ac:dyDescent="0.2">
      <c r="A28">
        <v>2016</v>
      </c>
      <c r="B28">
        <v>2857</v>
      </c>
      <c r="C28">
        <v>2494</v>
      </c>
      <c r="D28">
        <v>2323</v>
      </c>
      <c r="E28">
        <v>1884</v>
      </c>
      <c r="F28">
        <v>1663</v>
      </c>
      <c r="G28">
        <v>1493</v>
      </c>
    </row>
    <row r="29" spans="1:7" x14ac:dyDescent="0.2">
      <c r="A29">
        <v>2017</v>
      </c>
      <c r="B29">
        <v>2984</v>
      </c>
      <c r="C29">
        <v>2637</v>
      </c>
      <c r="D29">
        <v>2462</v>
      </c>
      <c r="E29">
        <v>1987</v>
      </c>
      <c r="F29">
        <v>1790</v>
      </c>
      <c r="G29">
        <v>1580</v>
      </c>
    </row>
    <row r="30" spans="1:7" x14ac:dyDescent="0.2">
      <c r="A30">
        <v>2018</v>
      </c>
      <c r="B30">
        <v>2934</v>
      </c>
      <c r="C30">
        <v>2570</v>
      </c>
      <c r="D30">
        <v>2390</v>
      </c>
      <c r="E30">
        <v>1903</v>
      </c>
      <c r="F30">
        <v>1672</v>
      </c>
      <c r="G30">
        <v>1506</v>
      </c>
    </row>
    <row r="31" spans="1:7" x14ac:dyDescent="0.2">
      <c r="A31">
        <v>2019</v>
      </c>
      <c r="B31">
        <v>3714</v>
      </c>
      <c r="C31">
        <v>3196</v>
      </c>
      <c r="D31">
        <v>2967</v>
      </c>
      <c r="E31">
        <v>2403</v>
      </c>
      <c r="F31">
        <v>2128</v>
      </c>
      <c r="G31">
        <v>1936</v>
      </c>
    </row>
    <row r="32" spans="1:7" x14ac:dyDescent="0.2">
      <c r="A32">
        <v>2020</v>
      </c>
      <c r="B32">
        <v>4716</v>
      </c>
      <c r="C32">
        <v>4069</v>
      </c>
      <c r="D32">
        <v>3809</v>
      </c>
      <c r="E32">
        <v>3086</v>
      </c>
      <c r="F32">
        <v>2713</v>
      </c>
      <c r="G32">
        <v>2466</v>
      </c>
    </row>
    <row r="33" spans="1:7" x14ac:dyDescent="0.2">
      <c r="A33">
        <v>2021</v>
      </c>
      <c r="B33">
        <v>5738</v>
      </c>
      <c r="C33">
        <v>4834</v>
      </c>
      <c r="D33">
        <v>4511</v>
      </c>
      <c r="E33">
        <v>3714</v>
      </c>
      <c r="F33">
        <v>3230</v>
      </c>
      <c r="G33">
        <v>2970</v>
      </c>
    </row>
    <row r="34" spans="1:7" x14ac:dyDescent="0.2">
      <c r="A34">
        <v>2022</v>
      </c>
      <c r="B34">
        <v>6757</v>
      </c>
      <c r="C34">
        <v>5832</v>
      </c>
      <c r="D34">
        <v>5454</v>
      </c>
      <c r="E34">
        <v>4527</v>
      </c>
      <c r="F34">
        <v>3955</v>
      </c>
      <c r="G34">
        <v>3636</v>
      </c>
    </row>
    <row r="35" spans="1:7" x14ac:dyDescent="0.2">
      <c r="A35">
        <v>2023</v>
      </c>
      <c r="B35">
        <v>6623</v>
      </c>
      <c r="C35">
        <v>5749</v>
      </c>
      <c r="D35">
        <v>5417</v>
      </c>
      <c r="E35">
        <v>4464</v>
      </c>
      <c r="F35">
        <v>3860</v>
      </c>
      <c r="G35">
        <v>3556</v>
      </c>
    </row>
    <row r="36" spans="1:7" x14ac:dyDescent="0.2">
      <c r="A36">
        <v>2024</v>
      </c>
      <c r="B36">
        <v>6825</v>
      </c>
      <c r="C36">
        <v>6034</v>
      </c>
      <c r="D36">
        <v>5686</v>
      </c>
      <c r="E36">
        <v>4793</v>
      </c>
      <c r="F36">
        <v>4156</v>
      </c>
      <c r="G36">
        <v>3846</v>
      </c>
    </row>
    <row r="37" spans="1:7" x14ac:dyDescent="0.2">
      <c r="A37">
        <v>2025</v>
      </c>
      <c r="B37">
        <v>5165</v>
      </c>
      <c r="C37">
        <v>4588</v>
      </c>
      <c r="D37">
        <v>4313</v>
      </c>
      <c r="E37">
        <v>3653</v>
      </c>
      <c r="F37">
        <v>3165</v>
      </c>
      <c r="G37">
        <v>2965</v>
      </c>
    </row>
    <row r="38" spans="1:7" x14ac:dyDescent="0.2">
      <c r="A38" t="s">
        <v>7</v>
      </c>
      <c r="B38">
        <f t="shared" ref="B38:G38" si="0">SUM(B2:B37)</f>
        <v>56261</v>
      </c>
      <c r="C38">
        <f t="shared" si="0"/>
        <v>48690</v>
      </c>
      <c r="D38">
        <f t="shared" si="0"/>
        <v>45568</v>
      </c>
      <c r="E38">
        <f t="shared" si="0"/>
        <v>37395</v>
      </c>
      <c r="F38">
        <f t="shared" si="0"/>
        <v>32695</v>
      </c>
      <c r="G38">
        <f t="shared" si="0"/>
        <v>29798</v>
      </c>
    </row>
    <row r="39" spans="1:7" x14ac:dyDescent="0.2">
      <c r="A39" t="s">
        <v>8</v>
      </c>
      <c r="B39">
        <f>MAX(B2:B37)</f>
        <v>6825</v>
      </c>
      <c r="C39">
        <f t="shared" ref="C39:G39" si="1">MAX(C2:C37)</f>
        <v>6034</v>
      </c>
      <c r="D39">
        <f t="shared" si="1"/>
        <v>5686</v>
      </c>
      <c r="E39">
        <f t="shared" si="1"/>
        <v>4793</v>
      </c>
      <c r="F39">
        <f t="shared" si="1"/>
        <v>4156</v>
      </c>
      <c r="G39">
        <f t="shared" si="1"/>
        <v>3846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20</v>
      </c>
      <c r="C6">
        <v>3</v>
      </c>
      <c r="D6">
        <v>2</v>
      </c>
      <c r="E6">
        <v>2</v>
      </c>
      <c r="F6">
        <v>2</v>
      </c>
      <c r="G6">
        <v>2</v>
      </c>
    </row>
    <row r="7" spans="1:7" x14ac:dyDescent="0.2">
      <c r="A7">
        <v>1995</v>
      </c>
      <c r="B7">
        <v>10</v>
      </c>
      <c r="C7">
        <v>2</v>
      </c>
      <c r="D7">
        <v>2</v>
      </c>
      <c r="E7">
        <v>1</v>
      </c>
      <c r="F7">
        <v>1</v>
      </c>
      <c r="G7">
        <v>0</v>
      </c>
    </row>
    <row r="8" spans="1:7" x14ac:dyDescent="0.2">
      <c r="A8">
        <v>1996</v>
      </c>
      <c r="B8">
        <v>14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2">
      <c r="A9">
        <v>1997</v>
      </c>
      <c r="B9">
        <v>89</v>
      </c>
      <c r="C9">
        <v>1</v>
      </c>
      <c r="D9">
        <v>1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96</v>
      </c>
      <c r="C10">
        <v>2</v>
      </c>
      <c r="D10">
        <v>1</v>
      </c>
      <c r="E10">
        <v>1</v>
      </c>
      <c r="F10">
        <v>0</v>
      </c>
      <c r="G10">
        <v>0</v>
      </c>
    </row>
    <row r="11" spans="1:7" x14ac:dyDescent="0.2">
      <c r="A11">
        <v>1999</v>
      </c>
      <c r="B11">
        <v>118</v>
      </c>
      <c r="C11">
        <v>2</v>
      </c>
      <c r="D11">
        <v>2</v>
      </c>
      <c r="E11">
        <v>1</v>
      </c>
      <c r="F11">
        <v>1</v>
      </c>
      <c r="G11">
        <v>1</v>
      </c>
    </row>
    <row r="12" spans="1:7" x14ac:dyDescent="0.2">
      <c r="A12">
        <v>2000</v>
      </c>
      <c r="B12">
        <v>322</v>
      </c>
      <c r="C12">
        <v>24</v>
      </c>
      <c r="D12">
        <v>24</v>
      </c>
      <c r="E12">
        <v>19</v>
      </c>
      <c r="F12">
        <v>16</v>
      </c>
      <c r="G12">
        <v>15</v>
      </c>
    </row>
    <row r="13" spans="1:7" x14ac:dyDescent="0.2">
      <c r="A13">
        <v>2001</v>
      </c>
      <c r="B13">
        <v>303</v>
      </c>
      <c r="C13">
        <v>19</v>
      </c>
      <c r="D13">
        <v>19</v>
      </c>
      <c r="E13">
        <v>14</v>
      </c>
      <c r="F13">
        <v>12</v>
      </c>
      <c r="G13">
        <v>11</v>
      </c>
    </row>
    <row r="14" spans="1:7" x14ac:dyDescent="0.2">
      <c r="A14">
        <v>2002</v>
      </c>
      <c r="B14">
        <v>390</v>
      </c>
      <c r="C14">
        <v>49</v>
      </c>
      <c r="D14">
        <v>48</v>
      </c>
      <c r="E14">
        <v>35</v>
      </c>
      <c r="F14">
        <v>31</v>
      </c>
      <c r="G14">
        <v>29</v>
      </c>
    </row>
    <row r="15" spans="1:7" x14ac:dyDescent="0.2">
      <c r="A15">
        <v>2003</v>
      </c>
      <c r="B15">
        <v>498</v>
      </c>
      <c r="C15">
        <v>57</v>
      </c>
      <c r="D15">
        <v>55</v>
      </c>
      <c r="E15">
        <v>39</v>
      </c>
      <c r="F15">
        <v>34</v>
      </c>
      <c r="G15">
        <v>26</v>
      </c>
    </row>
    <row r="16" spans="1:7" x14ac:dyDescent="0.2">
      <c r="A16">
        <v>2004</v>
      </c>
      <c r="B16">
        <v>716</v>
      </c>
      <c r="C16">
        <v>116</v>
      </c>
      <c r="D16">
        <v>112</v>
      </c>
      <c r="E16">
        <v>82</v>
      </c>
      <c r="F16">
        <v>68</v>
      </c>
      <c r="G16">
        <v>60</v>
      </c>
    </row>
    <row r="17" spans="1:7" x14ac:dyDescent="0.2">
      <c r="A17">
        <v>2005</v>
      </c>
      <c r="B17">
        <v>784</v>
      </c>
      <c r="C17">
        <v>119</v>
      </c>
      <c r="D17">
        <v>114</v>
      </c>
      <c r="E17">
        <v>94</v>
      </c>
      <c r="F17">
        <v>74</v>
      </c>
      <c r="G17">
        <v>62</v>
      </c>
    </row>
    <row r="18" spans="1:7" x14ac:dyDescent="0.2">
      <c r="A18">
        <v>2006</v>
      </c>
      <c r="B18">
        <v>1323</v>
      </c>
      <c r="C18">
        <v>213</v>
      </c>
      <c r="D18">
        <v>203</v>
      </c>
      <c r="E18">
        <v>169</v>
      </c>
      <c r="F18">
        <v>144</v>
      </c>
      <c r="G18">
        <v>125</v>
      </c>
    </row>
    <row r="19" spans="1:7" x14ac:dyDescent="0.2">
      <c r="A19">
        <v>2007</v>
      </c>
      <c r="B19">
        <v>1565</v>
      </c>
      <c r="C19">
        <v>253</v>
      </c>
      <c r="D19">
        <v>241</v>
      </c>
      <c r="E19">
        <v>209</v>
      </c>
      <c r="F19">
        <v>182</v>
      </c>
      <c r="G19">
        <v>162</v>
      </c>
    </row>
    <row r="20" spans="1:7" x14ac:dyDescent="0.2">
      <c r="A20">
        <v>2008</v>
      </c>
      <c r="B20">
        <v>2058</v>
      </c>
      <c r="C20">
        <v>347</v>
      </c>
      <c r="D20">
        <v>332</v>
      </c>
      <c r="E20">
        <v>278</v>
      </c>
      <c r="F20">
        <v>243</v>
      </c>
      <c r="G20">
        <v>214</v>
      </c>
    </row>
    <row r="21" spans="1:7" x14ac:dyDescent="0.2">
      <c r="A21">
        <v>2009</v>
      </c>
      <c r="B21">
        <v>2546</v>
      </c>
      <c r="C21">
        <v>463</v>
      </c>
      <c r="D21">
        <v>440</v>
      </c>
      <c r="E21">
        <v>366</v>
      </c>
      <c r="F21">
        <v>323</v>
      </c>
      <c r="G21">
        <v>286</v>
      </c>
    </row>
    <row r="22" spans="1:7" x14ac:dyDescent="0.2">
      <c r="A22">
        <v>2010</v>
      </c>
      <c r="B22">
        <v>3812</v>
      </c>
      <c r="C22">
        <v>713</v>
      </c>
      <c r="D22">
        <v>682</v>
      </c>
      <c r="E22">
        <v>551</v>
      </c>
      <c r="F22">
        <v>472</v>
      </c>
      <c r="G22">
        <v>420</v>
      </c>
    </row>
    <row r="23" spans="1:7" x14ac:dyDescent="0.2">
      <c r="A23">
        <v>2011</v>
      </c>
      <c r="B23">
        <v>4439</v>
      </c>
      <c r="C23">
        <v>707</v>
      </c>
      <c r="D23">
        <v>676</v>
      </c>
      <c r="E23">
        <v>544</v>
      </c>
      <c r="F23">
        <v>481</v>
      </c>
      <c r="G23">
        <v>435</v>
      </c>
    </row>
    <row r="24" spans="1:7" x14ac:dyDescent="0.2">
      <c r="A24">
        <v>2012</v>
      </c>
      <c r="B24">
        <v>6045</v>
      </c>
      <c r="C24">
        <v>964</v>
      </c>
      <c r="D24">
        <v>909</v>
      </c>
      <c r="E24">
        <v>746</v>
      </c>
      <c r="F24">
        <v>650</v>
      </c>
      <c r="G24">
        <v>586</v>
      </c>
    </row>
    <row r="25" spans="1:7" x14ac:dyDescent="0.2">
      <c r="A25">
        <v>2013</v>
      </c>
      <c r="B25">
        <v>10802</v>
      </c>
      <c r="C25">
        <v>1709</v>
      </c>
      <c r="D25">
        <v>1634</v>
      </c>
      <c r="E25">
        <v>1342</v>
      </c>
      <c r="F25">
        <v>1168</v>
      </c>
      <c r="G25">
        <v>1048</v>
      </c>
    </row>
    <row r="26" spans="1:7" x14ac:dyDescent="0.2">
      <c r="A26">
        <v>2014</v>
      </c>
      <c r="B26">
        <v>17325</v>
      </c>
      <c r="C26">
        <v>2908</v>
      </c>
      <c r="D26">
        <v>2774</v>
      </c>
      <c r="E26">
        <v>2244</v>
      </c>
      <c r="F26">
        <v>1935</v>
      </c>
      <c r="G26">
        <v>1740</v>
      </c>
    </row>
    <row r="27" spans="1:7" x14ac:dyDescent="0.2">
      <c r="A27">
        <v>2015</v>
      </c>
      <c r="B27">
        <v>19202</v>
      </c>
      <c r="C27">
        <v>3265</v>
      </c>
      <c r="D27">
        <v>3072</v>
      </c>
      <c r="E27">
        <v>2498</v>
      </c>
      <c r="F27">
        <v>2161</v>
      </c>
      <c r="G27">
        <v>1902</v>
      </c>
    </row>
    <row r="28" spans="1:7" x14ac:dyDescent="0.2">
      <c r="A28">
        <v>2016</v>
      </c>
      <c r="B28">
        <v>21393</v>
      </c>
      <c r="C28">
        <v>3850</v>
      </c>
      <c r="D28">
        <v>3678</v>
      </c>
      <c r="E28">
        <v>3006</v>
      </c>
      <c r="F28">
        <v>2657</v>
      </c>
      <c r="G28">
        <v>2383</v>
      </c>
    </row>
    <row r="29" spans="1:7" x14ac:dyDescent="0.2">
      <c r="A29">
        <v>2017</v>
      </c>
      <c r="B29">
        <v>24074</v>
      </c>
      <c r="C29">
        <v>4248</v>
      </c>
      <c r="D29">
        <v>4036</v>
      </c>
      <c r="E29">
        <v>3300</v>
      </c>
      <c r="F29">
        <v>2902</v>
      </c>
      <c r="G29">
        <v>2619</v>
      </c>
    </row>
    <row r="30" spans="1:7" x14ac:dyDescent="0.2">
      <c r="A30">
        <v>2018</v>
      </c>
      <c r="B30">
        <v>28490</v>
      </c>
      <c r="C30">
        <v>4835</v>
      </c>
      <c r="D30">
        <v>4577</v>
      </c>
      <c r="E30">
        <v>3765</v>
      </c>
      <c r="F30">
        <v>3283</v>
      </c>
      <c r="G30">
        <v>2947</v>
      </c>
    </row>
    <row r="31" spans="1:7" x14ac:dyDescent="0.2">
      <c r="A31">
        <v>2019</v>
      </c>
      <c r="B31">
        <v>32879</v>
      </c>
      <c r="C31">
        <v>5656</v>
      </c>
      <c r="D31">
        <v>5300</v>
      </c>
      <c r="E31">
        <v>4345</v>
      </c>
      <c r="F31">
        <v>3810</v>
      </c>
      <c r="G31">
        <v>3435</v>
      </c>
    </row>
    <row r="32" spans="1:7" x14ac:dyDescent="0.2">
      <c r="A32">
        <v>2020</v>
      </c>
      <c r="B32">
        <v>52232</v>
      </c>
      <c r="C32">
        <v>8690</v>
      </c>
      <c r="D32">
        <v>8169</v>
      </c>
      <c r="E32">
        <v>6711</v>
      </c>
      <c r="F32">
        <v>5957</v>
      </c>
      <c r="G32">
        <v>5343</v>
      </c>
    </row>
    <row r="33" spans="1:7" x14ac:dyDescent="0.2">
      <c r="A33">
        <v>2021</v>
      </c>
      <c r="B33">
        <v>73226</v>
      </c>
      <c r="C33">
        <v>12993</v>
      </c>
      <c r="D33">
        <v>12305</v>
      </c>
      <c r="E33">
        <v>10101</v>
      </c>
      <c r="F33">
        <v>8881</v>
      </c>
      <c r="G33">
        <v>8036</v>
      </c>
    </row>
    <row r="34" spans="1:7" x14ac:dyDescent="0.2">
      <c r="A34">
        <v>2022</v>
      </c>
      <c r="B34">
        <v>77880</v>
      </c>
      <c r="C34">
        <v>14845</v>
      </c>
      <c r="D34">
        <v>14066</v>
      </c>
      <c r="E34">
        <v>11444</v>
      </c>
      <c r="F34">
        <v>10038</v>
      </c>
      <c r="G34">
        <v>9111</v>
      </c>
    </row>
    <row r="35" spans="1:7" x14ac:dyDescent="0.2">
      <c r="A35">
        <v>2023</v>
      </c>
      <c r="B35">
        <v>71057</v>
      </c>
      <c r="C35">
        <v>14539</v>
      </c>
      <c r="D35">
        <v>13787</v>
      </c>
      <c r="E35">
        <v>11309</v>
      </c>
      <c r="F35">
        <v>9998</v>
      </c>
      <c r="G35">
        <v>9040</v>
      </c>
    </row>
    <row r="36" spans="1:7" x14ac:dyDescent="0.2">
      <c r="A36">
        <v>2024</v>
      </c>
      <c r="B36">
        <v>65442</v>
      </c>
      <c r="C36">
        <v>13276</v>
      </c>
      <c r="D36">
        <v>12601</v>
      </c>
      <c r="E36">
        <v>10232</v>
      </c>
      <c r="F36">
        <v>9033</v>
      </c>
      <c r="G36">
        <v>8206</v>
      </c>
    </row>
    <row r="37" spans="1:7" x14ac:dyDescent="0.2">
      <c r="A37">
        <v>2025</v>
      </c>
      <c r="B37">
        <v>41287</v>
      </c>
      <c r="C37">
        <v>8673</v>
      </c>
      <c r="D37">
        <v>8216</v>
      </c>
      <c r="E37">
        <v>6689</v>
      </c>
      <c r="F37">
        <v>5895</v>
      </c>
      <c r="G37">
        <v>5370</v>
      </c>
    </row>
    <row r="38" spans="1:7" x14ac:dyDescent="0.2">
      <c r="A38" t="s">
        <v>7</v>
      </c>
      <c r="B38">
        <f t="shared" ref="B38:G38" si="0">SUM(B2:B37)</f>
        <v>560454</v>
      </c>
      <c r="C38">
        <f t="shared" si="0"/>
        <v>103542</v>
      </c>
      <c r="D38">
        <f t="shared" si="0"/>
        <v>98079</v>
      </c>
      <c r="E38">
        <f t="shared" si="0"/>
        <v>80138</v>
      </c>
      <c r="F38">
        <f t="shared" si="0"/>
        <v>70453</v>
      </c>
      <c r="G38">
        <f t="shared" si="0"/>
        <v>63615</v>
      </c>
    </row>
    <row r="39" spans="1:7" x14ac:dyDescent="0.2">
      <c r="A39" t="s">
        <v>8</v>
      </c>
      <c r="B39">
        <f>MAX(B2:B37)</f>
        <v>77880</v>
      </c>
      <c r="C39">
        <f t="shared" ref="C39:G39" si="1">MAX(C2:C37)</f>
        <v>14845</v>
      </c>
      <c r="D39">
        <f t="shared" si="1"/>
        <v>14066</v>
      </c>
      <c r="E39">
        <f t="shared" si="1"/>
        <v>11444</v>
      </c>
      <c r="F39">
        <f t="shared" si="1"/>
        <v>10038</v>
      </c>
      <c r="G39">
        <f t="shared" si="1"/>
        <v>9111</v>
      </c>
    </row>
    <row r="40" spans="1:7" x14ac:dyDescent="0.2">
      <c r="A40" t="s">
        <v>9</v>
      </c>
      <c r="B40">
        <f>MIN(B2:B37)</f>
        <v>2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4</v>
      </c>
      <c r="C7">
        <v>2</v>
      </c>
      <c r="D7">
        <v>2</v>
      </c>
      <c r="E7">
        <v>1</v>
      </c>
      <c r="F7">
        <v>1</v>
      </c>
      <c r="G7">
        <v>0</v>
      </c>
    </row>
    <row r="8" spans="1:7" x14ac:dyDescent="0.2">
      <c r="A8">
        <v>1996</v>
      </c>
      <c r="B8">
        <v>8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7</v>
      </c>
      <c r="C9">
        <v>1</v>
      </c>
      <c r="D9">
        <v>1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6</v>
      </c>
      <c r="C10">
        <v>4</v>
      </c>
      <c r="D10">
        <v>4</v>
      </c>
      <c r="E10">
        <v>3</v>
      </c>
      <c r="F10">
        <v>1</v>
      </c>
      <c r="G10">
        <v>1</v>
      </c>
    </row>
    <row r="11" spans="1:7" x14ac:dyDescent="0.2">
      <c r="A11">
        <v>1999</v>
      </c>
      <c r="B11">
        <v>10</v>
      </c>
      <c r="C11">
        <v>3</v>
      </c>
      <c r="D11">
        <v>3</v>
      </c>
      <c r="E11">
        <v>2</v>
      </c>
      <c r="F11">
        <v>1</v>
      </c>
      <c r="G11">
        <v>1</v>
      </c>
    </row>
    <row r="12" spans="1:7" x14ac:dyDescent="0.2">
      <c r="A12">
        <v>2000</v>
      </c>
      <c r="B12">
        <v>11</v>
      </c>
      <c r="C12">
        <v>6</v>
      </c>
      <c r="D12">
        <v>6</v>
      </c>
      <c r="E12">
        <v>2</v>
      </c>
      <c r="F12">
        <v>2</v>
      </c>
      <c r="G12">
        <v>2</v>
      </c>
    </row>
    <row r="13" spans="1:7" x14ac:dyDescent="0.2">
      <c r="A13">
        <v>2001</v>
      </c>
      <c r="B13">
        <v>12</v>
      </c>
      <c r="C13">
        <v>4</v>
      </c>
      <c r="D13">
        <v>4</v>
      </c>
      <c r="E13">
        <v>3</v>
      </c>
      <c r="F13">
        <v>3</v>
      </c>
      <c r="G13">
        <v>2</v>
      </c>
    </row>
    <row r="14" spans="1:7" x14ac:dyDescent="0.2">
      <c r="A14">
        <v>2002</v>
      </c>
      <c r="B14">
        <v>618</v>
      </c>
      <c r="C14">
        <v>377</v>
      </c>
      <c r="D14">
        <v>359</v>
      </c>
      <c r="E14">
        <v>275</v>
      </c>
      <c r="F14">
        <v>234</v>
      </c>
      <c r="G14">
        <v>210</v>
      </c>
    </row>
    <row r="15" spans="1:7" x14ac:dyDescent="0.2">
      <c r="A15">
        <v>2003</v>
      </c>
      <c r="B15">
        <v>918</v>
      </c>
      <c r="C15">
        <v>468</v>
      </c>
      <c r="D15">
        <v>450</v>
      </c>
      <c r="E15">
        <v>360</v>
      </c>
      <c r="F15">
        <v>307</v>
      </c>
      <c r="G15">
        <v>266</v>
      </c>
    </row>
    <row r="16" spans="1:7" x14ac:dyDescent="0.2">
      <c r="A16">
        <v>2004</v>
      </c>
      <c r="B16">
        <v>958</v>
      </c>
      <c r="C16">
        <v>506</v>
      </c>
      <c r="D16">
        <v>475</v>
      </c>
      <c r="E16">
        <v>391</v>
      </c>
      <c r="F16">
        <v>336</v>
      </c>
      <c r="G16">
        <v>284</v>
      </c>
    </row>
    <row r="17" spans="1:7" x14ac:dyDescent="0.2">
      <c r="A17">
        <v>2005</v>
      </c>
      <c r="B17">
        <v>730</v>
      </c>
      <c r="C17">
        <v>411</v>
      </c>
      <c r="D17">
        <v>390</v>
      </c>
      <c r="E17">
        <v>292</v>
      </c>
      <c r="F17">
        <v>251</v>
      </c>
      <c r="G17">
        <v>215</v>
      </c>
    </row>
    <row r="18" spans="1:7" x14ac:dyDescent="0.2">
      <c r="A18">
        <v>2006</v>
      </c>
      <c r="B18">
        <v>750</v>
      </c>
      <c r="C18">
        <v>424</v>
      </c>
      <c r="D18">
        <v>394</v>
      </c>
      <c r="E18">
        <v>323</v>
      </c>
      <c r="F18">
        <v>275</v>
      </c>
      <c r="G18">
        <v>241</v>
      </c>
    </row>
    <row r="19" spans="1:7" x14ac:dyDescent="0.2">
      <c r="A19">
        <v>2007</v>
      </c>
      <c r="B19">
        <v>985</v>
      </c>
      <c r="C19">
        <v>551</v>
      </c>
      <c r="D19">
        <v>530</v>
      </c>
      <c r="E19">
        <v>411</v>
      </c>
      <c r="F19">
        <v>352</v>
      </c>
      <c r="G19">
        <v>310</v>
      </c>
    </row>
    <row r="20" spans="1:7" x14ac:dyDescent="0.2">
      <c r="A20">
        <v>2008</v>
      </c>
      <c r="B20">
        <v>1765</v>
      </c>
      <c r="C20">
        <v>1052</v>
      </c>
      <c r="D20">
        <v>1006</v>
      </c>
      <c r="E20">
        <v>835</v>
      </c>
      <c r="F20">
        <v>726</v>
      </c>
      <c r="G20">
        <v>655</v>
      </c>
    </row>
    <row r="21" spans="1:7" x14ac:dyDescent="0.2">
      <c r="A21">
        <v>2009</v>
      </c>
      <c r="B21">
        <v>2244</v>
      </c>
      <c r="C21">
        <v>1468</v>
      </c>
      <c r="D21">
        <v>1402</v>
      </c>
      <c r="E21">
        <v>1176</v>
      </c>
      <c r="F21">
        <v>1030</v>
      </c>
      <c r="G21">
        <v>924</v>
      </c>
    </row>
    <row r="22" spans="1:7" x14ac:dyDescent="0.2">
      <c r="A22">
        <v>2010</v>
      </c>
      <c r="B22">
        <v>2381</v>
      </c>
      <c r="C22">
        <v>1585</v>
      </c>
      <c r="D22">
        <v>1516</v>
      </c>
      <c r="E22">
        <v>1267</v>
      </c>
      <c r="F22">
        <v>1139</v>
      </c>
      <c r="G22">
        <v>993</v>
      </c>
    </row>
    <row r="23" spans="1:7" x14ac:dyDescent="0.2">
      <c r="A23">
        <v>2011</v>
      </c>
      <c r="B23">
        <v>2625</v>
      </c>
      <c r="C23">
        <v>1724</v>
      </c>
      <c r="D23">
        <v>1651</v>
      </c>
      <c r="E23">
        <v>1375</v>
      </c>
      <c r="F23">
        <v>1215</v>
      </c>
      <c r="G23">
        <v>1078</v>
      </c>
    </row>
    <row r="24" spans="1:7" x14ac:dyDescent="0.2">
      <c r="A24">
        <v>2012</v>
      </c>
      <c r="B24">
        <v>2834</v>
      </c>
      <c r="C24">
        <v>1842</v>
      </c>
      <c r="D24">
        <v>1747</v>
      </c>
      <c r="E24">
        <v>1432</v>
      </c>
      <c r="F24">
        <v>1276</v>
      </c>
      <c r="G24">
        <v>1164</v>
      </c>
    </row>
    <row r="25" spans="1:7" x14ac:dyDescent="0.2">
      <c r="A25">
        <v>2013</v>
      </c>
      <c r="B25">
        <v>3865</v>
      </c>
      <c r="C25">
        <v>2472</v>
      </c>
      <c r="D25">
        <v>2368</v>
      </c>
      <c r="E25">
        <v>1925</v>
      </c>
      <c r="F25">
        <v>1692</v>
      </c>
      <c r="G25">
        <v>1540</v>
      </c>
    </row>
    <row r="26" spans="1:7" x14ac:dyDescent="0.2">
      <c r="A26">
        <v>2014</v>
      </c>
      <c r="B26">
        <v>4083</v>
      </c>
      <c r="C26">
        <v>2646</v>
      </c>
      <c r="D26">
        <v>2531</v>
      </c>
      <c r="E26">
        <v>2058</v>
      </c>
      <c r="F26">
        <v>1822</v>
      </c>
      <c r="G26">
        <v>1647</v>
      </c>
    </row>
    <row r="27" spans="1:7" x14ac:dyDescent="0.2">
      <c r="A27">
        <v>2015</v>
      </c>
      <c r="B27">
        <v>5830</v>
      </c>
      <c r="C27">
        <v>3847</v>
      </c>
      <c r="D27">
        <v>3715</v>
      </c>
      <c r="E27">
        <v>3067</v>
      </c>
      <c r="F27">
        <v>2720</v>
      </c>
      <c r="G27">
        <v>2484</v>
      </c>
    </row>
    <row r="28" spans="1:7" x14ac:dyDescent="0.2">
      <c r="A28">
        <v>2016</v>
      </c>
      <c r="B28">
        <v>7337</v>
      </c>
      <c r="C28">
        <v>4867</v>
      </c>
      <c r="D28">
        <v>4694</v>
      </c>
      <c r="E28">
        <v>3811</v>
      </c>
      <c r="F28">
        <v>3387</v>
      </c>
      <c r="G28">
        <v>3075</v>
      </c>
    </row>
    <row r="29" spans="1:7" x14ac:dyDescent="0.2">
      <c r="A29">
        <v>2017</v>
      </c>
      <c r="B29">
        <v>7990</v>
      </c>
      <c r="C29">
        <v>4720</v>
      </c>
      <c r="D29">
        <v>4518</v>
      </c>
      <c r="E29">
        <v>3553</v>
      </c>
      <c r="F29">
        <v>3103</v>
      </c>
      <c r="G29">
        <v>2813</v>
      </c>
    </row>
    <row r="30" spans="1:7" x14ac:dyDescent="0.2">
      <c r="A30">
        <v>2018</v>
      </c>
      <c r="B30">
        <v>8916</v>
      </c>
      <c r="C30">
        <v>5149</v>
      </c>
      <c r="D30">
        <v>4896</v>
      </c>
      <c r="E30">
        <v>3771</v>
      </c>
      <c r="F30">
        <v>3262</v>
      </c>
      <c r="G30">
        <v>2960</v>
      </c>
    </row>
    <row r="31" spans="1:7" x14ac:dyDescent="0.2">
      <c r="A31">
        <v>2019</v>
      </c>
      <c r="B31">
        <v>10152</v>
      </c>
      <c r="C31">
        <v>5688</v>
      </c>
      <c r="D31">
        <v>5384</v>
      </c>
      <c r="E31">
        <v>4231</v>
      </c>
      <c r="F31">
        <v>3687</v>
      </c>
      <c r="G31">
        <v>3332</v>
      </c>
    </row>
    <row r="32" spans="1:7" x14ac:dyDescent="0.2">
      <c r="A32">
        <v>2020</v>
      </c>
      <c r="B32">
        <v>17359</v>
      </c>
      <c r="C32">
        <v>7965</v>
      </c>
      <c r="D32">
        <v>7392</v>
      </c>
      <c r="E32">
        <v>5585</v>
      </c>
      <c r="F32">
        <v>4930</v>
      </c>
      <c r="G32">
        <v>4455</v>
      </c>
    </row>
    <row r="33" spans="1:7" x14ac:dyDescent="0.2">
      <c r="A33">
        <v>2021</v>
      </c>
      <c r="B33">
        <v>19099</v>
      </c>
      <c r="C33">
        <v>9519</v>
      </c>
      <c r="D33">
        <v>8889</v>
      </c>
      <c r="E33">
        <v>6930</v>
      </c>
      <c r="F33">
        <v>6076</v>
      </c>
      <c r="G33">
        <v>5510</v>
      </c>
    </row>
    <row r="34" spans="1:7" x14ac:dyDescent="0.2">
      <c r="A34">
        <v>2022</v>
      </c>
      <c r="B34">
        <v>18468</v>
      </c>
      <c r="C34">
        <v>10029</v>
      </c>
      <c r="D34">
        <v>9516</v>
      </c>
      <c r="E34">
        <v>7563</v>
      </c>
      <c r="F34">
        <v>6640</v>
      </c>
      <c r="G34">
        <v>6060</v>
      </c>
    </row>
    <row r="35" spans="1:7" x14ac:dyDescent="0.2">
      <c r="A35">
        <v>2023</v>
      </c>
      <c r="B35">
        <v>13801</v>
      </c>
      <c r="C35">
        <v>7937</v>
      </c>
      <c r="D35">
        <v>7586</v>
      </c>
      <c r="E35">
        <v>5925</v>
      </c>
      <c r="F35">
        <v>5244</v>
      </c>
      <c r="G35">
        <v>4789</v>
      </c>
    </row>
    <row r="36" spans="1:7" x14ac:dyDescent="0.2">
      <c r="A36">
        <v>2024</v>
      </c>
      <c r="B36">
        <v>11967</v>
      </c>
      <c r="C36">
        <v>7222</v>
      </c>
      <c r="D36">
        <v>6951</v>
      </c>
      <c r="E36">
        <v>5372</v>
      </c>
      <c r="F36">
        <v>4771</v>
      </c>
      <c r="G36">
        <v>4338</v>
      </c>
    </row>
    <row r="37" spans="1:7" x14ac:dyDescent="0.2">
      <c r="A37">
        <v>2025</v>
      </c>
      <c r="B37">
        <v>11252</v>
      </c>
      <c r="C37">
        <v>6659</v>
      </c>
      <c r="D37">
        <v>6364</v>
      </c>
      <c r="E37">
        <v>5046</v>
      </c>
      <c r="F37">
        <v>4508</v>
      </c>
      <c r="G37">
        <v>4086</v>
      </c>
    </row>
    <row r="38" spans="1:7" x14ac:dyDescent="0.2">
      <c r="A38" t="s">
        <v>7</v>
      </c>
      <c r="B38">
        <f t="shared" ref="B38:G38" si="0">SUM(B2:B37)</f>
        <v>156986</v>
      </c>
      <c r="C38">
        <f t="shared" si="0"/>
        <v>89148</v>
      </c>
      <c r="D38">
        <f t="shared" si="0"/>
        <v>84744</v>
      </c>
      <c r="E38">
        <f t="shared" si="0"/>
        <v>66985</v>
      </c>
      <c r="F38">
        <f t="shared" si="0"/>
        <v>58991</v>
      </c>
      <c r="G38">
        <f t="shared" si="0"/>
        <v>53435</v>
      </c>
    </row>
    <row r="39" spans="1:7" x14ac:dyDescent="0.2">
      <c r="A39" t="s">
        <v>8</v>
      </c>
      <c r="B39">
        <f>MAX(B2:B37)</f>
        <v>19099</v>
      </c>
      <c r="C39">
        <f t="shared" ref="C39:G39" si="1">MAX(C2:C37)</f>
        <v>10029</v>
      </c>
      <c r="D39">
        <f t="shared" si="1"/>
        <v>9516</v>
      </c>
      <c r="E39">
        <f t="shared" si="1"/>
        <v>7563</v>
      </c>
      <c r="F39">
        <f t="shared" si="1"/>
        <v>6640</v>
      </c>
      <c r="G39">
        <f t="shared" si="1"/>
        <v>6060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tabSelected="1"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230</v>
      </c>
      <c r="C2">
        <v>12</v>
      </c>
      <c r="D2">
        <v>11</v>
      </c>
      <c r="E2">
        <v>8</v>
      </c>
      <c r="F2">
        <v>4</v>
      </c>
      <c r="G2">
        <v>3</v>
      </c>
    </row>
    <row r="3" spans="1:7" x14ac:dyDescent="0.2">
      <c r="A3">
        <v>1991</v>
      </c>
      <c r="B3">
        <v>247</v>
      </c>
      <c r="C3">
        <v>11</v>
      </c>
      <c r="D3">
        <v>11</v>
      </c>
      <c r="E3">
        <v>9</v>
      </c>
      <c r="F3">
        <v>8</v>
      </c>
      <c r="G3">
        <v>7</v>
      </c>
    </row>
    <row r="4" spans="1:7" x14ac:dyDescent="0.2">
      <c r="A4">
        <v>1992</v>
      </c>
      <c r="B4">
        <v>223</v>
      </c>
      <c r="C4">
        <v>14</v>
      </c>
      <c r="D4">
        <v>12</v>
      </c>
      <c r="E4">
        <v>8</v>
      </c>
      <c r="F4">
        <v>6</v>
      </c>
      <c r="G4">
        <v>4</v>
      </c>
    </row>
    <row r="5" spans="1:7" x14ac:dyDescent="0.2">
      <c r="A5">
        <v>1993</v>
      </c>
      <c r="B5">
        <v>218</v>
      </c>
      <c r="C5">
        <v>16</v>
      </c>
      <c r="D5">
        <v>16</v>
      </c>
      <c r="E5">
        <v>13</v>
      </c>
      <c r="F5">
        <v>9</v>
      </c>
      <c r="G5">
        <v>8</v>
      </c>
    </row>
    <row r="6" spans="1:7" x14ac:dyDescent="0.2">
      <c r="A6">
        <v>1994</v>
      </c>
      <c r="B6">
        <v>324</v>
      </c>
      <c r="C6">
        <v>34</v>
      </c>
      <c r="D6">
        <v>30</v>
      </c>
      <c r="E6">
        <v>19</v>
      </c>
      <c r="F6">
        <v>14</v>
      </c>
      <c r="G6">
        <v>13</v>
      </c>
    </row>
    <row r="7" spans="1:7" x14ac:dyDescent="0.2">
      <c r="A7">
        <v>1995</v>
      </c>
      <c r="B7">
        <v>315</v>
      </c>
      <c r="C7">
        <v>32</v>
      </c>
      <c r="D7">
        <v>28</v>
      </c>
      <c r="E7">
        <v>18</v>
      </c>
      <c r="F7">
        <v>12</v>
      </c>
      <c r="G7">
        <v>11</v>
      </c>
    </row>
    <row r="8" spans="1:7" x14ac:dyDescent="0.2">
      <c r="A8">
        <v>1996</v>
      </c>
      <c r="B8">
        <v>366</v>
      </c>
      <c r="C8">
        <v>43</v>
      </c>
      <c r="D8">
        <v>40</v>
      </c>
      <c r="E8">
        <v>29</v>
      </c>
      <c r="F8">
        <v>18</v>
      </c>
      <c r="G8">
        <v>16</v>
      </c>
    </row>
    <row r="9" spans="1:7" x14ac:dyDescent="0.2">
      <c r="A9">
        <v>1997</v>
      </c>
      <c r="B9">
        <v>1647</v>
      </c>
      <c r="C9">
        <v>292</v>
      </c>
      <c r="D9">
        <v>274</v>
      </c>
      <c r="E9">
        <v>195</v>
      </c>
      <c r="F9">
        <v>133</v>
      </c>
      <c r="G9">
        <v>104</v>
      </c>
    </row>
    <row r="10" spans="1:7" x14ac:dyDescent="0.2">
      <c r="A10">
        <v>1998</v>
      </c>
      <c r="B10">
        <v>1753</v>
      </c>
      <c r="C10">
        <v>359</v>
      </c>
      <c r="D10">
        <v>342</v>
      </c>
      <c r="E10">
        <v>241</v>
      </c>
      <c r="F10">
        <v>169</v>
      </c>
      <c r="G10">
        <v>139</v>
      </c>
    </row>
    <row r="11" spans="1:7" x14ac:dyDescent="0.2">
      <c r="A11">
        <v>1999</v>
      </c>
      <c r="B11">
        <v>1940</v>
      </c>
      <c r="C11">
        <v>405</v>
      </c>
      <c r="D11">
        <v>380</v>
      </c>
      <c r="E11">
        <v>262</v>
      </c>
      <c r="F11">
        <v>196</v>
      </c>
      <c r="G11">
        <v>161</v>
      </c>
    </row>
    <row r="12" spans="1:7" x14ac:dyDescent="0.2">
      <c r="A12">
        <v>2000</v>
      </c>
      <c r="B12">
        <v>2698</v>
      </c>
      <c r="C12">
        <v>542</v>
      </c>
      <c r="D12">
        <v>513</v>
      </c>
      <c r="E12">
        <v>337</v>
      </c>
      <c r="F12">
        <v>245</v>
      </c>
      <c r="G12">
        <v>203</v>
      </c>
    </row>
    <row r="13" spans="1:7" x14ac:dyDescent="0.2">
      <c r="A13">
        <v>2001</v>
      </c>
      <c r="B13">
        <v>3733</v>
      </c>
      <c r="C13">
        <v>978</v>
      </c>
      <c r="D13">
        <v>930</v>
      </c>
      <c r="E13">
        <v>655</v>
      </c>
      <c r="F13">
        <v>512</v>
      </c>
      <c r="G13">
        <v>439</v>
      </c>
    </row>
    <row r="14" spans="1:7" x14ac:dyDescent="0.2">
      <c r="A14">
        <v>2002</v>
      </c>
      <c r="B14">
        <v>5091</v>
      </c>
      <c r="C14">
        <v>1658</v>
      </c>
      <c r="D14">
        <v>1572</v>
      </c>
      <c r="E14">
        <v>1142</v>
      </c>
      <c r="F14">
        <v>890</v>
      </c>
      <c r="G14">
        <v>786</v>
      </c>
    </row>
    <row r="15" spans="1:7" x14ac:dyDescent="0.2">
      <c r="A15">
        <v>2003</v>
      </c>
      <c r="B15">
        <v>7005</v>
      </c>
      <c r="C15">
        <v>2305</v>
      </c>
      <c r="D15">
        <v>2186</v>
      </c>
      <c r="E15">
        <v>1638</v>
      </c>
      <c r="F15">
        <v>1325</v>
      </c>
      <c r="G15">
        <v>1153</v>
      </c>
    </row>
    <row r="16" spans="1:7" x14ac:dyDescent="0.2">
      <c r="A16">
        <v>2004</v>
      </c>
      <c r="B16">
        <v>10246</v>
      </c>
      <c r="C16">
        <v>3427</v>
      </c>
      <c r="D16">
        <v>3243</v>
      </c>
      <c r="E16">
        <v>2456</v>
      </c>
      <c r="F16">
        <v>2026</v>
      </c>
      <c r="G16">
        <v>1777</v>
      </c>
    </row>
    <row r="17" spans="1:7" x14ac:dyDescent="0.2">
      <c r="A17">
        <v>2005</v>
      </c>
      <c r="B17">
        <v>15662</v>
      </c>
      <c r="C17">
        <v>5408</v>
      </c>
      <c r="D17">
        <v>5166</v>
      </c>
      <c r="E17">
        <v>3825</v>
      </c>
      <c r="F17">
        <v>3083</v>
      </c>
      <c r="G17">
        <v>2716</v>
      </c>
    </row>
    <row r="18" spans="1:7" x14ac:dyDescent="0.2">
      <c r="A18">
        <v>2006</v>
      </c>
      <c r="B18">
        <v>20055</v>
      </c>
      <c r="C18">
        <v>7289</v>
      </c>
      <c r="D18">
        <v>6894</v>
      </c>
      <c r="E18">
        <v>5220</v>
      </c>
      <c r="F18">
        <v>4255</v>
      </c>
      <c r="G18">
        <v>3808</v>
      </c>
    </row>
    <row r="19" spans="1:7" x14ac:dyDescent="0.2">
      <c r="A19">
        <v>2007</v>
      </c>
      <c r="B19">
        <v>27529</v>
      </c>
      <c r="C19">
        <v>10786</v>
      </c>
      <c r="D19">
        <v>10274</v>
      </c>
      <c r="E19">
        <v>7760</v>
      </c>
      <c r="F19">
        <v>6384</v>
      </c>
      <c r="G19">
        <v>5673</v>
      </c>
    </row>
    <row r="20" spans="1:7" x14ac:dyDescent="0.2">
      <c r="A20">
        <v>2008</v>
      </c>
      <c r="B20">
        <v>43398</v>
      </c>
      <c r="C20">
        <v>16522</v>
      </c>
      <c r="D20">
        <v>15779</v>
      </c>
      <c r="E20">
        <v>11984</v>
      </c>
      <c r="F20">
        <v>9806</v>
      </c>
      <c r="G20">
        <v>8756</v>
      </c>
    </row>
    <row r="21" spans="1:7" x14ac:dyDescent="0.2">
      <c r="A21">
        <v>2009</v>
      </c>
      <c r="B21">
        <v>58835</v>
      </c>
      <c r="C21">
        <v>23047</v>
      </c>
      <c r="D21">
        <v>22047</v>
      </c>
      <c r="E21">
        <v>16746</v>
      </c>
      <c r="F21">
        <v>13751</v>
      </c>
      <c r="G21">
        <v>12251</v>
      </c>
    </row>
    <row r="22" spans="1:7" x14ac:dyDescent="0.2">
      <c r="A22">
        <v>2010</v>
      </c>
      <c r="B22">
        <v>80146</v>
      </c>
      <c r="C22">
        <v>33387</v>
      </c>
      <c r="D22">
        <v>31989</v>
      </c>
      <c r="E22">
        <v>23952</v>
      </c>
      <c r="F22">
        <v>19683</v>
      </c>
      <c r="G22">
        <v>17636</v>
      </c>
    </row>
    <row r="23" spans="1:7" x14ac:dyDescent="0.2">
      <c r="A23">
        <v>2011</v>
      </c>
      <c r="B23">
        <v>109511</v>
      </c>
      <c r="C23">
        <v>47414</v>
      </c>
      <c r="D23">
        <v>45531</v>
      </c>
      <c r="E23">
        <v>33719</v>
      </c>
      <c r="F23">
        <v>27633</v>
      </c>
      <c r="G23">
        <v>24656</v>
      </c>
    </row>
    <row r="24" spans="1:7" x14ac:dyDescent="0.2">
      <c r="A24">
        <v>2012</v>
      </c>
      <c r="B24">
        <v>146163</v>
      </c>
      <c r="C24">
        <v>67238</v>
      </c>
      <c r="D24">
        <v>64759</v>
      </c>
      <c r="E24">
        <v>47404</v>
      </c>
      <c r="F24">
        <v>38491</v>
      </c>
      <c r="G24">
        <v>34489</v>
      </c>
    </row>
    <row r="25" spans="1:7" x14ac:dyDescent="0.2">
      <c r="A25">
        <v>2013</v>
      </c>
      <c r="B25">
        <v>184796</v>
      </c>
      <c r="C25">
        <v>88843</v>
      </c>
      <c r="D25">
        <v>85547</v>
      </c>
      <c r="E25">
        <v>62412</v>
      </c>
      <c r="F25">
        <v>50916</v>
      </c>
      <c r="G25">
        <v>45819</v>
      </c>
    </row>
    <row r="26" spans="1:7" x14ac:dyDescent="0.2">
      <c r="A26">
        <v>2014</v>
      </c>
      <c r="B26">
        <v>221453</v>
      </c>
      <c r="C26">
        <v>106587</v>
      </c>
      <c r="D26">
        <v>102694</v>
      </c>
      <c r="E26">
        <v>74194</v>
      </c>
      <c r="F26">
        <v>60611</v>
      </c>
      <c r="G26">
        <v>54625</v>
      </c>
    </row>
    <row r="27" spans="1:7" x14ac:dyDescent="0.2">
      <c r="A27">
        <v>2015</v>
      </c>
      <c r="B27">
        <v>252039</v>
      </c>
      <c r="C27">
        <v>123219</v>
      </c>
      <c r="D27">
        <v>118816</v>
      </c>
      <c r="E27">
        <v>85973</v>
      </c>
      <c r="F27">
        <v>70594</v>
      </c>
      <c r="G27">
        <v>63558</v>
      </c>
    </row>
    <row r="28" spans="1:7" x14ac:dyDescent="0.2">
      <c r="A28">
        <v>2016</v>
      </c>
      <c r="B28">
        <v>274180</v>
      </c>
      <c r="C28">
        <v>138200</v>
      </c>
      <c r="D28">
        <v>133587</v>
      </c>
      <c r="E28">
        <v>96091</v>
      </c>
      <c r="F28">
        <v>79501</v>
      </c>
      <c r="G28">
        <v>71747</v>
      </c>
    </row>
    <row r="29" spans="1:7" x14ac:dyDescent="0.2">
      <c r="A29">
        <v>2017</v>
      </c>
      <c r="B29">
        <v>306531</v>
      </c>
      <c r="C29">
        <v>157356</v>
      </c>
      <c r="D29">
        <v>151878</v>
      </c>
      <c r="E29">
        <v>108458</v>
      </c>
      <c r="F29">
        <v>89695</v>
      </c>
      <c r="G29">
        <v>81264</v>
      </c>
    </row>
    <row r="30" spans="1:7" x14ac:dyDescent="0.2">
      <c r="A30">
        <v>2018</v>
      </c>
      <c r="B30">
        <v>339348</v>
      </c>
      <c r="C30">
        <v>170166</v>
      </c>
      <c r="D30">
        <v>164142</v>
      </c>
      <c r="E30">
        <v>117197</v>
      </c>
      <c r="F30">
        <v>97487</v>
      </c>
      <c r="G30">
        <v>88563</v>
      </c>
    </row>
    <row r="31" spans="1:7" x14ac:dyDescent="0.2">
      <c r="A31">
        <v>2019</v>
      </c>
      <c r="B31">
        <v>390414</v>
      </c>
      <c r="C31">
        <v>198433</v>
      </c>
      <c r="D31">
        <v>191429</v>
      </c>
      <c r="E31">
        <v>135657</v>
      </c>
      <c r="F31">
        <v>113467</v>
      </c>
      <c r="G31">
        <v>103282</v>
      </c>
    </row>
    <row r="32" spans="1:7" x14ac:dyDescent="0.2">
      <c r="A32">
        <v>2020</v>
      </c>
      <c r="B32">
        <v>542079</v>
      </c>
      <c r="C32">
        <v>259936</v>
      </c>
      <c r="D32">
        <v>250823</v>
      </c>
      <c r="E32">
        <v>178735</v>
      </c>
      <c r="F32">
        <v>150931</v>
      </c>
      <c r="G32">
        <v>137601</v>
      </c>
    </row>
    <row r="33" spans="1:7" x14ac:dyDescent="0.2">
      <c r="A33">
        <v>2021</v>
      </c>
      <c r="B33">
        <v>677988</v>
      </c>
      <c r="C33">
        <v>335807</v>
      </c>
      <c r="D33">
        <v>324437</v>
      </c>
      <c r="E33">
        <v>234367</v>
      </c>
      <c r="F33">
        <v>199655</v>
      </c>
      <c r="G33">
        <v>182645</v>
      </c>
    </row>
    <row r="34" spans="1:7" x14ac:dyDescent="0.2">
      <c r="A34">
        <v>2022</v>
      </c>
      <c r="B34">
        <v>769707</v>
      </c>
      <c r="C34">
        <v>384088</v>
      </c>
      <c r="D34">
        <v>371382</v>
      </c>
      <c r="E34">
        <v>267169</v>
      </c>
      <c r="F34">
        <v>227763</v>
      </c>
      <c r="G34">
        <v>209126</v>
      </c>
    </row>
    <row r="35" spans="1:7" x14ac:dyDescent="0.2">
      <c r="A35">
        <v>2023</v>
      </c>
      <c r="B35">
        <v>693210</v>
      </c>
      <c r="C35">
        <v>342239</v>
      </c>
      <c r="D35">
        <v>330819</v>
      </c>
      <c r="E35">
        <v>239044</v>
      </c>
      <c r="F35">
        <v>205617</v>
      </c>
      <c r="G35">
        <v>189049</v>
      </c>
    </row>
    <row r="36" spans="1:7" x14ac:dyDescent="0.2">
      <c r="A36">
        <v>2024</v>
      </c>
      <c r="B36">
        <v>683803</v>
      </c>
      <c r="C36">
        <v>348872</v>
      </c>
      <c r="D36">
        <v>337493</v>
      </c>
      <c r="E36">
        <v>243814</v>
      </c>
      <c r="F36">
        <v>210507</v>
      </c>
      <c r="G36">
        <v>193720</v>
      </c>
    </row>
    <row r="37" spans="1:7" x14ac:dyDescent="0.2">
      <c r="A37">
        <v>2025</v>
      </c>
      <c r="B37">
        <v>524904</v>
      </c>
      <c r="C37">
        <v>279865</v>
      </c>
      <c r="D37">
        <v>271084</v>
      </c>
      <c r="E37">
        <v>200342</v>
      </c>
      <c r="F37">
        <v>174692</v>
      </c>
      <c r="G37">
        <v>161805</v>
      </c>
    </row>
    <row r="38" spans="1:7" x14ac:dyDescent="0.2">
      <c r="A38" t="s">
        <v>7</v>
      </c>
      <c r="B38">
        <f t="shared" ref="B38:G38" si="0">SUM(B2:B37)</f>
        <v>6397787</v>
      </c>
      <c r="C38">
        <f t="shared" si="0"/>
        <v>3154830</v>
      </c>
      <c r="D38">
        <f t="shared" si="0"/>
        <v>3046158</v>
      </c>
      <c r="E38">
        <f t="shared" si="0"/>
        <v>2201093</v>
      </c>
      <c r="F38">
        <f t="shared" si="0"/>
        <v>1860089</v>
      </c>
      <c r="G38">
        <f t="shared" si="0"/>
        <v>1697613</v>
      </c>
    </row>
    <row r="39" spans="1:7" x14ac:dyDescent="0.2">
      <c r="A39" t="s">
        <v>8</v>
      </c>
      <c r="B39">
        <f>MAX(B2:B37)</f>
        <v>769707</v>
      </c>
      <c r="C39">
        <f t="shared" ref="C39:G39" si="1">MAX(C2:C37)</f>
        <v>384088</v>
      </c>
      <c r="D39">
        <f t="shared" si="1"/>
        <v>371382</v>
      </c>
      <c r="E39">
        <f t="shared" si="1"/>
        <v>267169</v>
      </c>
      <c r="F39">
        <f t="shared" si="1"/>
        <v>227763</v>
      </c>
      <c r="G39">
        <f t="shared" si="1"/>
        <v>209126</v>
      </c>
    </row>
    <row r="40" spans="1:7" x14ac:dyDescent="0.2">
      <c r="A40" t="s">
        <v>9</v>
      </c>
      <c r="B40">
        <f>MIN(B2:B37)</f>
        <v>218</v>
      </c>
      <c r="C40">
        <f t="shared" ref="C40:G40" si="2">MIN(C2:C37)</f>
        <v>11</v>
      </c>
      <c r="D40">
        <f t="shared" si="2"/>
        <v>11</v>
      </c>
      <c r="E40">
        <f t="shared" si="2"/>
        <v>8</v>
      </c>
      <c r="F40">
        <f t="shared" si="2"/>
        <v>4</v>
      </c>
      <c r="G40">
        <f t="shared" si="2"/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E313-5E82-BA43-B20B-BFA15FFCC0BB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2006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</row>
    <row r="19" spans="1:7" x14ac:dyDescent="0.2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2011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</row>
    <row r="24" spans="1:7" x14ac:dyDescent="0.2">
      <c r="A24">
        <v>2012</v>
      </c>
      <c r="B24">
        <v>49</v>
      </c>
      <c r="C24">
        <v>47</v>
      </c>
      <c r="D24">
        <v>46</v>
      </c>
      <c r="E24">
        <v>41</v>
      </c>
      <c r="F24">
        <v>36</v>
      </c>
      <c r="G24">
        <v>34</v>
      </c>
    </row>
    <row r="25" spans="1:7" x14ac:dyDescent="0.2">
      <c r="A25">
        <v>2013</v>
      </c>
      <c r="B25">
        <v>599</v>
      </c>
      <c r="C25">
        <v>512</v>
      </c>
      <c r="D25">
        <v>499</v>
      </c>
      <c r="E25">
        <v>403</v>
      </c>
      <c r="F25">
        <v>365</v>
      </c>
      <c r="G25">
        <v>343</v>
      </c>
    </row>
    <row r="26" spans="1:7" x14ac:dyDescent="0.2">
      <c r="A26">
        <v>2014</v>
      </c>
      <c r="B26">
        <v>1469</v>
      </c>
      <c r="C26">
        <v>1209</v>
      </c>
      <c r="D26">
        <v>1164</v>
      </c>
      <c r="E26">
        <v>978</v>
      </c>
      <c r="F26">
        <v>876</v>
      </c>
      <c r="G26">
        <v>811</v>
      </c>
    </row>
    <row r="27" spans="1:7" x14ac:dyDescent="0.2">
      <c r="A27">
        <v>2015</v>
      </c>
      <c r="B27">
        <v>2398</v>
      </c>
      <c r="C27">
        <v>2040</v>
      </c>
      <c r="D27">
        <v>2004</v>
      </c>
      <c r="E27">
        <v>1703</v>
      </c>
      <c r="F27">
        <v>1523</v>
      </c>
      <c r="G27">
        <v>1405</v>
      </c>
    </row>
    <row r="28" spans="1:7" x14ac:dyDescent="0.2">
      <c r="A28">
        <v>2016</v>
      </c>
      <c r="B28">
        <v>3067</v>
      </c>
      <c r="C28">
        <v>2591</v>
      </c>
      <c r="D28">
        <v>2531</v>
      </c>
      <c r="E28">
        <v>2127</v>
      </c>
      <c r="F28">
        <v>1926</v>
      </c>
      <c r="G28">
        <v>1800</v>
      </c>
    </row>
    <row r="29" spans="1:7" x14ac:dyDescent="0.2">
      <c r="A29">
        <v>2017</v>
      </c>
      <c r="B29">
        <v>3560</v>
      </c>
      <c r="C29">
        <v>2995</v>
      </c>
      <c r="D29">
        <v>2919</v>
      </c>
      <c r="E29">
        <v>2422</v>
      </c>
      <c r="F29">
        <v>2190</v>
      </c>
      <c r="G29">
        <v>2033</v>
      </c>
    </row>
    <row r="30" spans="1:7" x14ac:dyDescent="0.2">
      <c r="A30">
        <v>2018</v>
      </c>
      <c r="B30">
        <v>3981</v>
      </c>
      <c r="C30">
        <v>3354</v>
      </c>
      <c r="D30">
        <v>3293</v>
      </c>
      <c r="E30">
        <v>2665</v>
      </c>
      <c r="F30">
        <v>2392</v>
      </c>
      <c r="G30">
        <v>2198</v>
      </c>
    </row>
    <row r="31" spans="1:7" x14ac:dyDescent="0.2">
      <c r="A31">
        <v>2019</v>
      </c>
      <c r="B31">
        <v>5031</v>
      </c>
      <c r="C31">
        <v>4202</v>
      </c>
      <c r="D31">
        <v>4119</v>
      </c>
      <c r="E31">
        <v>3397</v>
      </c>
      <c r="F31">
        <v>3053</v>
      </c>
      <c r="G31">
        <v>2809</v>
      </c>
    </row>
    <row r="32" spans="1:7" x14ac:dyDescent="0.2">
      <c r="A32">
        <v>2020</v>
      </c>
      <c r="B32">
        <v>6512</v>
      </c>
      <c r="C32">
        <v>5454</v>
      </c>
      <c r="D32">
        <v>5340</v>
      </c>
      <c r="E32">
        <v>4374</v>
      </c>
      <c r="F32">
        <v>3957</v>
      </c>
      <c r="G32">
        <v>3679</v>
      </c>
    </row>
    <row r="33" spans="1:7" x14ac:dyDescent="0.2">
      <c r="A33">
        <v>2021</v>
      </c>
      <c r="B33">
        <v>8020</v>
      </c>
      <c r="C33">
        <v>6700</v>
      </c>
      <c r="D33">
        <v>6566</v>
      </c>
      <c r="E33">
        <v>5454</v>
      </c>
      <c r="F33">
        <v>4950</v>
      </c>
      <c r="G33">
        <v>4613</v>
      </c>
    </row>
    <row r="34" spans="1:7" x14ac:dyDescent="0.2">
      <c r="A34">
        <v>2022</v>
      </c>
      <c r="B34">
        <v>6540</v>
      </c>
      <c r="C34">
        <v>5419</v>
      </c>
      <c r="D34">
        <v>5287</v>
      </c>
      <c r="E34">
        <v>4429</v>
      </c>
      <c r="F34">
        <v>3996</v>
      </c>
      <c r="G34">
        <v>3735</v>
      </c>
    </row>
    <row r="35" spans="1:7" x14ac:dyDescent="0.2">
      <c r="A35">
        <v>2023</v>
      </c>
      <c r="B35">
        <v>5571</v>
      </c>
      <c r="C35">
        <v>4647</v>
      </c>
      <c r="D35">
        <v>4559</v>
      </c>
      <c r="E35">
        <v>3787</v>
      </c>
      <c r="F35">
        <v>3451</v>
      </c>
      <c r="G35">
        <v>3222</v>
      </c>
    </row>
    <row r="36" spans="1:7" x14ac:dyDescent="0.2">
      <c r="A36">
        <v>2024</v>
      </c>
      <c r="B36">
        <v>6859</v>
      </c>
      <c r="C36">
        <v>5747</v>
      </c>
      <c r="D36">
        <v>5636</v>
      </c>
      <c r="E36">
        <v>4646</v>
      </c>
      <c r="F36">
        <v>4269</v>
      </c>
      <c r="G36">
        <v>3955</v>
      </c>
    </row>
    <row r="37" spans="1:7" x14ac:dyDescent="0.2">
      <c r="A37">
        <v>2025</v>
      </c>
      <c r="B37">
        <v>5852</v>
      </c>
      <c r="C37">
        <v>4923</v>
      </c>
      <c r="D37">
        <v>4827</v>
      </c>
      <c r="E37">
        <v>4044</v>
      </c>
      <c r="F37">
        <v>3707</v>
      </c>
      <c r="G37">
        <v>3454</v>
      </c>
    </row>
    <row r="38" spans="1:7" x14ac:dyDescent="0.2">
      <c r="A38" t="s">
        <v>7</v>
      </c>
      <c r="B38">
        <f t="shared" ref="B38:G38" si="0">SUM(B2:B37)</f>
        <v>59510</v>
      </c>
      <c r="C38">
        <f t="shared" si="0"/>
        <v>49842</v>
      </c>
      <c r="D38">
        <f t="shared" si="0"/>
        <v>48792</v>
      </c>
      <c r="E38">
        <f t="shared" si="0"/>
        <v>40472</v>
      </c>
      <c r="F38">
        <f t="shared" si="0"/>
        <v>36693</v>
      </c>
      <c r="G38">
        <f t="shared" si="0"/>
        <v>34091</v>
      </c>
    </row>
    <row r="39" spans="1:7" x14ac:dyDescent="0.2">
      <c r="A39" t="s">
        <v>8</v>
      </c>
      <c r="B39">
        <f>MAX(B2:B37)</f>
        <v>8020</v>
      </c>
      <c r="C39">
        <f t="shared" ref="C39:G39" si="1">MAX(C2:C37)</f>
        <v>6700</v>
      </c>
      <c r="D39">
        <f t="shared" si="1"/>
        <v>6566</v>
      </c>
      <c r="E39">
        <f t="shared" si="1"/>
        <v>5454</v>
      </c>
      <c r="F39">
        <f t="shared" si="1"/>
        <v>4950</v>
      </c>
      <c r="G39">
        <f t="shared" si="1"/>
        <v>4613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C2FB-653D-C342-B90F-068FA1877131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</row>
    <row r="13" spans="1:7" x14ac:dyDescent="0.2">
      <c r="A13">
        <v>2001</v>
      </c>
      <c r="B13">
        <v>10</v>
      </c>
      <c r="C13">
        <v>5</v>
      </c>
      <c r="D13">
        <v>5</v>
      </c>
      <c r="E13">
        <v>4</v>
      </c>
      <c r="F13">
        <v>4</v>
      </c>
      <c r="G13">
        <v>4</v>
      </c>
    </row>
    <row r="14" spans="1:7" x14ac:dyDescent="0.2">
      <c r="A14">
        <v>2002</v>
      </c>
      <c r="B14">
        <v>15</v>
      </c>
      <c r="C14">
        <v>11</v>
      </c>
      <c r="D14">
        <v>10</v>
      </c>
      <c r="E14">
        <v>9</v>
      </c>
      <c r="F14">
        <v>8</v>
      </c>
      <c r="G14">
        <v>8</v>
      </c>
    </row>
    <row r="15" spans="1:7" x14ac:dyDescent="0.2">
      <c r="A15">
        <v>2003</v>
      </c>
      <c r="B15">
        <v>13</v>
      </c>
      <c r="C15">
        <v>8</v>
      </c>
      <c r="D15">
        <v>7</v>
      </c>
      <c r="E15">
        <v>7</v>
      </c>
      <c r="F15">
        <v>6</v>
      </c>
      <c r="G15">
        <v>5</v>
      </c>
    </row>
    <row r="16" spans="1:7" x14ac:dyDescent="0.2">
      <c r="A16">
        <v>2004</v>
      </c>
      <c r="B16">
        <v>29</v>
      </c>
      <c r="C16">
        <v>16</v>
      </c>
      <c r="D16">
        <v>15</v>
      </c>
      <c r="E16">
        <v>14</v>
      </c>
      <c r="F16">
        <v>12</v>
      </c>
      <c r="G16">
        <v>9</v>
      </c>
    </row>
    <row r="17" spans="1:7" x14ac:dyDescent="0.2">
      <c r="A17">
        <v>2005</v>
      </c>
      <c r="B17">
        <v>47</v>
      </c>
      <c r="C17">
        <v>30</v>
      </c>
      <c r="D17">
        <v>28</v>
      </c>
      <c r="E17">
        <v>22</v>
      </c>
      <c r="F17">
        <v>19</v>
      </c>
      <c r="G17">
        <v>17</v>
      </c>
    </row>
    <row r="18" spans="1:7" x14ac:dyDescent="0.2">
      <c r="A18">
        <v>2006</v>
      </c>
      <c r="B18">
        <v>86</v>
      </c>
      <c r="C18">
        <v>42</v>
      </c>
      <c r="D18">
        <v>38</v>
      </c>
      <c r="E18">
        <v>35</v>
      </c>
      <c r="F18">
        <v>32</v>
      </c>
      <c r="G18">
        <v>31</v>
      </c>
    </row>
    <row r="19" spans="1:7" x14ac:dyDescent="0.2">
      <c r="A19">
        <v>2007</v>
      </c>
      <c r="B19">
        <v>93</v>
      </c>
      <c r="C19">
        <v>53</v>
      </c>
      <c r="D19">
        <v>51</v>
      </c>
      <c r="E19">
        <v>41</v>
      </c>
      <c r="F19">
        <v>37</v>
      </c>
      <c r="G19">
        <v>35</v>
      </c>
    </row>
    <row r="20" spans="1:7" x14ac:dyDescent="0.2">
      <c r="A20">
        <v>2008</v>
      </c>
      <c r="B20">
        <v>160</v>
      </c>
      <c r="C20">
        <v>92</v>
      </c>
      <c r="D20">
        <v>88</v>
      </c>
      <c r="E20">
        <v>67</v>
      </c>
      <c r="F20">
        <v>59</v>
      </c>
      <c r="G20">
        <v>51</v>
      </c>
    </row>
    <row r="21" spans="1:7" x14ac:dyDescent="0.2">
      <c r="A21">
        <v>2009</v>
      </c>
      <c r="B21">
        <v>221</v>
      </c>
      <c r="C21">
        <v>139</v>
      </c>
      <c r="D21">
        <v>126</v>
      </c>
      <c r="E21">
        <v>102</v>
      </c>
      <c r="F21">
        <v>94</v>
      </c>
      <c r="G21">
        <v>91</v>
      </c>
    </row>
    <row r="22" spans="1:7" x14ac:dyDescent="0.2">
      <c r="A22">
        <v>2010</v>
      </c>
      <c r="B22">
        <v>356</v>
      </c>
      <c r="C22">
        <v>208</v>
      </c>
      <c r="D22">
        <v>192</v>
      </c>
      <c r="E22">
        <v>166</v>
      </c>
      <c r="F22">
        <v>143</v>
      </c>
      <c r="G22">
        <v>130</v>
      </c>
    </row>
    <row r="23" spans="1:7" x14ac:dyDescent="0.2">
      <c r="A23">
        <v>2011</v>
      </c>
      <c r="B23">
        <v>515</v>
      </c>
      <c r="C23">
        <v>320</v>
      </c>
      <c r="D23">
        <v>301</v>
      </c>
      <c r="E23">
        <v>238</v>
      </c>
      <c r="F23">
        <v>204</v>
      </c>
      <c r="G23">
        <v>184</v>
      </c>
    </row>
    <row r="24" spans="1:7" x14ac:dyDescent="0.2">
      <c r="A24">
        <v>2012</v>
      </c>
      <c r="B24">
        <v>746</v>
      </c>
      <c r="C24">
        <v>470</v>
      </c>
      <c r="D24">
        <v>435</v>
      </c>
      <c r="E24">
        <v>369</v>
      </c>
      <c r="F24">
        <v>327</v>
      </c>
      <c r="G24">
        <v>301</v>
      </c>
    </row>
    <row r="25" spans="1:7" x14ac:dyDescent="0.2">
      <c r="A25">
        <v>2013</v>
      </c>
      <c r="B25">
        <v>1175</v>
      </c>
      <c r="C25">
        <v>717</v>
      </c>
      <c r="D25">
        <v>666</v>
      </c>
      <c r="E25">
        <v>534</v>
      </c>
      <c r="F25">
        <v>487</v>
      </c>
      <c r="G25">
        <v>449</v>
      </c>
    </row>
    <row r="26" spans="1:7" x14ac:dyDescent="0.2">
      <c r="A26">
        <v>2014</v>
      </c>
      <c r="B26">
        <v>1666</v>
      </c>
      <c r="C26">
        <v>1051</v>
      </c>
      <c r="D26">
        <v>983</v>
      </c>
      <c r="E26">
        <v>816</v>
      </c>
      <c r="F26">
        <v>744</v>
      </c>
      <c r="G26">
        <v>700</v>
      </c>
    </row>
    <row r="27" spans="1:7" x14ac:dyDescent="0.2">
      <c r="A27">
        <v>2015</v>
      </c>
      <c r="B27">
        <v>2148</v>
      </c>
      <c r="C27">
        <v>1357</v>
      </c>
      <c r="D27">
        <v>1291</v>
      </c>
      <c r="E27">
        <v>1063</v>
      </c>
      <c r="F27">
        <v>967</v>
      </c>
      <c r="G27">
        <v>896</v>
      </c>
    </row>
    <row r="28" spans="1:7" x14ac:dyDescent="0.2">
      <c r="A28">
        <v>2016</v>
      </c>
      <c r="B28">
        <v>2655</v>
      </c>
      <c r="C28">
        <v>1682</v>
      </c>
      <c r="D28">
        <v>1559</v>
      </c>
      <c r="E28">
        <v>1316</v>
      </c>
      <c r="F28">
        <v>1178</v>
      </c>
      <c r="G28">
        <v>1093</v>
      </c>
    </row>
    <row r="29" spans="1:7" x14ac:dyDescent="0.2">
      <c r="A29">
        <v>2017</v>
      </c>
      <c r="B29">
        <v>3164</v>
      </c>
      <c r="C29">
        <v>2042</v>
      </c>
      <c r="D29">
        <v>1912</v>
      </c>
      <c r="E29">
        <v>1612</v>
      </c>
      <c r="F29">
        <v>1458</v>
      </c>
      <c r="G29">
        <v>1346</v>
      </c>
    </row>
    <row r="30" spans="1:7" x14ac:dyDescent="0.2">
      <c r="A30">
        <v>2018</v>
      </c>
      <c r="B30">
        <v>3469</v>
      </c>
      <c r="C30">
        <v>2186</v>
      </c>
      <c r="D30">
        <v>2057</v>
      </c>
      <c r="E30">
        <v>1713</v>
      </c>
      <c r="F30">
        <v>1539</v>
      </c>
      <c r="G30">
        <v>1438</v>
      </c>
    </row>
    <row r="31" spans="1:7" x14ac:dyDescent="0.2">
      <c r="A31">
        <v>2019</v>
      </c>
      <c r="B31">
        <v>5347</v>
      </c>
      <c r="C31">
        <v>3437</v>
      </c>
      <c r="D31">
        <v>3249</v>
      </c>
      <c r="E31">
        <v>2683</v>
      </c>
      <c r="F31">
        <v>2431</v>
      </c>
      <c r="G31">
        <v>2269</v>
      </c>
    </row>
    <row r="32" spans="1:7" x14ac:dyDescent="0.2">
      <c r="A32">
        <v>2020</v>
      </c>
      <c r="B32">
        <v>7329</v>
      </c>
      <c r="C32">
        <v>4627</v>
      </c>
      <c r="D32">
        <v>4373</v>
      </c>
      <c r="E32">
        <v>3607</v>
      </c>
      <c r="F32">
        <v>3242</v>
      </c>
      <c r="G32">
        <v>3032</v>
      </c>
    </row>
    <row r="33" spans="1:7" x14ac:dyDescent="0.2">
      <c r="A33">
        <v>2021</v>
      </c>
      <c r="B33">
        <v>10324</v>
      </c>
      <c r="C33">
        <v>6523</v>
      </c>
      <c r="D33">
        <v>6198</v>
      </c>
      <c r="E33">
        <v>5202</v>
      </c>
      <c r="F33">
        <v>4650</v>
      </c>
      <c r="G33">
        <v>4348</v>
      </c>
    </row>
    <row r="34" spans="1:7" x14ac:dyDescent="0.2">
      <c r="A34">
        <v>2022</v>
      </c>
      <c r="B34">
        <v>13111</v>
      </c>
      <c r="C34">
        <v>8377</v>
      </c>
      <c r="D34">
        <v>7963</v>
      </c>
      <c r="E34">
        <v>6599</v>
      </c>
      <c r="F34">
        <v>5916</v>
      </c>
      <c r="G34">
        <v>5581</v>
      </c>
    </row>
    <row r="35" spans="1:7" x14ac:dyDescent="0.2">
      <c r="A35">
        <v>2023</v>
      </c>
      <c r="B35">
        <v>11329</v>
      </c>
      <c r="C35">
        <v>7440</v>
      </c>
      <c r="D35">
        <v>7097</v>
      </c>
      <c r="E35">
        <v>5903</v>
      </c>
      <c r="F35">
        <v>5250</v>
      </c>
      <c r="G35">
        <v>4943</v>
      </c>
    </row>
    <row r="36" spans="1:7" x14ac:dyDescent="0.2">
      <c r="A36">
        <v>2024</v>
      </c>
      <c r="B36">
        <v>12605</v>
      </c>
      <c r="C36">
        <v>8336</v>
      </c>
      <c r="D36">
        <v>7992</v>
      </c>
      <c r="E36">
        <v>6693</v>
      </c>
      <c r="F36">
        <v>5980</v>
      </c>
      <c r="G36">
        <v>5630</v>
      </c>
    </row>
    <row r="37" spans="1:7" x14ac:dyDescent="0.2">
      <c r="A37">
        <v>2025</v>
      </c>
      <c r="B37">
        <v>10244</v>
      </c>
      <c r="C37">
        <v>6690</v>
      </c>
      <c r="D37">
        <v>6390</v>
      </c>
      <c r="E37">
        <v>5385</v>
      </c>
      <c r="F37">
        <v>4791</v>
      </c>
      <c r="G37">
        <v>4555</v>
      </c>
    </row>
    <row r="38" spans="1:7" x14ac:dyDescent="0.2">
      <c r="A38" t="s">
        <v>7</v>
      </c>
      <c r="B38">
        <f t="shared" ref="B38:G38" si="0">SUM(B2:B37)</f>
        <v>86858</v>
      </c>
      <c r="C38">
        <f t="shared" si="0"/>
        <v>55860</v>
      </c>
      <c r="D38">
        <f t="shared" si="0"/>
        <v>53027</v>
      </c>
      <c r="E38">
        <f t="shared" si="0"/>
        <v>44201</v>
      </c>
      <c r="F38">
        <f t="shared" si="0"/>
        <v>39578</v>
      </c>
      <c r="G38">
        <f t="shared" si="0"/>
        <v>37146</v>
      </c>
    </row>
    <row r="39" spans="1:7" x14ac:dyDescent="0.2">
      <c r="A39" t="s">
        <v>8</v>
      </c>
      <c r="B39">
        <f>MAX(B2:B37)</f>
        <v>13111</v>
      </c>
      <c r="C39">
        <f t="shared" ref="C39:G39" si="1">MAX(C2:C37)</f>
        <v>8377</v>
      </c>
      <c r="D39">
        <f t="shared" si="1"/>
        <v>7992</v>
      </c>
      <c r="E39">
        <f t="shared" si="1"/>
        <v>6693</v>
      </c>
      <c r="F39">
        <f t="shared" si="1"/>
        <v>5980</v>
      </c>
      <c r="G39">
        <f t="shared" si="1"/>
        <v>5630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RCT</vt:lpstr>
      <vt:lpstr>CT</vt:lpstr>
      <vt:lpstr>META</vt:lpstr>
      <vt:lpstr>REVIEW</vt:lpstr>
      <vt:lpstr>CCJ</vt:lpstr>
      <vt:lpstr>ALL</vt:lpstr>
      <vt:lpstr>OBS</vt:lpstr>
      <vt:lpstr>SYSREV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2025-09-20T09:37:29Z</dcterms:created>
  <dcterms:modified xsi:type="dcterms:W3CDTF">2026-07-19T09:00:36Z</dcterms:modified>
</cp:coreProperties>
</file>