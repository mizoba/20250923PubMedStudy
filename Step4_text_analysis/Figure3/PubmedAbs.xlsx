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740" tabRatio="600" firstSheet="0" activeTab="5" autoFilterDateGrouping="1"/>
  </bookViews>
  <sheets>
    <sheet xmlns:r="http://schemas.openxmlformats.org/officeDocument/2006/relationships" name="RCT" sheetId="1" state="visible" r:id="rId1"/>
    <sheet xmlns:r="http://schemas.openxmlformats.org/officeDocument/2006/relationships" name="CT" sheetId="2" state="visible" r:id="rId2"/>
    <sheet xmlns:r="http://schemas.openxmlformats.org/officeDocument/2006/relationships" name="META" sheetId="3" state="visible" r:id="rId3"/>
    <sheet xmlns:r="http://schemas.openxmlformats.org/officeDocument/2006/relationships" name="REVIEW" sheetId="4" state="visible" r:id="rId4"/>
    <sheet xmlns:r="http://schemas.openxmlformats.org/officeDocument/2006/relationships" name="CCJ" sheetId="5" state="visible" r:id="rId5"/>
    <sheet xmlns:r="http://schemas.openxmlformats.org/officeDocument/2006/relationships" name="ALL" sheetId="6" state="visible" r:id="rId6"/>
    <sheet xmlns:r="http://schemas.openxmlformats.org/officeDocument/2006/relationships" name="OBS" sheetId="7" state="visible" r:id="rId7"/>
    <sheet xmlns:r="http://schemas.openxmlformats.org/officeDocument/2006/relationships" name="SYSREV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charset val="129"/>
      <family val="2"/>
      <color theme="1"/>
      <sz val="12"/>
      <scheme val="minor"/>
    </font>
    <font>
      <name val="Aptos Narrow"/>
      <charset val="129"/>
      <family val="2"/>
      <sz val="8"/>
      <scheme val="minor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topLeftCell="A6" workbookViewId="0">
      <selection activeCell="A2" sqref="A2:G37"/>
    </sheetView>
  </sheetViews>
  <sheetFormatPr baseColWidth="10" defaultColWidth="11.5" defaultRowHeight="16"/>
  <sheetData>
    <row r="1">
      <c r="A1" s="0" t="inlineStr">
        <is>
          <t>Year</t>
        </is>
      </c>
      <c r="B1" s="0" t="inlineStr">
        <is>
          <t>Total article count</t>
        </is>
      </c>
      <c r="C1" s="0" t="inlineStr">
        <is>
          <t>HasPvalue</t>
        </is>
      </c>
      <c r="D1" s="0" t="inlineStr">
        <is>
          <t>Pvalue0.05</t>
        </is>
      </c>
      <c r="E1" s="0" t="inlineStr">
        <is>
          <t>Pvalue0.01</t>
        </is>
      </c>
      <c r="F1" s="0" t="inlineStr">
        <is>
          <t>Pvalue0.005</t>
        </is>
      </c>
      <c r="G1" s="0" t="inlineStr">
        <is>
          <t>Pvalue0.001</t>
        </is>
      </c>
    </row>
    <row r="2">
      <c r="A2" s="0" t="n">
        <v>1990</v>
      </c>
      <c r="B2" s="0" t="n">
        <v>6146</v>
      </c>
      <c r="C2" s="0" t="n">
        <v>2091</v>
      </c>
      <c r="D2" s="0" t="n">
        <v>2005</v>
      </c>
      <c r="E2" s="0" t="n">
        <v>1328</v>
      </c>
      <c r="F2" s="0" t="n">
        <v>870</v>
      </c>
      <c r="G2" s="0" t="n">
        <v>690</v>
      </c>
    </row>
    <row r="3">
      <c r="A3" s="0" t="n">
        <v>1991</v>
      </c>
      <c r="B3" s="0" t="n">
        <v>6643</v>
      </c>
      <c r="C3" s="0" t="n">
        <v>2478</v>
      </c>
      <c r="D3" s="0" t="n">
        <v>2359</v>
      </c>
      <c r="E3" s="0" t="n">
        <v>1616</v>
      </c>
      <c r="F3" s="0" t="n">
        <v>1058</v>
      </c>
      <c r="G3" s="0" t="n">
        <v>839</v>
      </c>
    </row>
    <row r="4">
      <c r="A4" s="0" t="n">
        <v>1992</v>
      </c>
      <c r="B4" s="0" t="n">
        <v>7131</v>
      </c>
      <c r="C4" s="0" t="n">
        <v>2721</v>
      </c>
      <c r="D4" s="0" t="n">
        <v>2577</v>
      </c>
      <c r="E4" s="0" t="n">
        <v>1771</v>
      </c>
      <c r="F4" s="0" t="n">
        <v>1170</v>
      </c>
      <c r="G4" s="0" t="n">
        <v>922</v>
      </c>
    </row>
    <row r="5">
      <c r="A5" s="0" t="n">
        <v>1993</v>
      </c>
      <c r="B5" s="0" t="n">
        <v>7747</v>
      </c>
      <c r="C5" s="0" t="n">
        <v>3054</v>
      </c>
      <c r="D5" s="0" t="n">
        <v>2861</v>
      </c>
      <c r="E5" s="0" t="n">
        <v>1945</v>
      </c>
      <c r="F5" s="0" t="n">
        <v>1346</v>
      </c>
      <c r="G5" s="0" t="n">
        <v>1080</v>
      </c>
    </row>
    <row r="6">
      <c r="A6" s="0" t="n">
        <v>1994</v>
      </c>
      <c r="B6" s="0" t="n">
        <v>8930</v>
      </c>
      <c r="C6" s="0" t="n">
        <v>3609</v>
      </c>
      <c r="D6" s="0" t="n">
        <v>3361</v>
      </c>
      <c r="E6" s="0" t="n">
        <v>2269</v>
      </c>
      <c r="F6" s="0" t="n">
        <v>1532</v>
      </c>
      <c r="G6" s="0" t="n">
        <v>1204</v>
      </c>
    </row>
    <row r="7">
      <c r="A7" s="0" t="n">
        <v>1995</v>
      </c>
      <c r="B7" s="0" t="n">
        <v>9770</v>
      </c>
      <c r="C7" s="0" t="n">
        <v>4066</v>
      </c>
      <c r="D7" s="0" t="n">
        <v>3804</v>
      </c>
      <c r="E7" s="0" t="n">
        <v>2572</v>
      </c>
      <c r="F7" s="0" t="n">
        <v>1780</v>
      </c>
      <c r="G7" s="0" t="n">
        <v>1412</v>
      </c>
    </row>
    <row r="8">
      <c r="A8" s="0" t="n">
        <v>1996</v>
      </c>
      <c r="B8" s="0" t="n">
        <v>9611</v>
      </c>
      <c r="C8" s="0" t="n">
        <v>4165</v>
      </c>
      <c r="D8" s="0" t="n">
        <v>3926</v>
      </c>
      <c r="E8" s="0" t="n">
        <v>2723</v>
      </c>
      <c r="F8" s="0" t="n">
        <v>1931</v>
      </c>
      <c r="G8" s="0" t="n">
        <v>1545</v>
      </c>
    </row>
    <row r="9">
      <c r="A9" s="0" t="n">
        <v>1997</v>
      </c>
      <c r="B9" s="0" t="n">
        <v>9844</v>
      </c>
      <c r="C9" s="0" t="n">
        <v>4454</v>
      </c>
      <c r="D9" s="0" t="n">
        <v>4149</v>
      </c>
      <c r="E9" s="0" t="n">
        <v>2856</v>
      </c>
      <c r="F9" s="0" t="n">
        <v>2070</v>
      </c>
      <c r="G9" s="0" t="n">
        <v>1669</v>
      </c>
    </row>
    <row r="10">
      <c r="A10" s="0" t="n">
        <v>1998</v>
      </c>
      <c r="B10" s="0" t="n">
        <v>10236</v>
      </c>
      <c r="C10" s="0" t="n">
        <v>4745</v>
      </c>
      <c r="D10" s="0" t="n">
        <v>4414</v>
      </c>
      <c r="E10" s="0" t="n">
        <v>3071</v>
      </c>
      <c r="F10" s="0" t="n">
        <v>2186</v>
      </c>
      <c r="G10" s="0" t="n">
        <v>1789</v>
      </c>
    </row>
    <row r="11">
      <c r="A11" s="0" t="n">
        <v>1999</v>
      </c>
      <c r="B11" s="0" t="n">
        <v>10976</v>
      </c>
      <c r="C11" s="0" t="n">
        <v>5240</v>
      </c>
      <c r="D11" s="0" t="n">
        <v>4874</v>
      </c>
      <c r="E11" s="0" t="n">
        <v>3375</v>
      </c>
      <c r="F11" s="0" t="n">
        <v>2491</v>
      </c>
      <c r="G11" s="0" t="n">
        <v>2018</v>
      </c>
    </row>
    <row r="12">
      <c r="A12" s="0" t="n">
        <v>2000</v>
      </c>
      <c r="B12" s="0" t="n">
        <v>10684</v>
      </c>
      <c r="C12" s="0" t="n">
        <v>5102</v>
      </c>
      <c r="D12" s="0" t="n">
        <v>4721</v>
      </c>
      <c r="E12" s="0" t="n">
        <v>3269</v>
      </c>
      <c r="F12" s="0" t="n">
        <v>2384</v>
      </c>
      <c r="G12" s="0" t="n">
        <v>1934</v>
      </c>
    </row>
    <row r="13">
      <c r="A13" s="0" t="n">
        <v>2001</v>
      </c>
      <c r="B13" s="0" t="n">
        <v>11580</v>
      </c>
      <c r="C13" s="0" t="n">
        <v>5603</v>
      </c>
      <c r="D13" s="0" t="n">
        <v>5158</v>
      </c>
      <c r="E13" s="0" t="n">
        <v>3574</v>
      </c>
      <c r="F13" s="0" t="n">
        <v>2653</v>
      </c>
      <c r="G13" s="0" t="n">
        <v>2135</v>
      </c>
    </row>
    <row r="14">
      <c r="A14" s="0" t="n">
        <v>2002</v>
      </c>
      <c r="B14" s="0" t="n">
        <v>11717</v>
      </c>
      <c r="C14" s="0" t="n">
        <v>5900</v>
      </c>
      <c r="D14" s="0" t="n">
        <v>5424</v>
      </c>
      <c r="E14" s="0" t="n">
        <v>3781</v>
      </c>
      <c r="F14" s="0" t="n">
        <v>2823</v>
      </c>
      <c r="G14" s="0" t="n">
        <v>2307</v>
      </c>
    </row>
    <row r="15">
      <c r="A15" s="0" t="n">
        <v>2003</v>
      </c>
      <c r="B15" s="0" t="n">
        <v>12990</v>
      </c>
      <c r="C15" s="0" t="n">
        <v>6740</v>
      </c>
      <c r="D15" s="0" t="n">
        <v>6182</v>
      </c>
      <c r="E15" s="0" t="n">
        <v>4296</v>
      </c>
      <c r="F15" s="0" t="n">
        <v>3214</v>
      </c>
      <c r="G15" s="0" t="n">
        <v>2609</v>
      </c>
    </row>
    <row r="16">
      <c r="A16" s="0" t="n">
        <v>2004</v>
      </c>
      <c r="B16" s="0" t="n">
        <v>14793</v>
      </c>
      <c r="C16" s="0" t="n">
        <v>7545</v>
      </c>
      <c r="D16" s="0" t="n">
        <v>6907</v>
      </c>
      <c r="E16" s="0" t="n">
        <v>4820</v>
      </c>
      <c r="F16" s="0" t="n">
        <v>3587</v>
      </c>
      <c r="G16" s="0" t="n">
        <v>2896</v>
      </c>
    </row>
    <row r="17">
      <c r="A17" s="0" t="n">
        <v>2005</v>
      </c>
      <c r="B17" s="0" t="n">
        <v>15867</v>
      </c>
      <c r="C17" s="0" t="n">
        <v>8411</v>
      </c>
      <c r="D17" s="0" t="n">
        <v>7659</v>
      </c>
      <c r="E17" s="0" t="n">
        <v>5390</v>
      </c>
      <c r="F17" s="0" t="n">
        <v>4001</v>
      </c>
      <c r="G17" s="0" t="n">
        <v>3301</v>
      </c>
    </row>
    <row r="18">
      <c r="A18" s="0" t="n">
        <v>2006</v>
      </c>
      <c r="B18" s="0" t="n">
        <v>16986</v>
      </c>
      <c r="C18" s="0" t="n">
        <v>8957</v>
      </c>
      <c r="D18" s="0" t="n">
        <v>8166</v>
      </c>
      <c r="E18" s="0" t="n">
        <v>5663</v>
      </c>
      <c r="F18" s="0" t="n">
        <v>4185</v>
      </c>
      <c r="G18" s="0" t="n">
        <v>3430</v>
      </c>
    </row>
    <row r="19">
      <c r="A19" s="0" t="n">
        <v>2007</v>
      </c>
      <c r="B19" s="0" t="n">
        <v>18676</v>
      </c>
      <c r="C19" s="0" t="n">
        <v>9806</v>
      </c>
      <c r="D19" s="0" t="n">
        <v>8923</v>
      </c>
      <c r="E19" s="0" t="n">
        <v>6199</v>
      </c>
      <c r="F19" s="0" t="n">
        <v>4644</v>
      </c>
      <c r="G19" s="0" t="n">
        <v>3841</v>
      </c>
    </row>
    <row r="20">
      <c r="A20" s="0" t="n">
        <v>2008</v>
      </c>
      <c r="B20" s="0" t="n">
        <v>19216</v>
      </c>
      <c r="C20" s="0" t="n">
        <v>10197</v>
      </c>
      <c r="D20" s="0" t="n">
        <v>9263</v>
      </c>
      <c r="E20" s="0" t="n">
        <v>6485</v>
      </c>
      <c r="F20" s="0" t="n">
        <v>4941</v>
      </c>
      <c r="G20" s="0" t="n">
        <v>4079</v>
      </c>
    </row>
    <row r="21">
      <c r="A21" s="0" t="n">
        <v>2009</v>
      </c>
      <c r="B21" s="0" t="n">
        <v>20310</v>
      </c>
      <c r="C21" s="0" t="n">
        <v>10924</v>
      </c>
      <c r="D21" s="0" t="n">
        <v>9929</v>
      </c>
      <c r="E21" s="0" t="n">
        <v>6954</v>
      </c>
      <c r="F21" s="0" t="n">
        <v>5251</v>
      </c>
      <c r="G21" s="0" t="n">
        <v>4298</v>
      </c>
    </row>
    <row r="22">
      <c r="A22" s="0" t="n">
        <v>2010</v>
      </c>
      <c r="B22" s="0" t="n">
        <v>22206</v>
      </c>
      <c r="C22" s="0" t="n">
        <v>11731</v>
      </c>
      <c r="D22" s="0" t="n">
        <v>10619</v>
      </c>
      <c r="E22" s="0" t="n">
        <v>7330</v>
      </c>
      <c r="F22" s="0" t="n">
        <v>5520</v>
      </c>
      <c r="G22" s="0" t="n">
        <v>4548</v>
      </c>
    </row>
    <row r="23">
      <c r="A23" s="0" t="n">
        <v>2011</v>
      </c>
      <c r="B23" s="0" t="n">
        <v>24998</v>
      </c>
      <c r="C23" s="0" t="n">
        <v>12904</v>
      </c>
      <c r="D23" s="0" t="n">
        <v>11721</v>
      </c>
      <c r="E23" s="0" t="n">
        <v>8194</v>
      </c>
      <c r="F23" s="0" t="n">
        <v>6231</v>
      </c>
      <c r="G23" s="0" t="n">
        <v>5135</v>
      </c>
    </row>
    <row r="24">
      <c r="A24" s="0" t="n">
        <v>2012</v>
      </c>
      <c r="B24" s="0" t="n">
        <v>27142</v>
      </c>
      <c r="C24" s="0" t="n">
        <v>14212</v>
      </c>
      <c r="D24" s="0" t="n">
        <v>12889</v>
      </c>
      <c r="E24" s="0" t="n">
        <v>8997</v>
      </c>
      <c r="F24" s="0" t="n">
        <v>6891</v>
      </c>
      <c r="G24" s="0" t="n">
        <v>5692</v>
      </c>
    </row>
    <row r="25">
      <c r="A25" s="0" t="n">
        <v>2013</v>
      </c>
      <c r="B25" s="0" t="n">
        <v>29398</v>
      </c>
      <c r="C25" s="0" t="n">
        <v>15050</v>
      </c>
      <c r="D25" s="0" t="n">
        <v>13591</v>
      </c>
      <c r="E25" s="0" t="n">
        <v>9411</v>
      </c>
      <c r="F25" s="0" t="n">
        <v>7252</v>
      </c>
      <c r="G25" s="0" t="n">
        <v>5942</v>
      </c>
    </row>
    <row r="26">
      <c r="A26" s="0" t="n">
        <v>2014</v>
      </c>
      <c r="B26" s="0" t="n">
        <v>29674</v>
      </c>
      <c r="C26" s="0" t="n">
        <v>15445</v>
      </c>
      <c r="D26" s="0" t="n">
        <v>13930</v>
      </c>
      <c r="E26" s="0" t="n">
        <v>9656</v>
      </c>
      <c r="F26" s="0" t="n">
        <v>7413</v>
      </c>
      <c r="G26" s="0" t="n">
        <v>6065</v>
      </c>
    </row>
    <row r="27">
      <c r="A27" s="0" t="n">
        <v>2015</v>
      </c>
      <c r="B27" s="0" t="n">
        <v>29395</v>
      </c>
      <c r="C27" s="0" t="n">
        <v>15469</v>
      </c>
      <c r="D27" s="0" t="n">
        <v>13884</v>
      </c>
      <c r="E27" s="0" t="n">
        <v>9623</v>
      </c>
      <c r="F27" s="0" t="n">
        <v>7447</v>
      </c>
      <c r="G27" s="0" t="n">
        <v>6094</v>
      </c>
    </row>
    <row r="28">
      <c r="A28" s="0" t="n">
        <v>2016</v>
      </c>
      <c r="B28" s="0" t="n">
        <v>28269</v>
      </c>
      <c r="C28" s="0" t="n">
        <v>14963</v>
      </c>
      <c r="D28" s="0" t="n">
        <v>13385</v>
      </c>
      <c r="E28" s="0" t="n">
        <v>9309</v>
      </c>
      <c r="F28" s="0" t="n">
        <v>7245</v>
      </c>
      <c r="G28" s="0" t="n">
        <v>5953</v>
      </c>
    </row>
    <row r="29">
      <c r="A29" s="0" t="n">
        <v>2017</v>
      </c>
      <c r="B29" s="0" t="n">
        <v>28112</v>
      </c>
      <c r="C29" s="0" t="n">
        <v>15028</v>
      </c>
      <c r="D29" s="0" t="n">
        <v>13406</v>
      </c>
      <c r="E29" s="0" t="n">
        <v>9296</v>
      </c>
      <c r="F29" s="0" t="n">
        <v>7207</v>
      </c>
      <c r="G29" s="0" t="n">
        <v>5984</v>
      </c>
    </row>
    <row r="30">
      <c r="A30" s="0" t="n">
        <v>2018</v>
      </c>
      <c r="B30" s="0" t="n">
        <v>26683</v>
      </c>
      <c r="C30" s="0" t="n">
        <v>14714</v>
      </c>
      <c r="D30" s="0" t="n">
        <v>13074</v>
      </c>
      <c r="E30" s="0" t="n">
        <v>9098</v>
      </c>
      <c r="F30" s="0" t="n">
        <v>7137</v>
      </c>
      <c r="G30" s="0" t="n">
        <v>5865</v>
      </c>
    </row>
    <row r="31">
      <c r="A31" s="0" t="n">
        <v>2019</v>
      </c>
      <c r="B31" s="0" t="n">
        <v>26493</v>
      </c>
      <c r="C31" s="0" t="n">
        <v>14642</v>
      </c>
      <c r="D31" s="0" t="n">
        <v>12997</v>
      </c>
      <c r="E31" s="0" t="n">
        <v>9062</v>
      </c>
      <c r="F31" s="0" t="n">
        <v>7142</v>
      </c>
      <c r="G31" s="0" t="n">
        <v>5945</v>
      </c>
    </row>
    <row r="32">
      <c r="A32" s="0" t="n">
        <v>2020</v>
      </c>
      <c r="B32" s="0" t="n">
        <v>28524</v>
      </c>
      <c r="C32" s="0" t="n">
        <v>15990</v>
      </c>
      <c r="D32" s="0" t="n">
        <v>14091</v>
      </c>
      <c r="E32" s="0" t="n">
        <v>9834</v>
      </c>
      <c r="F32" s="0" t="n">
        <v>7757</v>
      </c>
      <c r="G32" s="0" t="n">
        <v>6393</v>
      </c>
    </row>
    <row r="33">
      <c r="A33" s="0" t="n">
        <v>2021</v>
      </c>
      <c r="B33" s="0" t="n">
        <v>29569</v>
      </c>
      <c r="C33" s="0" t="n">
        <v>16539</v>
      </c>
      <c r="D33" s="0" t="n">
        <v>14583</v>
      </c>
      <c r="E33" s="0" t="n">
        <v>10051</v>
      </c>
      <c r="F33" s="0" t="n">
        <v>7994</v>
      </c>
      <c r="G33" s="0" t="n">
        <v>6634</v>
      </c>
    </row>
    <row r="34">
      <c r="A34" s="0" t="n">
        <v>2022</v>
      </c>
      <c r="B34" s="0" t="n">
        <v>28591</v>
      </c>
      <c r="C34" s="0" t="n">
        <v>15884</v>
      </c>
      <c r="D34" s="0" t="n">
        <v>14004</v>
      </c>
      <c r="E34" s="0" t="n">
        <v>9545</v>
      </c>
      <c r="F34" s="0" t="n">
        <v>7689</v>
      </c>
      <c r="G34" s="0" t="n">
        <v>6448</v>
      </c>
    </row>
    <row r="35">
      <c r="A35" s="0" t="n">
        <v>2023</v>
      </c>
      <c r="B35" s="0" t="n">
        <v>25344</v>
      </c>
      <c r="C35" s="0" t="n">
        <v>14066</v>
      </c>
      <c r="D35" s="0" t="n">
        <v>12372</v>
      </c>
      <c r="E35" s="0" t="n">
        <v>8498</v>
      </c>
      <c r="F35" s="0" t="n">
        <v>6970</v>
      </c>
      <c r="G35" s="0" t="n">
        <v>5758</v>
      </c>
    </row>
    <row r="36">
      <c r="A36" s="0" t="n">
        <v>2024</v>
      </c>
      <c r="B36" s="0" t="n">
        <v>27230</v>
      </c>
      <c r="C36" s="0" t="n">
        <v>15733</v>
      </c>
      <c r="D36" s="0" t="n">
        <v>13992</v>
      </c>
      <c r="E36" s="0" t="n">
        <v>9619</v>
      </c>
      <c r="F36" s="0" t="n">
        <v>7908</v>
      </c>
      <c r="G36" s="0" t="n">
        <v>6617</v>
      </c>
    </row>
    <row r="37">
      <c r="A37" s="0" t="n">
        <v>2025</v>
      </c>
      <c r="B37" s="0" t="n">
        <v>17160</v>
      </c>
      <c r="C37" s="0" t="n">
        <v>10002</v>
      </c>
      <c r="D37" s="0" t="n">
        <v>8882</v>
      </c>
      <c r="E37" s="0" t="n">
        <v>6166</v>
      </c>
      <c r="F37" s="0" t="n">
        <v>5059</v>
      </c>
      <c r="G37" s="0" t="n">
        <v>4285</v>
      </c>
    </row>
    <row r="38">
      <c r="A38" s="0" t="inlineStr">
        <is>
          <t>SUM</t>
        </is>
      </c>
      <c r="B38" s="0">
        <f>SUM(B2:B37)</f>
        <v/>
      </c>
      <c r="C38" s="0">
        <f>SUM(C2:C37)</f>
        <v/>
      </c>
      <c r="D38" s="0">
        <f>SUM(D2:D37)</f>
        <v/>
      </c>
      <c r="E38" s="0">
        <f>SUM(E2:E37)</f>
        <v/>
      </c>
      <c r="F38" s="0">
        <f>SUM(F2:F37)</f>
        <v/>
      </c>
      <c r="G38" s="0">
        <f>SUM(G2:G37)</f>
        <v/>
      </c>
    </row>
    <row r="39">
      <c r="A39" s="0" t="inlineStr">
        <is>
          <t>MAX</t>
        </is>
      </c>
      <c r="B39" s="0">
        <f>MAX(B2:B37)</f>
        <v/>
      </c>
      <c r="C39" s="0">
        <f>MAX(C2:C37)</f>
        <v/>
      </c>
      <c r="D39" s="0">
        <f>MAX(D2:D37)</f>
        <v/>
      </c>
      <c r="E39" s="0">
        <f>MAX(E2:E37)</f>
        <v/>
      </c>
      <c r="F39" s="0">
        <f>MAX(F2:F37)</f>
        <v/>
      </c>
      <c r="G39" s="0">
        <f>MAX(G2:G37)</f>
        <v/>
      </c>
    </row>
    <row r="40">
      <c r="A40" s="0" t="inlineStr">
        <is>
          <t>MIN</t>
        </is>
      </c>
      <c r="B40" s="0">
        <f>MIN(B2:B37)</f>
        <v/>
      </c>
      <c r="C40" s="0">
        <f>MIN(C2:C37)</f>
        <v/>
      </c>
      <c r="D40" s="0">
        <f>MIN(D2:D37)</f>
        <v/>
      </c>
      <c r="E40" s="0">
        <f>MIN(E2:E37)</f>
        <v/>
      </c>
      <c r="F40" s="0">
        <f>MIN(F2:F37)</f>
        <v/>
      </c>
      <c r="G40" s="0">
        <f>MIN(G2:G37)</f>
        <v/>
      </c>
    </row>
  </sheetData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I37" sqref="I37"/>
    </sheetView>
  </sheetViews>
  <sheetFormatPr baseColWidth="10" defaultColWidth="11.5" defaultRowHeight="16"/>
  <sheetData>
    <row r="1">
      <c r="A1" s="0" t="inlineStr">
        <is>
          <t>Year</t>
        </is>
      </c>
      <c r="B1" s="0" t="inlineStr">
        <is>
          <t>Total article count</t>
        </is>
      </c>
      <c r="C1" s="0" t="inlineStr">
        <is>
          <t>HasPvalue</t>
        </is>
      </c>
      <c r="D1" s="0" t="inlineStr">
        <is>
          <t>Pvalue0.05</t>
        </is>
      </c>
      <c r="E1" s="0" t="inlineStr">
        <is>
          <t>Pvalue0.01</t>
        </is>
      </c>
      <c r="F1" s="0" t="inlineStr">
        <is>
          <t>Pvalue0.005</t>
        </is>
      </c>
      <c r="G1" s="0" t="inlineStr">
        <is>
          <t>Pvalue0.001</t>
        </is>
      </c>
    </row>
    <row r="2">
      <c r="A2" s="0" t="n">
        <v>1990</v>
      </c>
      <c r="B2" s="0" t="n">
        <v>4068</v>
      </c>
      <c r="C2" s="0" t="n">
        <v>746</v>
      </c>
      <c r="D2" s="0" t="n">
        <v>731</v>
      </c>
      <c r="E2" s="0" t="n">
        <v>519</v>
      </c>
      <c r="F2" s="0" t="n">
        <v>351</v>
      </c>
      <c r="G2" s="0" t="n">
        <v>295</v>
      </c>
    </row>
    <row r="3">
      <c r="A3" s="0" t="n">
        <v>1991</v>
      </c>
      <c r="B3" s="0" t="n">
        <v>4160</v>
      </c>
      <c r="C3" s="0" t="n">
        <v>857</v>
      </c>
      <c r="D3" s="0" t="n">
        <v>842</v>
      </c>
      <c r="E3" s="0" t="n">
        <v>634</v>
      </c>
      <c r="F3" s="0" t="n">
        <v>436</v>
      </c>
      <c r="G3" s="0" t="n">
        <v>377</v>
      </c>
    </row>
    <row r="4">
      <c r="A4" s="0" t="n">
        <v>1992</v>
      </c>
      <c r="B4" s="0" t="n">
        <v>3780</v>
      </c>
      <c r="C4" s="0" t="n">
        <v>783</v>
      </c>
      <c r="D4" s="0" t="n">
        <v>761</v>
      </c>
      <c r="E4" s="0" t="n">
        <v>549</v>
      </c>
      <c r="F4" s="0" t="n">
        <v>381</v>
      </c>
      <c r="G4" s="0" t="n">
        <v>309</v>
      </c>
    </row>
    <row r="5">
      <c r="A5" s="0" t="n">
        <v>1993</v>
      </c>
      <c r="B5" s="0" t="n">
        <v>3701</v>
      </c>
      <c r="C5" s="0" t="n">
        <v>864</v>
      </c>
      <c r="D5" s="0" t="n">
        <v>829</v>
      </c>
      <c r="E5" s="0" t="n">
        <v>594</v>
      </c>
      <c r="F5" s="0" t="n">
        <v>430</v>
      </c>
      <c r="G5" s="0" t="n">
        <v>333</v>
      </c>
    </row>
    <row r="6">
      <c r="A6" s="0" t="n">
        <v>1994</v>
      </c>
      <c r="B6" s="0" t="n">
        <v>8513</v>
      </c>
      <c r="C6" s="0" t="n">
        <v>2145</v>
      </c>
      <c r="D6" s="0" t="n">
        <v>2067</v>
      </c>
      <c r="E6" s="0" t="n">
        <v>1499</v>
      </c>
      <c r="F6" s="0" t="n">
        <v>1053</v>
      </c>
      <c r="G6" s="0" t="n">
        <v>866</v>
      </c>
    </row>
    <row r="7">
      <c r="A7" s="0" t="n">
        <v>1995</v>
      </c>
      <c r="B7" s="0" t="n">
        <v>9318</v>
      </c>
      <c r="C7" s="0" t="n">
        <v>2290</v>
      </c>
      <c r="D7" s="0" t="n">
        <v>2195</v>
      </c>
      <c r="E7" s="0" t="n">
        <v>1611</v>
      </c>
      <c r="F7" s="0" t="n">
        <v>1153</v>
      </c>
      <c r="G7" s="0" t="n">
        <v>988</v>
      </c>
    </row>
    <row r="8">
      <c r="A8" s="0" t="n">
        <v>1996</v>
      </c>
      <c r="B8" s="0" t="n">
        <v>8830</v>
      </c>
      <c r="C8" s="0" t="n">
        <v>2245</v>
      </c>
      <c r="D8" s="0" t="n">
        <v>2138</v>
      </c>
      <c r="E8" s="0" t="n">
        <v>1545</v>
      </c>
      <c r="F8" s="0" t="n">
        <v>1132</v>
      </c>
      <c r="G8" s="0" t="n">
        <v>926</v>
      </c>
    </row>
    <row r="9">
      <c r="A9" s="0" t="n">
        <v>1997</v>
      </c>
      <c r="B9" s="0" t="n">
        <v>10309</v>
      </c>
      <c r="C9" s="0" t="n">
        <v>2581</v>
      </c>
      <c r="D9" s="0" t="n">
        <v>2473</v>
      </c>
      <c r="E9" s="0" t="n">
        <v>1806</v>
      </c>
      <c r="F9" s="0" t="n">
        <v>1325</v>
      </c>
      <c r="G9" s="0" t="n">
        <v>1102</v>
      </c>
    </row>
    <row r="10">
      <c r="A10" s="0" t="n">
        <v>1998</v>
      </c>
      <c r="B10" s="0" t="n">
        <v>10351</v>
      </c>
      <c r="C10" s="0" t="n">
        <v>2676</v>
      </c>
      <c r="D10" s="0" t="n">
        <v>2563</v>
      </c>
      <c r="E10" s="0" t="n">
        <v>1874</v>
      </c>
      <c r="F10" s="0" t="n">
        <v>1344</v>
      </c>
      <c r="G10" s="0" t="n">
        <v>1136</v>
      </c>
    </row>
    <row r="11">
      <c r="A11" s="0" t="n">
        <v>1999</v>
      </c>
      <c r="B11" s="0" t="n">
        <v>11277</v>
      </c>
      <c r="C11" s="0" t="n">
        <v>3059</v>
      </c>
      <c r="D11" s="0" t="n">
        <v>2935</v>
      </c>
      <c r="E11" s="0" t="n">
        <v>2158</v>
      </c>
      <c r="F11" s="0" t="n">
        <v>1596</v>
      </c>
      <c r="G11" s="0" t="n">
        <v>1321</v>
      </c>
    </row>
    <row r="12">
      <c r="A12" s="0" t="n">
        <v>2000</v>
      </c>
      <c r="B12" s="0" t="n">
        <v>10709</v>
      </c>
      <c r="C12" s="0" t="n">
        <v>3132</v>
      </c>
      <c r="D12" s="0" t="n">
        <v>2990</v>
      </c>
      <c r="E12" s="0" t="n">
        <v>2216</v>
      </c>
      <c r="F12" s="0" t="n">
        <v>1674</v>
      </c>
      <c r="G12" s="0" t="n">
        <v>1384</v>
      </c>
    </row>
    <row r="13">
      <c r="A13" s="0" t="n">
        <v>2001</v>
      </c>
      <c r="B13" s="0" t="n">
        <v>8921</v>
      </c>
      <c r="C13" s="0" t="n">
        <v>2620</v>
      </c>
      <c r="D13" s="0" t="n">
        <v>2523</v>
      </c>
      <c r="E13" s="0" t="n">
        <v>1890</v>
      </c>
      <c r="F13" s="0" t="n">
        <v>1415</v>
      </c>
      <c r="G13" s="0" t="n">
        <v>1140</v>
      </c>
    </row>
    <row r="14">
      <c r="A14" s="0" t="n">
        <v>2002</v>
      </c>
      <c r="B14" s="0" t="n">
        <v>9296</v>
      </c>
      <c r="C14" s="0" t="n">
        <v>2826</v>
      </c>
      <c r="D14" s="0" t="n">
        <v>2677</v>
      </c>
      <c r="E14" s="0" t="n">
        <v>1983</v>
      </c>
      <c r="F14" s="0" t="n">
        <v>1500</v>
      </c>
      <c r="G14" s="0" t="n">
        <v>1254</v>
      </c>
    </row>
    <row r="15">
      <c r="A15" s="0" t="n">
        <v>2003</v>
      </c>
      <c r="B15" s="0" t="n">
        <v>11233</v>
      </c>
      <c r="C15" s="0" t="n">
        <v>3577</v>
      </c>
      <c r="D15" s="0" t="n">
        <v>3417</v>
      </c>
      <c r="E15" s="0" t="n">
        <v>2518</v>
      </c>
      <c r="F15" s="0" t="n">
        <v>1909</v>
      </c>
      <c r="G15" s="0" t="n">
        <v>1597</v>
      </c>
    </row>
    <row r="16">
      <c r="A16" s="0" t="n">
        <v>2004</v>
      </c>
      <c r="B16" s="0" t="n">
        <v>12339</v>
      </c>
      <c r="C16" s="0" t="n">
        <v>3841</v>
      </c>
      <c r="D16" s="0" t="n">
        <v>3655</v>
      </c>
      <c r="E16" s="0" t="n">
        <v>2684</v>
      </c>
      <c r="F16" s="0" t="n">
        <v>2020</v>
      </c>
      <c r="G16" s="0" t="n">
        <v>1673</v>
      </c>
    </row>
    <row r="17">
      <c r="A17" s="0" t="n">
        <v>2005</v>
      </c>
      <c r="B17" s="0" t="n">
        <v>13858</v>
      </c>
      <c r="C17" s="0" t="n">
        <v>4328</v>
      </c>
      <c r="D17" s="0" t="n">
        <v>4102</v>
      </c>
      <c r="E17" s="0" t="n">
        <v>2996</v>
      </c>
      <c r="F17" s="0" t="n">
        <v>2285</v>
      </c>
      <c r="G17" s="0" t="n">
        <v>1896</v>
      </c>
    </row>
    <row r="18">
      <c r="A18" s="0" t="n">
        <v>2006</v>
      </c>
      <c r="B18" s="0" t="n">
        <v>12375</v>
      </c>
      <c r="C18" s="0" t="n">
        <v>4111</v>
      </c>
      <c r="D18" s="0" t="n">
        <v>3866</v>
      </c>
      <c r="E18" s="0" t="n">
        <v>2886</v>
      </c>
      <c r="F18" s="0" t="n">
        <v>2192</v>
      </c>
      <c r="G18" s="0" t="n">
        <v>1815</v>
      </c>
    </row>
    <row r="19">
      <c r="A19" s="0" t="n">
        <v>2007</v>
      </c>
      <c r="B19" s="0" t="n">
        <v>11756</v>
      </c>
      <c r="C19" s="0" t="n">
        <v>4113</v>
      </c>
      <c r="D19" s="0" t="n">
        <v>3853</v>
      </c>
      <c r="E19" s="0" t="n">
        <v>2836</v>
      </c>
      <c r="F19" s="0" t="n">
        <v>2185</v>
      </c>
      <c r="G19" s="0" t="n">
        <v>1789</v>
      </c>
    </row>
    <row r="20">
      <c r="A20" s="0" t="n">
        <v>2008</v>
      </c>
      <c r="B20" s="0" t="n">
        <v>10830</v>
      </c>
      <c r="C20" s="0" t="n">
        <v>3866</v>
      </c>
      <c r="D20" s="0" t="n">
        <v>3627</v>
      </c>
      <c r="E20" s="0" t="n">
        <v>2650</v>
      </c>
      <c r="F20" s="0" t="n">
        <v>2056</v>
      </c>
      <c r="G20" s="0" t="n">
        <v>1707</v>
      </c>
    </row>
    <row r="21">
      <c r="A21" s="0" t="n">
        <v>2009</v>
      </c>
      <c r="B21" s="0" t="n">
        <v>10579</v>
      </c>
      <c r="C21" s="0" t="n">
        <v>3724</v>
      </c>
      <c r="D21" s="0" t="n">
        <v>3495</v>
      </c>
      <c r="E21" s="0" t="n">
        <v>2549</v>
      </c>
      <c r="F21" s="0" t="n">
        <v>2008</v>
      </c>
      <c r="G21" s="0" t="n">
        <v>1661</v>
      </c>
    </row>
    <row r="22">
      <c r="A22" s="0" t="n">
        <v>2010</v>
      </c>
      <c r="B22" s="0" t="n">
        <v>10737</v>
      </c>
      <c r="C22" s="0" t="n">
        <v>3910</v>
      </c>
      <c r="D22" s="0" t="n">
        <v>3698</v>
      </c>
      <c r="E22" s="0" t="n">
        <v>2682</v>
      </c>
      <c r="F22" s="0" t="n">
        <v>2077</v>
      </c>
      <c r="G22" s="0" t="n">
        <v>1739</v>
      </c>
    </row>
    <row r="23">
      <c r="A23" s="0" t="n">
        <v>2011</v>
      </c>
      <c r="B23" s="0" t="n">
        <v>12198</v>
      </c>
      <c r="C23" s="0" t="n">
        <v>4521</v>
      </c>
      <c r="D23" s="0" t="n">
        <v>4267</v>
      </c>
      <c r="E23" s="0" t="n">
        <v>3118</v>
      </c>
      <c r="F23" s="0" t="n">
        <v>2413</v>
      </c>
      <c r="G23" s="0" t="n">
        <v>2025</v>
      </c>
    </row>
    <row r="24">
      <c r="A24" s="0" t="n">
        <v>2012</v>
      </c>
      <c r="B24" s="0" t="n">
        <v>13483</v>
      </c>
      <c r="C24" s="0" t="n">
        <v>5008</v>
      </c>
      <c r="D24" s="0" t="n">
        <v>4697</v>
      </c>
      <c r="E24" s="0" t="n">
        <v>3457</v>
      </c>
      <c r="F24" s="0" t="n">
        <v>2677</v>
      </c>
      <c r="G24" s="0" t="n">
        <v>2253</v>
      </c>
    </row>
    <row r="25">
      <c r="A25" s="0" t="n">
        <v>2013</v>
      </c>
      <c r="B25" s="0" t="n">
        <v>13984</v>
      </c>
      <c r="C25" s="0" t="n">
        <v>5380</v>
      </c>
      <c r="D25" s="0" t="n">
        <v>5071</v>
      </c>
      <c r="E25" s="0" t="n">
        <v>3765</v>
      </c>
      <c r="F25" s="0" t="n">
        <v>2978</v>
      </c>
      <c r="G25" s="0" t="n">
        <v>2489</v>
      </c>
    </row>
    <row r="26">
      <c r="A26" s="0" t="n">
        <v>2014</v>
      </c>
      <c r="B26" s="0" t="n">
        <v>12927</v>
      </c>
      <c r="C26" s="0" t="n">
        <v>4993</v>
      </c>
      <c r="D26" s="0" t="n">
        <v>4720</v>
      </c>
      <c r="E26" s="0" t="n">
        <v>3508</v>
      </c>
      <c r="F26" s="0" t="n">
        <v>2806</v>
      </c>
      <c r="G26" s="0" t="n">
        <v>2353</v>
      </c>
    </row>
    <row r="27">
      <c r="A27" s="0" t="n">
        <v>2015</v>
      </c>
      <c r="B27" s="0" t="n">
        <v>11502</v>
      </c>
      <c r="C27" s="0" t="n">
        <v>4590</v>
      </c>
      <c r="D27" s="0" t="n">
        <v>4329</v>
      </c>
      <c r="E27" s="0" t="n">
        <v>3258</v>
      </c>
      <c r="F27" s="0" t="n">
        <v>2612</v>
      </c>
      <c r="G27" s="0" t="n">
        <v>2211</v>
      </c>
    </row>
    <row r="28">
      <c r="A28" s="0" t="n">
        <v>2016</v>
      </c>
      <c r="B28" s="0" t="n">
        <v>9988</v>
      </c>
      <c r="C28" s="0" t="n">
        <v>4000</v>
      </c>
      <c r="D28" s="0" t="n">
        <v>3772</v>
      </c>
      <c r="E28" s="0" t="n">
        <v>2818</v>
      </c>
      <c r="F28" s="0" t="n">
        <v>2261</v>
      </c>
      <c r="G28" s="0" t="n">
        <v>1894</v>
      </c>
    </row>
    <row r="29">
      <c r="A29" s="0" t="n">
        <v>2017</v>
      </c>
      <c r="B29" s="0" t="n">
        <v>9482</v>
      </c>
      <c r="C29" s="0" t="n">
        <v>3747</v>
      </c>
      <c r="D29" s="0" t="n">
        <v>3505</v>
      </c>
      <c r="E29" s="0" t="n">
        <v>2580</v>
      </c>
      <c r="F29" s="0" t="n">
        <v>2103</v>
      </c>
      <c r="G29" s="0" t="n">
        <v>1722</v>
      </c>
    </row>
    <row r="30">
      <c r="A30" s="0" t="n">
        <v>2018</v>
      </c>
      <c r="B30" s="0" t="n">
        <v>9557</v>
      </c>
      <c r="C30" s="0" t="n">
        <v>3708</v>
      </c>
      <c r="D30" s="0" t="n">
        <v>3469</v>
      </c>
      <c r="E30" s="0" t="n">
        <v>2607</v>
      </c>
      <c r="F30" s="0" t="n">
        <v>2109</v>
      </c>
      <c r="G30" s="0" t="n">
        <v>1746</v>
      </c>
    </row>
    <row r="31">
      <c r="A31" s="0" t="n">
        <v>2019</v>
      </c>
      <c r="B31" s="0" t="n">
        <v>9701</v>
      </c>
      <c r="C31" s="0" t="n">
        <v>3660</v>
      </c>
      <c r="D31" s="0" t="n">
        <v>3444</v>
      </c>
      <c r="E31" s="0" t="n">
        <v>2579</v>
      </c>
      <c r="F31" s="0" t="n">
        <v>2078</v>
      </c>
      <c r="G31" s="0" t="n">
        <v>1725</v>
      </c>
    </row>
    <row r="32">
      <c r="A32" s="0" t="n">
        <v>2020</v>
      </c>
      <c r="B32" s="0" t="n">
        <v>8039</v>
      </c>
      <c r="C32" s="0" t="n">
        <v>2855</v>
      </c>
      <c r="D32" s="0" t="n">
        <v>2714</v>
      </c>
      <c r="E32" s="0" t="n">
        <v>2012</v>
      </c>
      <c r="F32" s="0" t="n">
        <v>1624</v>
      </c>
      <c r="G32" s="0" t="n">
        <v>1348</v>
      </c>
    </row>
    <row r="33">
      <c r="A33" s="0" t="n">
        <v>2021</v>
      </c>
      <c r="B33" s="0" t="n">
        <v>7713</v>
      </c>
      <c r="C33" s="0" t="n">
        <v>2678</v>
      </c>
      <c r="D33" s="0" t="n">
        <v>2510</v>
      </c>
      <c r="E33" s="0" t="n">
        <v>1881</v>
      </c>
      <c r="F33" s="0" t="n">
        <v>1530</v>
      </c>
      <c r="G33" s="0" t="n">
        <v>1268</v>
      </c>
    </row>
    <row r="34">
      <c r="A34" s="0" t="n">
        <v>2022</v>
      </c>
      <c r="B34" s="0" t="n">
        <v>5699</v>
      </c>
      <c r="C34" s="0" t="n">
        <v>2016</v>
      </c>
      <c r="D34" s="0" t="n">
        <v>1888</v>
      </c>
      <c r="E34" s="0" t="n">
        <v>1419</v>
      </c>
      <c r="F34" s="0" t="n">
        <v>1209</v>
      </c>
      <c r="G34" s="0" t="n">
        <v>1016</v>
      </c>
    </row>
    <row r="35">
      <c r="A35" s="0" t="n">
        <v>2023</v>
      </c>
      <c r="B35" s="0" t="n">
        <v>4691</v>
      </c>
      <c r="C35" s="0" t="n">
        <v>1640</v>
      </c>
      <c r="D35" s="0" t="n">
        <v>1534</v>
      </c>
      <c r="E35" s="0" t="n">
        <v>1150</v>
      </c>
      <c r="F35" s="0" t="n">
        <v>954</v>
      </c>
      <c r="G35" s="0" t="n">
        <v>789</v>
      </c>
    </row>
    <row r="36">
      <c r="A36" s="0" t="n">
        <v>2024</v>
      </c>
      <c r="B36" s="0" t="n">
        <v>4351</v>
      </c>
      <c r="C36" s="0" t="n">
        <v>1351</v>
      </c>
      <c r="D36" s="0" t="n">
        <v>1247</v>
      </c>
      <c r="E36" s="0" t="n">
        <v>920</v>
      </c>
      <c r="F36" s="0" t="n">
        <v>774</v>
      </c>
      <c r="G36" s="0" t="n">
        <v>638</v>
      </c>
    </row>
    <row r="37">
      <c r="A37" s="0" t="n">
        <v>2025</v>
      </c>
      <c r="B37" s="0" t="n">
        <v>2848</v>
      </c>
      <c r="C37" s="0" t="n">
        <v>869</v>
      </c>
      <c r="D37" s="0" t="n">
        <v>830</v>
      </c>
      <c r="E37" s="0" t="n">
        <v>614</v>
      </c>
      <c r="F37" s="0" t="n">
        <v>517</v>
      </c>
      <c r="G37" s="0" t="n">
        <v>442</v>
      </c>
    </row>
    <row r="38">
      <c r="A38" s="0" t="inlineStr">
        <is>
          <t>SUM</t>
        </is>
      </c>
      <c r="B38" s="0">
        <f>SUM(B2:B37)</f>
        <v/>
      </c>
      <c r="C38" s="0">
        <f>SUM(C2:C37)</f>
        <v/>
      </c>
      <c r="D38" s="0">
        <f>SUM(D2:D37)</f>
        <v/>
      </c>
      <c r="E38" s="0">
        <f>SUM(E2:E37)</f>
        <v/>
      </c>
      <c r="F38" s="0">
        <f>SUM(F2:F37)</f>
        <v/>
      </c>
      <c r="G38" s="0">
        <f>SUM(G2:G37)</f>
        <v/>
      </c>
    </row>
    <row r="39">
      <c r="A39" s="0" t="inlineStr">
        <is>
          <t>MAX</t>
        </is>
      </c>
      <c r="B39" s="0">
        <f>MAX(B2:B37)</f>
        <v/>
      </c>
      <c r="C39" s="0">
        <f>MAX(C2:C37)</f>
        <v/>
      </c>
      <c r="D39" s="0">
        <f>MAX(D2:D37)</f>
        <v/>
      </c>
      <c r="E39" s="0">
        <f>MAX(E2:E37)</f>
        <v/>
      </c>
      <c r="F39" s="0">
        <f>MAX(F2:F37)</f>
        <v/>
      </c>
      <c r="G39" s="0">
        <f>MAX(G2:G37)</f>
        <v/>
      </c>
    </row>
    <row r="40">
      <c r="A40" s="0" t="inlineStr">
        <is>
          <t>MIN</t>
        </is>
      </c>
      <c r="B40" s="0">
        <f>MIN(B2:B37)</f>
        <v/>
      </c>
      <c r="C40" s="0">
        <f>MIN(C2:C37)</f>
        <v/>
      </c>
      <c r="D40" s="0">
        <f>MIN(D2:D37)</f>
        <v/>
      </c>
      <c r="E40" s="0">
        <f>MIN(E2:E37)</f>
        <v/>
      </c>
      <c r="F40" s="0">
        <f>MIN(F2:F37)</f>
        <v/>
      </c>
      <c r="G40" s="0">
        <f>MIN(G2:G37)</f>
        <v/>
      </c>
    </row>
  </sheetData>
  <pageMargins left="0.7" right="0.7" top="0.75" bottom="0.75" header="0.3" footer="0.3"/>
  <pageSetup orientation="portrait" paperSize="9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topLeftCell="A2" workbookViewId="0">
      <selection activeCell="G23" sqref="G23"/>
    </sheetView>
  </sheetViews>
  <sheetFormatPr baseColWidth="10" defaultColWidth="11.5" defaultRowHeight="16"/>
  <sheetData>
    <row r="1">
      <c r="A1" s="0" t="inlineStr">
        <is>
          <t>Year</t>
        </is>
      </c>
      <c r="B1" s="0" t="inlineStr">
        <is>
          <t>Total article count</t>
        </is>
      </c>
      <c r="C1" s="0" t="inlineStr">
        <is>
          <t>HasPvalue</t>
        </is>
      </c>
      <c r="D1" s="0" t="inlineStr">
        <is>
          <t>Pvalue0.05</t>
        </is>
      </c>
      <c r="E1" s="0" t="inlineStr">
        <is>
          <t>Pvalue0.01</t>
        </is>
      </c>
      <c r="F1" s="0" t="inlineStr">
        <is>
          <t>Pvalue0.005</t>
        </is>
      </c>
      <c r="G1" s="0" t="inlineStr">
        <is>
          <t>Pvalue0.001</t>
        </is>
      </c>
    </row>
    <row r="2">
      <c r="A2" s="0" t="n">
        <v>1990</v>
      </c>
      <c r="B2" s="0" t="n">
        <v>214</v>
      </c>
      <c r="C2" s="0" t="n">
        <v>30</v>
      </c>
      <c r="D2" s="0" t="n">
        <v>27</v>
      </c>
      <c r="E2" s="0" t="n">
        <v>21</v>
      </c>
      <c r="F2" s="0" t="n">
        <v>17</v>
      </c>
      <c r="G2" s="0" t="n">
        <v>11</v>
      </c>
    </row>
    <row r="3">
      <c r="A3" s="0" t="n">
        <v>1991</v>
      </c>
      <c r="B3" s="0" t="n">
        <v>268</v>
      </c>
      <c r="C3" s="0" t="n">
        <v>35</v>
      </c>
      <c r="D3" s="0" t="n">
        <v>31</v>
      </c>
      <c r="E3" s="0" t="n">
        <v>26</v>
      </c>
      <c r="F3" s="0" t="n">
        <v>19</v>
      </c>
      <c r="G3" s="0" t="n">
        <v>18</v>
      </c>
    </row>
    <row r="4">
      <c r="A4" s="0" t="n">
        <v>1992</v>
      </c>
      <c r="B4" s="0" t="n">
        <v>304</v>
      </c>
      <c r="C4" s="0" t="n">
        <v>41</v>
      </c>
      <c r="D4" s="0" t="n">
        <v>36</v>
      </c>
      <c r="E4" s="0" t="n">
        <v>30</v>
      </c>
      <c r="F4" s="0" t="n">
        <v>26</v>
      </c>
      <c r="G4" s="0" t="n">
        <v>22</v>
      </c>
    </row>
    <row r="5">
      <c r="A5" s="0" t="n">
        <v>1993</v>
      </c>
      <c r="B5" s="0" t="n">
        <v>274</v>
      </c>
      <c r="C5" s="0" t="n">
        <v>59</v>
      </c>
      <c r="D5" s="0" t="n">
        <v>57</v>
      </c>
      <c r="E5" s="0" t="n">
        <v>45</v>
      </c>
      <c r="F5" s="0" t="n">
        <v>35</v>
      </c>
      <c r="G5" s="0" t="n">
        <v>31</v>
      </c>
    </row>
    <row r="6">
      <c r="A6" s="0" t="n">
        <v>1994</v>
      </c>
      <c r="B6" s="0" t="n">
        <v>348</v>
      </c>
      <c r="C6" s="0" t="n">
        <v>62</v>
      </c>
      <c r="D6" s="0" t="n">
        <v>57</v>
      </c>
      <c r="E6" s="0" t="n">
        <v>46</v>
      </c>
      <c r="F6" s="0" t="n">
        <v>39</v>
      </c>
      <c r="G6" s="0" t="n">
        <v>35</v>
      </c>
    </row>
    <row r="7">
      <c r="A7" s="0" t="n">
        <v>1995</v>
      </c>
      <c r="B7" s="0" t="n">
        <v>395</v>
      </c>
      <c r="C7" s="0" t="n">
        <v>87</v>
      </c>
      <c r="D7" s="0" t="n">
        <v>78</v>
      </c>
      <c r="E7" s="0" t="n">
        <v>60</v>
      </c>
      <c r="F7" s="0" t="n">
        <v>48</v>
      </c>
      <c r="G7" s="0" t="n">
        <v>37</v>
      </c>
    </row>
    <row r="8">
      <c r="A8" s="0" t="n">
        <v>1996</v>
      </c>
      <c r="B8" s="0" t="n">
        <v>445</v>
      </c>
      <c r="C8" s="0" t="n">
        <v>93</v>
      </c>
      <c r="D8" s="0" t="n">
        <v>86</v>
      </c>
      <c r="E8" s="0" t="n">
        <v>62</v>
      </c>
      <c r="F8" s="0" t="n">
        <v>48</v>
      </c>
      <c r="G8" s="0" t="n">
        <v>42</v>
      </c>
    </row>
    <row r="9">
      <c r="A9" s="0" t="n">
        <v>1997</v>
      </c>
      <c r="B9" s="0" t="n">
        <v>548</v>
      </c>
      <c r="C9" s="0" t="n">
        <v>116</v>
      </c>
      <c r="D9" s="0" t="n">
        <v>107</v>
      </c>
      <c r="E9" s="0" t="n">
        <v>79</v>
      </c>
      <c r="F9" s="0" t="n">
        <v>70</v>
      </c>
      <c r="G9" s="0" t="n">
        <v>58</v>
      </c>
    </row>
    <row r="10">
      <c r="A10" s="0" t="n">
        <v>1998</v>
      </c>
      <c r="B10" s="0" t="n">
        <v>588</v>
      </c>
      <c r="C10" s="0" t="n">
        <v>108</v>
      </c>
      <c r="D10" s="0" t="n">
        <v>93</v>
      </c>
      <c r="E10" s="0" t="n">
        <v>73</v>
      </c>
      <c r="F10" s="0" t="n">
        <v>63</v>
      </c>
      <c r="G10" s="0" t="n">
        <v>57</v>
      </c>
    </row>
    <row r="11">
      <c r="A11" s="0" t="n">
        <v>1999</v>
      </c>
      <c r="B11" s="0" t="n">
        <v>681</v>
      </c>
      <c r="C11" s="0" t="n">
        <v>124</v>
      </c>
      <c r="D11" s="0" t="n">
        <v>119</v>
      </c>
      <c r="E11" s="0" t="n">
        <v>94</v>
      </c>
      <c r="F11" s="0" t="n">
        <v>78</v>
      </c>
      <c r="G11" s="0" t="n">
        <v>72</v>
      </c>
    </row>
    <row r="12">
      <c r="A12" s="0" t="n">
        <v>2000</v>
      </c>
      <c r="B12" s="0" t="n">
        <v>793</v>
      </c>
      <c r="C12" s="0" t="n">
        <v>173</v>
      </c>
      <c r="D12" s="0" t="n">
        <v>158</v>
      </c>
      <c r="E12" s="0" t="n">
        <v>130</v>
      </c>
      <c r="F12" s="0" t="n">
        <v>112</v>
      </c>
      <c r="G12" s="0" t="n">
        <v>94</v>
      </c>
    </row>
    <row r="13">
      <c r="A13" s="0" t="n">
        <v>2001</v>
      </c>
      <c r="B13" s="0" t="n">
        <v>861</v>
      </c>
      <c r="C13" s="0" t="n">
        <v>163</v>
      </c>
      <c r="D13" s="0" t="n">
        <v>139</v>
      </c>
      <c r="E13" s="0" t="n">
        <v>118</v>
      </c>
      <c r="F13" s="0" t="n">
        <v>95</v>
      </c>
      <c r="G13" s="0" t="n">
        <v>85</v>
      </c>
    </row>
    <row r="14">
      <c r="A14" s="0" t="n">
        <v>2002</v>
      </c>
      <c r="B14" s="0" t="n">
        <v>1011</v>
      </c>
      <c r="C14" s="0" t="n">
        <v>209</v>
      </c>
      <c r="D14" s="0" t="n">
        <v>189</v>
      </c>
      <c r="E14" s="0" t="n">
        <v>151</v>
      </c>
      <c r="F14" s="0" t="n">
        <v>126</v>
      </c>
      <c r="G14" s="0" t="n">
        <v>111</v>
      </c>
    </row>
    <row r="15">
      <c r="A15" s="0" t="n">
        <v>2003</v>
      </c>
      <c r="B15" s="0" t="n">
        <v>1234</v>
      </c>
      <c r="C15" s="0" t="n">
        <v>310</v>
      </c>
      <c r="D15" s="0" t="n">
        <v>267</v>
      </c>
      <c r="E15" s="0" t="n">
        <v>205</v>
      </c>
      <c r="F15" s="0" t="n">
        <v>168</v>
      </c>
      <c r="G15" s="0" t="n">
        <v>138</v>
      </c>
    </row>
    <row r="16">
      <c r="A16" s="0" t="n">
        <v>2004</v>
      </c>
      <c r="B16" s="0" t="n">
        <v>1533</v>
      </c>
      <c r="C16" s="0" t="n">
        <v>340</v>
      </c>
      <c r="D16" s="0" t="n">
        <v>286</v>
      </c>
      <c r="E16" s="0" t="n">
        <v>228</v>
      </c>
      <c r="F16" s="0" t="n">
        <v>197</v>
      </c>
      <c r="G16" s="0" t="n">
        <v>156</v>
      </c>
    </row>
    <row r="17">
      <c r="A17" s="0" t="n">
        <v>2005</v>
      </c>
      <c r="B17" s="0" t="n">
        <v>2041</v>
      </c>
      <c r="C17" s="0" t="n">
        <v>485</v>
      </c>
      <c r="D17" s="0" t="n">
        <v>425</v>
      </c>
      <c r="E17" s="0" t="n">
        <v>350</v>
      </c>
      <c r="F17" s="0" t="n">
        <v>300</v>
      </c>
      <c r="G17" s="0" t="n">
        <v>248</v>
      </c>
    </row>
    <row r="18">
      <c r="A18" s="0" t="n">
        <v>2006</v>
      </c>
      <c r="B18" s="0" t="n">
        <v>2432</v>
      </c>
      <c r="C18" s="0" t="n">
        <v>573</v>
      </c>
      <c r="D18" s="0" t="n">
        <v>506</v>
      </c>
      <c r="E18" s="0" t="n">
        <v>402</v>
      </c>
      <c r="F18" s="0" t="n">
        <v>332</v>
      </c>
      <c r="G18" s="0" t="n">
        <v>282</v>
      </c>
    </row>
    <row r="19">
      <c r="A19" s="0" t="n">
        <v>2007</v>
      </c>
      <c r="B19" s="0" t="n">
        <v>2742</v>
      </c>
      <c r="C19" s="0" t="n">
        <v>736</v>
      </c>
      <c r="D19" s="0" t="n">
        <v>643</v>
      </c>
      <c r="E19" s="0" t="n">
        <v>533</v>
      </c>
      <c r="F19" s="0" t="n">
        <v>469</v>
      </c>
      <c r="G19" s="0" t="n">
        <v>404</v>
      </c>
    </row>
    <row r="20">
      <c r="A20" s="0" t="n">
        <v>2008</v>
      </c>
      <c r="B20" s="0" t="n">
        <v>3057</v>
      </c>
      <c r="C20" s="0" t="n">
        <v>855</v>
      </c>
      <c r="D20" s="0" t="n">
        <v>746</v>
      </c>
      <c r="E20" s="0" t="n">
        <v>622</v>
      </c>
      <c r="F20" s="0" t="n">
        <v>534</v>
      </c>
      <c r="G20" s="0" t="n">
        <v>453</v>
      </c>
    </row>
    <row r="21">
      <c r="A21" s="0" t="n">
        <v>2009</v>
      </c>
      <c r="B21" s="0" t="n">
        <v>3648</v>
      </c>
      <c r="C21" s="0" t="n">
        <v>1091</v>
      </c>
      <c r="D21" s="0" t="n">
        <v>961</v>
      </c>
      <c r="E21" s="0" t="n">
        <v>790</v>
      </c>
      <c r="F21" s="0" t="n">
        <v>684</v>
      </c>
      <c r="G21" s="0" t="n">
        <v>576</v>
      </c>
    </row>
    <row r="22">
      <c r="A22" s="0" t="n">
        <v>2010</v>
      </c>
      <c r="B22" s="0" t="n">
        <v>4510</v>
      </c>
      <c r="C22" s="0" t="n">
        <v>1430</v>
      </c>
      <c r="D22" s="0" t="n">
        <v>1247</v>
      </c>
      <c r="E22" s="0" t="n">
        <v>1023</v>
      </c>
      <c r="F22" s="0" t="n">
        <v>879</v>
      </c>
      <c r="G22" s="0" t="n">
        <v>752</v>
      </c>
    </row>
    <row r="23">
      <c r="A23" s="0" t="n">
        <v>2011</v>
      </c>
      <c r="B23" s="0" t="n">
        <v>5800</v>
      </c>
      <c r="C23" s="0" t="n">
        <v>1902</v>
      </c>
      <c r="D23" s="0" t="n">
        <v>1680</v>
      </c>
      <c r="E23" s="0" t="n">
        <v>1383</v>
      </c>
      <c r="F23" s="0" t="n">
        <v>1167</v>
      </c>
      <c r="G23" s="0" t="n">
        <v>1005</v>
      </c>
    </row>
    <row r="24">
      <c r="A24" s="0" t="n">
        <v>2012</v>
      </c>
      <c r="B24" s="0" t="n">
        <v>7729</v>
      </c>
      <c r="C24" s="0" t="n">
        <v>2628</v>
      </c>
      <c r="D24" s="0" t="n">
        <v>2305</v>
      </c>
      <c r="E24" s="0" t="n">
        <v>1910</v>
      </c>
      <c r="F24" s="0" t="n">
        <v>1623</v>
      </c>
      <c r="G24" s="0" t="n">
        <v>1399</v>
      </c>
    </row>
    <row r="25">
      <c r="A25" s="0" t="n">
        <v>2013</v>
      </c>
      <c r="B25" s="0" t="n">
        <v>9546</v>
      </c>
      <c r="C25" s="0" t="n">
        <v>3439</v>
      </c>
      <c r="D25" s="0" t="n">
        <v>3020</v>
      </c>
      <c r="E25" s="0" t="n">
        <v>2499</v>
      </c>
      <c r="F25" s="0" t="n">
        <v>2156</v>
      </c>
      <c r="G25" s="0" t="n">
        <v>1833</v>
      </c>
    </row>
    <row r="26">
      <c r="A26" s="0" t="n">
        <v>2014</v>
      </c>
      <c r="B26" s="0" t="n">
        <v>11132</v>
      </c>
      <c r="C26" s="0" t="n">
        <v>4122</v>
      </c>
      <c r="D26" s="0" t="n">
        <v>3630</v>
      </c>
      <c r="E26" s="0" t="n">
        <v>3018</v>
      </c>
      <c r="F26" s="0" t="n">
        <v>2556</v>
      </c>
      <c r="G26" s="0" t="n">
        <v>2209</v>
      </c>
    </row>
    <row r="27">
      <c r="A27" s="0" t="n">
        <v>2015</v>
      </c>
      <c r="B27" s="0" t="n">
        <v>12379</v>
      </c>
      <c r="C27" s="0" t="n">
        <v>4709</v>
      </c>
      <c r="D27" s="0" t="n">
        <v>4144</v>
      </c>
      <c r="E27" s="0" t="n">
        <v>3469</v>
      </c>
      <c r="F27" s="0" t="n">
        <v>2932</v>
      </c>
      <c r="G27" s="0" t="n">
        <v>2548</v>
      </c>
    </row>
    <row r="28">
      <c r="A28" s="0" t="n">
        <v>2016</v>
      </c>
      <c r="B28" s="0" t="n">
        <v>12998</v>
      </c>
      <c r="C28" s="0" t="n">
        <v>4834</v>
      </c>
      <c r="D28" s="0" t="n">
        <v>4309</v>
      </c>
      <c r="E28" s="0" t="n">
        <v>3633</v>
      </c>
      <c r="F28" s="0" t="n">
        <v>3137</v>
      </c>
      <c r="G28" s="0" t="n">
        <v>2749</v>
      </c>
    </row>
    <row r="29">
      <c r="A29" s="0" t="n">
        <v>2017</v>
      </c>
      <c r="B29" s="0" t="n">
        <v>13709</v>
      </c>
      <c r="C29" s="0" t="n">
        <v>5184</v>
      </c>
      <c r="D29" s="0" t="n">
        <v>4588</v>
      </c>
      <c r="E29" s="0" t="n">
        <v>3864</v>
      </c>
      <c r="F29" s="0" t="n">
        <v>3326</v>
      </c>
      <c r="G29" s="0" t="n">
        <v>2886</v>
      </c>
    </row>
    <row r="30">
      <c r="A30" s="0" t="n">
        <v>2018</v>
      </c>
      <c r="B30" s="0" t="n">
        <v>14548</v>
      </c>
      <c r="C30" s="0" t="n">
        <v>5559</v>
      </c>
      <c r="D30" s="0" t="n">
        <v>4920</v>
      </c>
      <c r="E30" s="0" t="n">
        <v>4052</v>
      </c>
      <c r="F30" s="0" t="n">
        <v>3472</v>
      </c>
      <c r="G30" s="0" t="n">
        <v>3055</v>
      </c>
    </row>
    <row r="31">
      <c r="A31" s="0" t="n">
        <v>2019</v>
      </c>
      <c r="B31" s="0" t="n">
        <v>16283</v>
      </c>
      <c r="C31" s="0" t="n">
        <v>6204</v>
      </c>
      <c r="D31" s="0" t="n">
        <v>5521</v>
      </c>
      <c r="E31" s="0" t="n">
        <v>4597</v>
      </c>
      <c r="F31" s="0" t="n">
        <v>3906</v>
      </c>
      <c r="G31" s="0" t="n">
        <v>3490</v>
      </c>
    </row>
    <row r="32">
      <c r="A32" s="0" t="n">
        <v>2020</v>
      </c>
      <c r="B32" s="0" t="n">
        <v>19660</v>
      </c>
      <c r="C32" s="0" t="n">
        <v>7517</v>
      </c>
      <c r="D32" s="0" t="n">
        <v>6689</v>
      </c>
      <c r="E32" s="0" t="n">
        <v>5598</v>
      </c>
      <c r="F32" s="0" t="n">
        <v>4739</v>
      </c>
      <c r="G32" s="0" t="n">
        <v>4194</v>
      </c>
    </row>
    <row r="33">
      <c r="A33" s="0" t="n">
        <v>2021</v>
      </c>
      <c r="B33" s="0" t="n">
        <v>22723</v>
      </c>
      <c r="C33" s="0" t="n">
        <v>8675</v>
      </c>
      <c r="D33" s="0" t="n">
        <v>7734</v>
      </c>
      <c r="E33" s="0" t="n">
        <v>6457</v>
      </c>
      <c r="F33" s="0" t="n">
        <v>5484</v>
      </c>
      <c r="G33" s="0" t="n">
        <v>4854</v>
      </c>
    </row>
    <row r="34">
      <c r="A34" s="0" t="n">
        <v>2022</v>
      </c>
      <c r="B34" s="0" t="n">
        <v>23300</v>
      </c>
      <c r="C34" s="0" t="n">
        <v>9009</v>
      </c>
      <c r="D34" s="0" t="n">
        <v>8063</v>
      </c>
      <c r="E34" s="0" t="n">
        <v>6711</v>
      </c>
      <c r="F34" s="0" t="n">
        <v>5657</v>
      </c>
      <c r="G34" s="0" t="n">
        <v>5037</v>
      </c>
    </row>
    <row r="35">
      <c r="A35" s="0" t="n">
        <v>2023</v>
      </c>
      <c r="B35" s="0" t="n">
        <v>22483</v>
      </c>
      <c r="C35" s="0" t="n">
        <v>8737</v>
      </c>
      <c r="D35" s="0" t="n">
        <v>7855</v>
      </c>
      <c r="E35" s="0" t="n">
        <v>6546</v>
      </c>
      <c r="F35" s="0" t="n">
        <v>5425</v>
      </c>
      <c r="G35" s="0" t="n">
        <v>4855</v>
      </c>
    </row>
    <row r="36">
      <c r="A36" s="0" t="n">
        <v>2024</v>
      </c>
      <c r="B36" s="0" t="n">
        <v>23544</v>
      </c>
      <c r="C36" s="0" t="n">
        <v>9418</v>
      </c>
      <c r="D36" s="0" t="n">
        <v>8545</v>
      </c>
      <c r="E36" s="0" t="n">
        <v>7165</v>
      </c>
      <c r="F36" s="0" t="n">
        <v>5811</v>
      </c>
      <c r="G36" s="0" t="n">
        <v>5185</v>
      </c>
    </row>
    <row r="37">
      <c r="A37" s="0" t="n">
        <v>2025</v>
      </c>
      <c r="B37" s="0" t="n">
        <v>14518</v>
      </c>
      <c r="C37" s="0" t="n">
        <v>5955</v>
      </c>
      <c r="D37" s="0" t="n">
        <v>5363</v>
      </c>
      <c r="E37" s="0" t="n">
        <v>4462</v>
      </c>
      <c r="F37" s="0" t="n">
        <v>3571</v>
      </c>
      <c r="G37" s="0" t="n">
        <v>3198</v>
      </c>
    </row>
    <row r="38">
      <c r="A38" s="0" t="inlineStr">
        <is>
          <t>SUM</t>
        </is>
      </c>
      <c r="B38" s="0">
        <f>SUM(B2:B37)</f>
        <v/>
      </c>
      <c r="C38" s="0">
        <f>SUM(C2:C37)</f>
        <v/>
      </c>
      <c r="D38" s="0">
        <f>SUM(D2:D37)</f>
        <v/>
      </c>
      <c r="E38" s="0">
        <f>SUM(E2:E37)</f>
        <v/>
      </c>
      <c r="F38" s="0">
        <f>SUM(F2:F37)</f>
        <v/>
      </c>
      <c r="G38" s="0">
        <f>SUM(G2:G37)</f>
        <v/>
      </c>
    </row>
    <row r="39">
      <c r="A39" s="0" t="inlineStr">
        <is>
          <t>MAX</t>
        </is>
      </c>
      <c r="B39" s="0">
        <f>MAX(B2:B37)</f>
        <v/>
      </c>
      <c r="C39" s="0">
        <f>MAX(C2:C37)</f>
        <v/>
      </c>
      <c r="D39" s="0">
        <f>MAX(D2:D37)</f>
        <v/>
      </c>
      <c r="E39" s="0">
        <f>MAX(E2:E37)</f>
        <v/>
      </c>
      <c r="F39" s="0">
        <f>MAX(F2:F37)</f>
        <v/>
      </c>
      <c r="G39" s="0">
        <f>MAX(G2:G37)</f>
        <v/>
      </c>
    </row>
    <row r="40">
      <c r="A40" s="0" t="inlineStr">
        <is>
          <t>MIN</t>
        </is>
      </c>
      <c r="B40" s="0">
        <f>MIN(B2:B37)</f>
        <v/>
      </c>
      <c r="C40" s="0">
        <f>MIN(C2:C37)</f>
        <v/>
      </c>
      <c r="D40" s="0">
        <f>MIN(D2:D37)</f>
        <v/>
      </c>
      <c r="E40" s="0">
        <f>MIN(E2:E37)</f>
        <v/>
      </c>
      <c r="F40" s="0">
        <f>MIN(F2:F37)</f>
        <v/>
      </c>
      <c r="G40" s="0">
        <f>MIN(G2:G37)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I33" sqref="I33"/>
    </sheetView>
  </sheetViews>
  <sheetFormatPr baseColWidth="10" defaultColWidth="11.5" defaultRowHeight="16"/>
  <sheetData>
    <row r="1">
      <c r="A1" s="0" t="inlineStr">
        <is>
          <t>Year</t>
        </is>
      </c>
      <c r="B1" s="0" t="inlineStr">
        <is>
          <t>Total article count</t>
        </is>
      </c>
      <c r="C1" s="0" t="inlineStr">
        <is>
          <t>HasPvalue</t>
        </is>
      </c>
      <c r="D1" s="0" t="inlineStr">
        <is>
          <t>Pvalue0.05</t>
        </is>
      </c>
      <c r="E1" s="0" t="inlineStr">
        <is>
          <t>Pvalue0.01</t>
        </is>
      </c>
      <c r="F1" s="0" t="inlineStr">
        <is>
          <t>Pvalue0.005</t>
        </is>
      </c>
      <c r="G1" s="0" t="inlineStr">
        <is>
          <t>Pvalue0.001</t>
        </is>
      </c>
    </row>
    <row r="2">
      <c r="A2" s="0" t="n">
        <v>1990</v>
      </c>
      <c r="B2" s="0" t="n">
        <v>24277</v>
      </c>
      <c r="C2" s="0" t="n">
        <v>181</v>
      </c>
      <c r="D2" s="0" t="n">
        <v>179</v>
      </c>
      <c r="E2" s="0" t="n">
        <v>130</v>
      </c>
      <c r="F2" s="0" t="n">
        <v>92</v>
      </c>
      <c r="G2" s="0" t="n">
        <v>74</v>
      </c>
    </row>
    <row r="3">
      <c r="A3" s="0" t="n">
        <v>1991</v>
      </c>
      <c r="B3" s="0" t="n">
        <v>26350</v>
      </c>
      <c r="C3" s="0" t="n">
        <v>197</v>
      </c>
      <c r="D3" s="0" t="n">
        <v>192</v>
      </c>
      <c r="E3" s="0" t="n">
        <v>146</v>
      </c>
      <c r="F3" s="0" t="n">
        <v>106</v>
      </c>
      <c r="G3" s="0" t="n">
        <v>87</v>
      </c>
    </row>
    <row r="4">
      <c r="A4" s="0" t="n">
        <v>1992</v>
      </c>
      <c r="B4" s="0" t="n">
        <v>27779</v>
      </c>
      <c r="C4" s="0" t="n">
        <v>220</v>
      </c>
      <c r="D4" s="0" t="n">
        <v>215</v>
      </c>
      <c r="E4" s="0" t="n">
        <v>155</v>
      </c>
      <c r="F4" s="0" t="n">
        <v>115</v>
      </c>
      <c r="G4" s="0" t="n">
        <v>96</v>
      </c>
    </row>
    <row r="5">
      <c r="A5" s="0" t="n">
        <v>1993</v>
      </c>
      <c r="B5" s="0" t="n">
        <v>29002</v>
      </c>
      <c r="C5" s="0" t="n">
        <v>207</v>
      </c>
      <c r="D5" s="0" t="n">
        <v>193</v>
      </c>
      <c r="E5" s="0" t="n">
        <v>133</v>
      </c>
      <c r="F5" s="0" t="n">
        <v>96</v>
      </c>
      <c r="G5" s="0" t="n">
        <v>84</v>
      </c>
    </row>
    <row r="6">
      <c r="A6" s="0" t="n">
        <v>1994</v>
      </c>
      <c r="B6" s="0" t="n">
        <v>30760</v>
      </c>
      <c r="C6" s="0" t="n">
        <v>208</v>
      </c>
      <c r="D6" s="0" t="n">
        <v>195</v>
      </c>
      <c r="E6" s="0" t="n">
        <v>151</v>
      </c>
      <c r="F6" s="0" t="n">
        <v>113</v>
      </c>
      <c r="G6" s="0" t="n">
        <v>94</v>
      </c>
    </row>
    <row r="7">
      <c r="A7" s="0" t="n">
        <v>1995</v>
      </c>
      <c r="B7" s="0" t="n">
        <v>33077</v>
      </c>
      <c r="C7" s="0" t="n">
        <v>258</v>
      </c>
      <c r="D7" s="0" t="n">
        <v>237</v>
      </c>
      <c r="E7" s="0" t="n">
        <v>179</v>
      </c>
      <c r="F7" s="0" t="n">
        <v>131</v>
      </c>
      <c r="G7" s="0" t="n">
        <v>110</v>
      </c>
    </row>
    <row r="8">
      <c r="A8" s="0" t="n">
        <v>1996</v>
      </c>
      <c r="B8" s="0" t="n">
        <v>35582</v>
      </c>
      <c r="C8" s="0" t="n">
        <v>309</v>
      </c>
      <c r="D8" s="0" t="n">
        <v>290</v>
      </c>
      <c r="E8" s="0" t="n">
        <v>211</v>
      </c>
      <c r="F8" s="0" t="n">
        <v>158</v>
      </c>
      <c r="G8" s="0" t="n">
        <v>133</v>
      </c>
    </row>
    <row r="9">
      <c r="A9" s="0" t="n">
        <v>1997</v>
      </c>
      <c r="B9" s="0" t="n">
        <v>37858</v>
      </c>
      <c r="C9" s="0" t="n">
        <v>306</v>
      </c>
      <c r="D9" s="0" t="n">
        <v>290</v>
      </c>
      <c r="E9" s="0" t="n">
        <v>207</v>
      </c>
      <c r="F9" s="0" t="n">
        <v>149</v>
      </c>
      <c r="G9" s="0" t="n">
        <v>119</v>
      </c>
    </row>
    <row r="10">
      <c r="A10" s="0" t="n">
        <v>1998</v>
      </c>
      <c r="B10" s="0" t="n">
        <v>41132</v>
      </c>
      <c r="C10" s="0" t="n">
        <v>299</v>
      </c>
      <c r="D10" s="0" t="n">
        <v>285</v>
      </c>
      <c r="E10" s="0" t="n">
        <v>209</v>
      </c>
      <c r="F10" s="0" t="n">
        <v>166</v>
      </c>
      <c r="G10" s="0" t="n">
        <v>141</v>
      </c>
    </row>
    <row r="11">
      <c r="A11" s="0" t="n">
        <v>1999</v>
      </c>
      <c r="B11" s="0" t="n">
        <v>42494</v>
      </c>
      <c r="C11" s="0" t="n">
        <v>246</v>
      </c>
      <c r="D11" s="0" t="n">
        <v>237</v>
      </c>
      <c r="E11" s="0" t="n">
        <v>166</v>
      </c>
      <c r="F11" s="0" t="n">
        <v>127</v>
      </c>
      <c r="G11" s="0" t="n">
        <v>103</v>
      </c>
    </row>
    <row r="12">
      <c r="A12" s="0" t="n">
        <v>2000</v>
      </c>
      <c r="B12" s="0" t="n">
        <v>48551</v>
      </c>
      <c r="C12" s="0" t="n">
        <v>286</v>
      </c>
      <c r="D12" s="0" t="n">
        <v>256</v>
      </c>
      <c r="E12" s="0" t="n">
        <v>184</v>
      </c>
      <c r="F12" s="0" t="n">
        <v>151</v>
      </c>
      <c r="G12" s="0" t="n">
        <v>125</v>
      </c>
    </row>
    <row r="13">
      <c r="A13" s="0" t="n">
        <v>2001</v>
      </c>
      <c r="B13" s="0" t="n">
        <v>50445</v>
      </c>
      <c r="C13" s="0" t="n">
        <v>309</v>
      </c>
      <c r="D13" s="0" t="n">
        <v>292</v>
      </c>
      <c r="E13" s="0" t="n">
        <v>212</v>
      </c>
      <c r="F13" s="0" t="n">
        <v>158</v>
      </c>
      <c r="G13" s="0" t="n">
        <v>126</v>
      </c>
    </row>
    <row r="14">
      <c r="A14" s="0" t="n">
        <v>2002</v>
      </c>
      <c r="B14" s="0" t="n">
        <v>55064</v>
      </c>
      <c r="C14" s="0" t="n">
        <v>335</v>
      </c>
      <c r="D14" s="0" t="n">
        <v>289</v>
      </c>
      <c r="E14" s="0" t="n">
        <v>216</v>
      </c>
      <c r="F14" s="0" t="n">
        <v>175</v>
      </c>
      <c r="G14" s="0" t="n">
        <v>141</v>
      </c>
    </row>
    <row r="15">
      <c r="A15" s="0" t="n">
        <v>2003</v>
      </c>
      <c r="B15" s="0" t="n">
        <v>59729</v>
      </c>
      <c r="C15" s="0" t="n">
        <v>495</v>
      </c>
      <c r="D15" s="0" t="n">
        <v>460</v>
      </c>
      <c r="E15" s="0" t="n">
        <v>320</v>
      </c>
      <c r="F15" s="0" t="n">
        <v>250</v>
      </c>
      <c r="G15" s="0" t="n">
        <v>202</v>
      </c>
    </row>
    <row r="16">
      <c r="A16" s="0" t="n">
        <v>2004</v>
      </c>
      <c r="B16" s="0" t="n">
        <v>64980</v>
      </c>
      <c r="C16" s="0" t="n">
        <v>553</v>
      </c>
      <c r="D16" s="0" t="n">
        <v>514</v>
      </c>
      <c r="E16" s="0" t="n">
        <v>377</v>
      </c>
      <c r="F16" s="0" t="n">
        <v>299</v>
      </c>
      <c r="G16" s="0" t="n">
        <v>247</v>
      </c>
    </row>
    <row r="17">
      <c r="A17" s="0" t="n">
        <v>2005</v>
      </c>
      <c r="B17" s="0" t="n">
        <v>68723</v>
      </c>
      <c r="C17" s="0" t="n">
        <v>454</v>
      </c>
      <c r="D17" s="0" t="n">
        <v>408</v>
      </c>
      <c r="E17" s="0" t="n">
        <v>310</v>
      </c>
      <c r="F17" s="0" t="n">
        <v>260</v>
      </c>
      <c r="G17" s="0" t="n">
        <v>224</v>
      </c>
    </row>
    <row r="18">
      <c r="A18" s="0" t="n">
        <v>2006</v>
      </c>
      <c r="B18" s="0" t="n">
        <v>73521</v>
      </c>
      <c r="C18" s="0" t="n">
        <v>424</v>
      </c>
      <c r="D18" s="0" t="n">
        <v>395</v>
      </c>
      <c r="E18" s="0" t="n">
        <v>292</v>
      </c>
      <c r="F18" s="0" t="n">
        <v>231</v>
      </c>
      <c r="G18" s="0" t="n">
        <v>192</v>
      </c>
    </row>
    <row r="19">
      <c r="A19" s="0" t="n">
        <v>2007</v>
      </c>
      <c r="B19" s="0" t="n">
        <v>76879</v>
      </c>
      <c r="C19" s="0" t="n">
        <v>487</v>
      </c>
      <c r="D19" s="0" t="n">
        <v>452</v>
      </c>
      <c r="E19" s="0" t="n">
        <v>336</v>
      </c>
      <c r="F19" s="0" t="n">
        <v>262</v>
      </c>
      <c r="G19" s="0" t="n">
        <v>225</v>
      </c>
    </row>
    <row r="20">
      <c r="A20" s="0" t="n">
        <v>2008</v>
      </c>
      <c r="B20" s="0" t="n">
        <v>78184</v>
      </c>
      <c r="C20" s="0" t="n">
        <v>472</v>
      </c>
      <c r="D20" s="0" t="n">
        <v>424</v>
      </c>
      <c r="E20" s="0" t="n">
        <v>312</v>
      </c>
      <c r="F20" s="0" t="n">
        <v>260</v>
      </c>
      <c r="G20" s="0" t="n">
        <v>225</v>
      </c>
    </row>
    <row r="21">
      <c r="A21" s="0" t="n">
        <v>2009</v>
      </c>
      <c r="B21" s="0" t="n">
        <v>79782</v>
      </c>
      <c r="C21" s="0" t="n">
        <v>528</v>
      </c>
      <c r="D21" s="0" t="n">
        <v>479</v>
      </c>
      <c r="E21" s="0" t="n">
        <v>355</v>
      </c>
      <c r="F21" s="0" t="n">
        <v>285</v>
      </c>
      <c r="G21" s="0" t="n">
        <v>249</v>
      </c>
    </row>
    <row r="22">
      <c r="A22" s="0" t="n">
        <v>2010</v>
      </c>
      <c r="B22" s="0" t="n">
        <v>84163</v>
      </c>
      <c r="C22" s="0" t="n">
        <v>616</v>
      </c>
      <c r="D22" s="0" t="n">
        <v>566</v>
      </c>
      <c r="E22" s="0" t="n">
        <v>435</v>
      </c>
      <c r="F22" s="0" t="n">
        <v>352</v>
      </c>
      <c r="G22" s="0" t="n">
        <v>299</v>
      </c>
    </row>
    <row r="23">
      <c r="A23" s="0" t="n">
        <v>2011</v>
      </c>
      <c r="B23" s="0" t="n">
        <v>89325</v>
      </c>
      <c r="C23" s="0" t="n">
        <v>698</v>
      </c>
      <c r="D23" s="0" t="n">
        <v>639</v>
      </c>
      <c r="E23" s="0" t="n">
        <v>486</v>
      </c>
      <c r="F23" s="0" t="n">
        <v>415</v>
      </c>
      <c r="G23" s="0" t="n">
        <v>359</v>
      </c>
    </row>
    <row r="24">
      <c r="A24" s="0" t="n">
        <v>2012</v>
      </c>
      <c r="B24" s="0" t="n">
        <v>94776</v>
      </c>
      <c r="C24" s="0" t="n">
        <v>809</v>
      </c>
      <c r="D24" s="0" t="n">
        <v>735</v>
      </c>
      <c r="E24" s="0" t="n">
        <v>563</v>
      </c>
      <c r="F24" s="0" t="n">
        <v>463</v>
      </c>
      <c r="G24" s="0" t="n">
        <v>398</v>
      </c>
    </row>
    <row r="25">
      <c r="A25" s="0" t="n">
        <v>2013</v>
      </c>
      <c r="B25" s="0" t="n">
        <v>99025</v>
      </c>
      <c r="C25" s="0" t="n">
        <v>939</v>
      </c>
      <c r="D25" s="0" t="n">
        <v>861</v>
      </c>
      <c r="E25" s="0" t="n">
        <v>635</v>
      </c>
      <c r="F25" s="0" t="n">
        <v>510</v>
      </c>
      <c r="G25" s="0" t="n">
        <v>432</v>
      </c>
    </row>
    <row r="26">
      <c r="A26" s="0" t="n">
        <v>2014</v>
      </c>
      <c r="B26" s="0" t="n">
        <v>103221</v>
      </c>
      <c r="C26" s="0" t="n">
        <v>1001</v>
      </c>
      <c r="D26" s="0" t="n">
        <v>904</v>
      </c>
      <c r="E26" s="0" t="n">
        <v>656</v>
      </c>
      <c r="F26" s="0" t="n">
        <v>545</v>
      </c>
      <c r="G26" s="0" t="n">
        <v>457</v>
      </c>
    </row>
    <row r="27">
      <c r="A27" s="0" t="n">
        <v>2015</v>
      </c>
      <c r="B27" s="0" t="n">
        <v>105352</v>
      </c>
      <c r="C27" s="0" t="n">
        <v>1092</v>
      </c>
      <c r="D27" s="0" t="n">
        <v>988</v>
      </c>
      <c r="E27" s="0" t="n">
        <v>718</v>
      </c>
      <c r="F27" s="0" t="n">
        <v>599</v>
      </c>
      <c r="G27" s="0" t="n">
        <v>516</v>
      </c>
    </row>
    <row r="28">
      <c r="A28" s="0" t="n">
        <v>2016</v>
      </c>
      <c r="B28" s="0" t="n">
        <v>108365</v>
      </c>
      <c r="C28" s="0" t="n">
        <v>1198</v>
      </c>
      <c r="D28" s="0" t="n">
        <v>1075</v>
      </c>
      <c r="E28" s="0" t="n">
        <v>815</v>
      </c>
      <c r="F28" s="0" t="n">
        <v>660</v>
      </c>
      <c r="G28" s="0" t="n">
        <v>567</v>
      </c>
    </row>
    <row r="29">
      <c r="A29" s="0" t="n">
        <v>2017</v>
      </c>
      <c r="B29" s="0" t="n">
        <v>109867</v>
      </c>
      <c r="C29" s="0" t="n">
        <v>1204</v>
      </c>
      <c r="D29" s="0" t="n">
        <v>1070</v>
      </c>
      <c r="E29" s="0" t="n">
        <v>792</v>
      </c>
      <c r="F29" s="0" t="n">
        <v>638</v>
      </c>
      <c r="G29" s="0" t="n">
        <v>538</v>
      </c>
    </row>
    <row r="30">
      <c r="A30" s="0" t="n">
        <v>2018</v>
      </c>
      <c r="B30" s="0" t="n">
        <v>111873</v>
      </c>
      <c r="C30" s="0" t="n">
        <v>1212</v>
      </c>
      <c r="D30" s="0" t="n">
        <v>1063</v>
      </c>
      <c r="E30" s="0" t="n">
        <v>780</v>
      </c>
      <c r="F30" s="0" t="n">
        <v>637</v>
      </c>
      <c r="G30" s="0" t="n">
        <v>531</v>
      </c>
    </row>
    <row r="31">
      <c r="A31" s="0" t="n">
        <v>2019</v>
      </c>
      <c r="B31" s="0" t="n">
        <v>114998</v>
      </c>
      <c r="C31" s="0" t="n">
        <v>1275</v>
      </c>
      <c r="D31" s="0" t="n">
        <v>1144</v>
      </c>
      <c r="E31" s="0" t="n">
        <v>839</v>
      </c>
      <c r="F31" s="0" t="n">
        <v>685</v>
      </c>
      <c r="G31" s="0" t="n">
        <v>585</v>
      </c>
    </row>
    <row r="32">
      <c r="A32" s="0" t="n">
        <v>2020</v>
      </c>
      <c r="B32" s="0" t="n">
        <v>131987</v>
      </c>
      <c r="C32" s="0" t="n">
        <v>1552</v>
      </c>
      <c r="D32" s="0" t="n">
        <v>1390</v>
      </c>
      <c r="E32" s="0" t="n">
        <v>986</v>
      </c>
      <c r="F32" s="0" t="n">
        <v>783</v>
      </c>
      <c r="G32" s="0" t="n">
        <v>648</v>
      </c>
    </row>
    <row r="33">
      <c r="A33" s="0" t="n">
        <v>2021</v>
      </c>
      <c r="B33" s="0" t="n">
        <v>142452</v>
      </c>
      <c r="C33" s="0" t="n">
        <v>1971</v>
      </c>
      <c r="D33" s="0" t="n">
        <v>1798</v>
      </c>
      <c r="E33" s="0" t="n">
        <v>1241</v>
      </c>
      <c r="F33" s="0" t="n">
        <v>1003</v>
      </c>
      <c r="G33" s="0" t="n">
        <v>848</v>
      </c>
    </row>
    <row r="34">
      <c r="A34" s="0" t="n">
        <v>2022</v>
      </c>
      <c r="B34" s="0" t="n">
        <v>136747</v>
      </c>
      <c r="C34" s="0" t="n">
        <v>2504</v>
      </c>
      <c r="D34" s="0" t="n">
        <v>2271</v>
      </c>
      <c r="E34" s="0" t="n">
        <v>1649</v>
      </c>
      <c r="F34" s="0" t="n">
        <v>1355</v>
      </c>
      <c r="G34" s="0" t="n">
        <v>1162</v>
      </c>
    </row>
    <row r="35">
      <c r="A35" s="0" t="n">
        <v>2023</v>
      </c>
      <c r="B35" s="0" t="n">
        <v>128108</v>
      </c>
      <c r="C35" s="0" t="n">
        <v>2402</v>
      </c>
      <c r="D35" s="0" t="n">
        <v>2196</v>
      </c>
      <c r="E35" s="0" t="n">
        <v>1639</v>
      </c>
      <c r="F35" s="0" t="n">
        <v>1334</v>
      </c>
      <c r="G35" s="0" t="n">
        <v>1131</v>
      </c>
    </row>
    <row r="36">
      <c r="A36" s="0" t="n">
        <v>2024</v>
      </c>
      <c r="B36" s="0" t="n">
        <v>137297</v>
      </c>
      <c r="C36" s="0" t="n">
        <v>1713</v>
      </c>
      <c r="D36" s="0" t="n">
        <v>1574</v>
      </c>
      <c r="E36" s="0" t="n">
        <v>1146</v>
      </c>
      <c r="F36" s="0" t="n">
        <v>951</v>
      </c>
      <c r="G36" s="0" t="n">
        <v>803</v>
      </c>
    </row>
    <row r="37">
      <c r="A37" s="0" t="n">
        <v>2025</v>
      </c>
      <c r="B37" s="0" t="n">
        <v>84526</v>
      </c>
      <c r="C37" s="0" t="n">
        <v>835</v>
      </c>
      <c r="D37" s="0" t="n">
        <v>771</v>
      </c>
      <c r="E37" s="0" t="n">
        <v>522</v>
      </c>
      <c r="F37" s="0" t="n">
        <v>431</v>
      </c>
      <c r="G37" s="0" t="n">
        <v>362</v>
      </c>
    </row>
    <row r="38">
      <c r="A38" s="0" t="inlineStr">
        <is>
          <t>SUM</t>
        </is>
      </c>
      <c r="B38" s="0">
        <f>SUM(B2:B37)</f>
        <v/>
      </c>
      <c r="C38" s="0">
        <f>SUM(C2:C37)</f>
        <v/>
      </c>
      <c r="D38" s="0">
        <f>SUM(D2:D37)</f>
        <v/>
      </c>
      <c r="E38" s="0">
        <f>SUM(E2:E37)</f>
        <v/>
      </c>
      <c r="F38" s="0">
        <f>SUM(F2:F37)</f>
        <v/>
      </c>
      <c r="G38" s="0">
        <f>SUM(G2:G37)</f>
        <v/>
      </c>
    </row>
    <row r="39">
      <c r="A39" s="0" t="inlineStr">
        <is>
          <t>MAX</t>
        </is>
      </c>
      <c r="B39" s="0">
        <f>MAX(B2:B37)</f>
        <v/>
      </c>
      <c r="C39" s="0">
        <f>MAX(C2:C37)</f>
        <v/>
      </c>
      <c r="D39" s="0">
        <f>MAX(D2:D37)</f>
        <v/>
      </c>
      <c r="E39" s="0">
        <f>MAX(E2:E37)</f>
        <v/>
      </c>
      <c r="F39" s="0">
        <f>MAX(F2:F37)</f>
        <v/>
      </c>
      <c r="G39" s="0">
        <f>MAX(G2:G37)</f>
        <v/>
      </c>
    </row>
    <row r="40">
      <c r="A40" s="0" t="inlineStr">
        <is>
          <t>MIN</t>
        </is>
      </c>
      <c r="B40" s="0">
        <f>MIN(B2:B37)</f>
        <v/>
      </c>
      <c r="C40" s="0">
        <f>MIN(C2:C37)</f>
        <v/>
      </c>
      <c r="D40" s="0">
        <f>MIN(D2:D37)</f>
        <v/>
      </c>
      <c r="E40" s="0">
        <f>MIN(E2:E37)</f>
        <v/>
      </c>
      <c r="F40" s="0">
        <f>MIN(F2:F37)</f>
        <v/>
      </c>
      <c r="G40" s="0">
        <f>MIN(G2:G37)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topLeftCell="A4" workbookViewId="0">
      <selection activeCell="A2" sqref="A2:G37"/>
    </sheetView>
  </sheetViews>
  <sheetFormatPr baseColWidth="10" defaultColWidth="11.5" defaultRowHeight="16"/>
  <sheetData>
    <row r="1">
      <c r="A1" s="0" t="inlineStr">
        <is>
          <t>Year</t>
        </is>
      </c>
      <c r="B1" s="0" t="inlineStr">
        <is>
          <t>Total article count</t>
        </is>
      </c>
      <c r="C1" s="0" t="inlineStr">
        <is>
          <t>HasPvalue</t>
        </is>
      </c>
      <c r="D1" s="0" t="inlineStr">
        <is>
          <t>Pvalue0.05</t>
        </is>
      </c>
      <c r="E1" s="0" t="inlineStr">
        <is>
          <t>Pvalue0.01</t>
        </is>
      </c>
      <c r="F1" s="0" t="inlineStr">
        <is>
          <t>Pvalue0.005</t>
        </is>
      </c>
      <c r="G1" s="0" t="inlineStr">
        <is>
          <t>Pvalue0.001</t>
        </is>
      </c>
    </row>
    <row r="2">
      <c r="A2" s="0" t="n">
        <v>1990</v>
      </c>
      <c r="B2" s="0" t="n">
        <v>31431</v>
      </c>
      <c r="C2" s="0" t="n">
        <v>5369</v>
      </c>
      <c r="D2" s="0" t="n">
        <v>5225</v>
      </c>
      <c r="E2" s="0" t="n">
        <v>3917</v>
      </c>
      <c r="F2" s="0" t="n">
        <v>2796</v>
      </c>
      <c r="G2" s="0" t="n">
        <v>2337</v>
      </c>
    </row>
    <row r="3">
      <c r="A3" s="0" t="n">
        <v>1991</v>
      </c>
      <c r="B3" s="0" t="n">
        <v>32930</v>
      </c>
      <c r="C3" s="0" t="n">
        <v>6086</v>
      </c>
      <c r="D3" s="0" t="n">
        <v>5942</v>
      </c>
      <c r="E3" s="0" t="n">
        <v>4444</v>
      </c>
      <c r="F3" s="0" t="n">
        <v>3194</v>
      </c>
      <c r="G3" s="0" t="n">
        <v>2660</v>
      </c>
    </row>
    <row r="4">
      <c r="A4" s="0" t="n">
        <v>1992</v>
      </c>
      <c r="B4" s="0" t="n">
        <v>34868</v>
      </c>
      <c r="C4" s="0" t="n">
        <v>6945</v>
      </c>
      <c r="D4" s="0" t="n">
        <v>6754</v>
      </c>
      <c r="E4" s="0" t="n">
        <v>5132</v>
      </c>
      <c r="F4" s="0" t="n">
        <v>3678</v>
      </c>
      <c r="G4" s="0" t="n">
        <v>2997</v>
      </c>
    </row>
    <row r="5">
      <c r="A5" s="0" t="n">
        <v>1993</v>
      </c>
      <c r="B5" s="0" t="n">
        <v>36976</v>
      </c>
      <c r="C5" s="0" t="n">
        <v>7542</v>
      </c>
      <c r="D5" s="0" t="n">
        <v>7261</v>
      </c>
      <c r="E5" s="0" t="n">
        <v>5443</v>
      </c>
      <c r="F5" s="0" t="n">
        <v>4030</v>
      </c>
      <c r="G5" s="0" t="n">
        <v>3329</v>
      </c>
    </row>
    <row r="6">
      <c r="A6" s="0" t="n">
        <v>1994</v>
      </c>
      <c r="B6" s="0" t="n">
        <v>38717</v>
      </c>
      <c r="C6" s="0" t="n">
        <v>8529</v>
      </c>
      <c r="D6" s="0" t="n">
        <v>8189</v>
      </c>
      <c r="E6" s="0" t="n">
        <v>6216</v>
      </c>
      <c r="F6" s="0" t="n">
        <v>4555</v>
      </c>
      <c r="G6" s="0" t="n">
        <v>3698</v>
      </c>
    </row>
    <row r="7">
      <c r="A7" s="0" t="n">
        <v>1995</v>
      </c>
      <c r="B7" s="0" t="n">
        <v>40660</v>
      </c>
      <c r="C7" s="0" t="n">
        <v>9266</v>
      </c>
      <c r="D7" s="0" t="n">
        <v>8880</v>
      </c>
      <c r="E7" s="0" t="n">
        <v>6759</v>
      </c>
      <c r="F7" s="0" t="n">
        <v>4963</v>
      </c>
      <c r="G7" s="0" t="n">
        <v>4099</v>
      </c>
    </row>
    <row r="8">
      <c r="A8" s="0" t="n">
        <v>1996</v>
      </c>
      <c r="B8" s="0" t="n">
        <v>41001</v>
      </c>
      <c r="C8" s="0" t="n">
        <v>9631</v>
      </c>
      <c r="D8" s="0" t="n">
        <v>9277</v>
      </c>
      <c r="E8" s="0" t="n">
        <v>7060</v>
      </c>
      <c r="F8" s="0" t="n">
        <v>5277</v>
      </c>
      <c r="G8" s="0" t="n">
        <v>4347</v>
      </c>
    </row>
    <row r="9">
      <c r="A9" s="0" t="n">
        <v>1997</v>
      </c>
      <c r="B9" s="0" t="n">
        <v>42522</v>
      </c>
      <c r="C9" s="0" t="n">
        <v>10353</v>
      </c>
      <c r="D9" s="0" t="n">
        <v>9957</v>
      </c>
      <c r="E9" s="0" t="n">
        <v>7510</v>
      </c>
      <c r="F9" s="0" t="n">
        <v>5791</v>
      </c>
      <c r="G9" s="0" t="n">
        <v>4757</v>
      </c>
    </row>
    <row r="10">
      <c r="A10" s="0" t="n">
        <v>1998</v>
      </c>
      <c r="B10" s="0" t="n">
        <v>43762</v>
      </c>
      <c r="C10" s="0" t="n">
        <v>10832</v>
      </c>
      <c r="D10" s="0" t="n">
        <v>10382</v>
      </c>
      <c r="E10" s="0" t="n">
        <v>7929</v>
      </c>
      <c r="F10" s="0" t="n">
        <v>6136</v>
      </c>
      <c r="G10" s="0" t="n">
        <v>5052</v>
      </c>
    </row>
    <row r="11">
      <c r="A11" s="0" t="n">
        <v>1999</v>
      </c>
      <c r="B11" s="0" t="n">
        <v>45760</v>
      </c>
      <c r="C11" s="0" t="n">
        <v>11497</v>
      </c>
      <c r="D11" s="0" t="n">
        <v>10952</v>
      </c>
      <c r="E11" s="0" t="n">
        <v>8382</v>
      </c>
      <c r="F11" s="0" t="n">
        <v>6536</v>
      </c>
      <c r="G11" s="0" t="n">
        <v>5494</v>
      </c>
    </row>
    <row r="12">
      <c r="A12" s="0" t="n">
        <v>2000</v>
      </c>
      <c r="B12" s="0" t="n">
        <v>47381</v>
      </c>
      <c r="C12" s="0" t="n">
        <v>11678</v>
      </c>
      <c r="D12" s="0" t="n">
        <v>11120</v>
      </c>
      <c r="E12" s="0" t="n">
        <v>8444</v>
      </c>
      <c r="F12" s="0" t="n">
        <v>6660</v>
      </c>
      <c r="G12" s="0" t="n">
        <v>5502</v>
      </c>
    </row>
    <row r="13">
      <c r="A13" s="0" t="n">
        <v>2001</v>
      </c>
      <c r="B13" s="0" t="n">
        <v>47703</v>
      </c>
      <c r="C13" s="0" t="n">
        <v>12573</v>
      </c>
      <c r="D13" s="0" t="n">
        <v>11999</v>
      </c>
      <c r="E13" s="0" t="n">
        <v>9247</v>
      </c>
      <c r="F13" s="0" t="n">
        <v>7229</v>
      </c>
      <c r="G13" s="0" t="n">
        <v>5979</v>
      </c>
    </row>
    <row r="14">
      <c r="A14" s="0" t="n">
        <v>2002</v>
      </c>
      <c r="B14" s="0" t="n">
        <v>48987</v>
      </c>
      <c r="C14" s="0" t="n">
        <v>12945</v>
      </c>
      <c r="D14" s="0" t="n">
        <v>12317</v>
      </c>
      <c r="E14" s="0" t="n">
        <v>9530</v>
      </c>
      <c r="F14" s="0" t="n">
        <v>7544</v>
      </c>
      <c r="G14" s="0" t="n">
        <v>6271</v>
      </c>
    </row>
    <row r="15">
      <c r="A15" s="0" t="n">
        <v>2003</v>
      </c>
      <c r="B15" s="0" t="n">
        <v>52486</v>
      </c>
      <c r="C15" s="0" t="n">
        <v>14028</v>
      </c>
      <c r="D15" s="0" t="n">
        <v>13303</v>
      </c>
      <c r="E15" s="0" t="n">
        <v>10289</v>
      </c>
      <c r="F15" s="0" t="n">
        <v>8138</v>
      </c>
      <c r="G15" s="0" t="n">
        <v>6767</v>
      </c>
    </row>
    <row r="16">
      <c r="A16" s="0" t="n">
        <v>2004</v>
      </c>
      <c r="B16" s="0" t="n">
        <v>55694</v>
      </c>
      <c r="C16" s="0" t="n">
        <v>15339</v>
      </c>
      <c r="D16" s="0" t="n">
        <v>14505</v>
      </c>
      <c r="E16" s="0" t="n">
        <v>11370</v>
      </c>
      <c r="F16" s="0" t="n">
        <v>9154</v>
      </c>
      <c r="G16" s="0" t="n">
        <v>7688</v>
      </c>
    </row>
    <row r="17">
      <c r="A17" s="0" t="n">
        <v>2005</v>
      </c>
      <c r="B17" s="0" t="n">
        <v>61604</v>
      </c>
      <c r="C17" s="0" t="n">
        <v>17287</v>
      </c>
      <c r="D17" s="0" t="n">
        <v>16322</v>
      </c>
      <c r="E17" s="0" t="n">
        <v>12755</v>
      </c>
      <c r="F17" s="0" t="n">
        <v>10360</v>
      </c>
      <c r="G17" s="0" t="n">
        <v>8689</v>
      </c>
    </row>
    <row r="18">
      <c r="A18" s="0" t="n">
        <v>2006</v>
      </c>
      <c r="B18" s="0" t="n">
        <v>64262</v>
      </c>
      <c r="C18" s="0" t="n">
        <v>17802</v>
      </c>
      <c r="D18" s="0" t="n">
        <v>16840</v>
      </c>
      <c r="E18" s="0" t="n">
        <v>13169</v>
      </c>
      <c r="F18" s="0" t="n">
        <v>10630</v>
      </c>
      <c r="G18" s="0" t="n">
        <v>8908</v>
      </c>
    </row>
    <row r="19">
      <c r="A19" s="0" t="n">
        <v>2007</v>
      </c>
      <c r="B19" s="0" t="n">
        <v>66637</v>
      </c>
      <c r="C19" s="0" t="n">
        <v>18661</v>
      </c>
      <c r="D19" s="0" t="n">
        <v>17660</v>
      </c>
      <c r="E19" s="0" t="n">
        <v>13963</v>
      </c>
      <c r="F19" s="0" t="n">
        <v>11481</v>
      </c>
      <c r="G19" s="0" t="n">
        <v>9661</v>
      </c>
    </row>
    <row r="20">
      <c r="A20" s="0" t="n">
        <v>2008</v>
      </c>
      <c r="B20" s="0" t="n">
        <v>68330</v>
      </c>
      <c r="C20" s="0" t="n">
        <v>19384</v>
      </c>
      <c r="D20" s="0" t="n">
        <v>18268</v>
      </c>
      <c r="E20" s="0" t="n">
        <v>14498</v>
      </c>
      <c r="F20" s="0" t="n">
        <v>11877</v>
      </c>
      <c r="G20" s="0" t="n">
        <v>10016</v>
      </c>
    </row>
    <row r="21">
      <c r="A21" s="0" t="n">
        <v>2009</v>
      </c>
      <c r="B21" s="0" t="n">
        <v>68450</v>
      </c>
      <c r="C21" s="0" t="n">
        <v>20022</v>
      </c>
      <c r="D21" s="0" t="n">
        <v>18874</v>
      </c>
      <c r="E21" s="0" t="n">
        <v>14962</v>
      </c>
      <c r="F21" s="0" t="n">
        <v>12246</v>
      </c>
      <c r="G21" s="0" t="n">
        <v>10282</v>
      </c>
    </row>
    <row r="22">
      <c r="A22" s="0" t="n">
        <v>2010</v>
      </c>
      <c r="B22" s="0" t="n">
        <v>70953</v>
      </c>
      <c r="C22" s="0" t="n">
        <v>21194</v>
      </c>
      <c r="D22" s="0" t="n">
        <v>19934</v>
      </c>
      <c r="E22" s="0" t="n">
        <v>15823</v>
      </c>
      <c r="F22" s="0" t="n">
        <v>12999</v>
      </c>
      <c r="G22" s="0" t="n">
        <v>10961</v>
      </c>
    </row>
    <row r="23">
      <c r="A23" s="0" t="n">
        <v>2011</v>
      </c>
      <c r="B23" s="0" t="n">
        <v>74380</v>
      </c>
      <c r="C23" s="0" t="n">
        <v>22946</v>
      </c>
      <c r="D23" s="0" t="n">
        <v>21570</v>
      </c>
      <c r="E23" s="0" t="n">
        <v>17182</v>
      </c>
      <c r="F23" s="0" t="n">
        <v>14222</v>
      </c>
      <c r="G23" s="0" t="n">
        <v>12042</v>
      </c>
    </row>
    <row r="24">
      <c r="A24" s="0" t="n">
        <v>2012</v>
      </c>
      <c r="B24" s="0" t="n">
        <v>74534</v>
      </c>
      <c r="C24" s="0" t="n">
        <v>23327</v>
      </c>
      <c r="D24" s="0" t="n">
        <v>21907</v>
      </c>
      <c r="E24" s="0" t="n">
        <v>17501</v>
      </c>
      <c r="F24" s="0" t="n">
        <v>14527</v>
      </c>
      <c r="G24" s="0" t="n">
        <v>12339</v>
      </c>
    </row>
    <row r="25">
      <c r="A25" s="0" t="n">
        <v>2013</v>
      </c>
      <c r="B25" s="0" t="n">
        <v>75326</v>
      </c>
      <c r="C25" s="0" t="n">
        <v>24328</v>
      </c>
      <c r="D25" s="0" t="n">
        <v>22853</v>
      </c>
      <c r="E25" s="0" t="n">
        <v>18348</v>
      </c>
      <c r="F25" s="0" t="n">
        <v>15128</v>
      </c>
      <c r="G25" s="0" t="n">
        <v>12993</v>
      </c>
    </row>
    <row r="26">
      <c r="A26" s="0" t="n">
        <v>2014</v>
      </c>
      <c r="B26" s="0" t="n">
        <v>72771</v>
      </c>
      <c r="C26" s="0" t="n">
        <v>23606</v>
      </c>
      <c r="D26" s="0" t="n">
        <v>22074</v>
      </c>
      <c r="E26" s="0" t="n">
        <v>17729</v>
      </c>
      <c r="F26" s="0" t="n">
        <v>14778</v>
      </c>
      <c r="G26" s="0" t="n">
        <v>12677</v>
      </c>
    </row>
    <row r="27">
      <c r="A27" s="0" t="n">
        <v>2015</v>
      </c>
      <c r="B27" s="0" t="n">
        <v>73088</v>
      </c>
      <c r="C27" s="0" t="n">
        <v>24205</v>
      </c>
      <c r="D27" s="0" t="n">
        <v>22593</v>
      </c>
      <c r="E27" s="0" t="n">
        <v>18287</v>
      </c>
      <c r="F27" s="0" t="n">
        <v>15288</v>
      </c>
      <c r="G27" s="0" t="n">
        <v>13190</v>
      </c>
    </row>
    <row r="28">
      <c r="A28" s="0" t="n">
        <v>2016</v>
      </c>
      <c r="B28" s="0" t="n">
        <v>73888</v>
      </c>
      <c r="C28" s="0" t="n">
        <v>24735</v>
      </c>
      <c r="D28" s="0" t="n">
        <v>23098</v>
      </c>
      <c r="E28" s="0" t="n">
        <v>18671</v>
      </c>
      <c r="F28" s="0" t="n">
        <v>15537</v>
      </c>
      <c r="G28" s="0" t="n">
        <v>13331</v>
      </c>
    </row>
    <row r="29">
      <c r="A29" s="0" t="n">
        <v>2017</v>
      </c>
      <c r="B29" s="0" t="n">
        <v>73771</v>
      </c>
      <c r="C29" s="0" t="n">
        <v>23964</v>
      </c>
      <c r="D29" s="0" t="n">
        <v>22273</v>
      </c>
      <c r="E29" s="0" t="n">
        <v>17944</v>
      </c>
      <c r="F29" s="0" t="n">
        <v>14829</v>
      </c>
      <c r="G29" s="0" t="n">
        <v>12656</v>
      </c>
    </row>
    <row r="30">
      <c r="A30" s="0" t="n">
        <v>2018</v>
      </c>
      <c r="B30" s="0" t="n">
        <v>74580</v>
      </c>
      <c r="C30" s="0" t="n">
        <v>24167</v>
      </c>
      <c r="D30" s="0" t="n">
        <v>22488</v>
      </c>
      <c r="E30" s="0" t="n">
        <v>18173</v>
      </c>
      <c r="F30" s="0" t="n">
        <v>15085</v>
      </c>
      <c r="G30" s="0" t="n">
        <v>12945</v>
      </c>
    </row>
    <row r="31">
      <c r="A31" s="0" t="n">
        <v>2019</v>
      </c>
      <c r="B31" s="0" t="n">
        <v>74905</v>
      </c>
      <c r="C31" s="0" t="n">
        <v>24210</v>
      </c>
      <c r="D31" s="0" t="n">
        <v>22469</v>
      </c>
      <c r="E31" s="0" t="n">
        <v>18066</v>
      </c>
      <c r="F31" s="0" t="n">
        <v>15085</v>
      </c>
      <c r="G31" s="0" t="n">
        <v>13000</v>
      </c>
    </row>
    <row r="32">
      <c r="A32" s="0" t="n">
        <v>2020</v>
      </c>
      <c r="B32" s="0" t="n">
        <v>82212</v>
      </c>
      <c r="C32" s="0" t="n">
        <v>26155</v>
      </c>
      <c r="D32" s="0" t="n">
        <v>24326</v>
      </c>
      <c r="E32" s="0" t="n">
        <v>19662</v>
      </c>
      <c r="F32" s="0" t="n">
        <v>16317</v>
      </c>
      <c r="G32" s="0" t="n">
        <v>14065</v>
      </c>
    </row>
    <row r="33">
      <c r="A33" s="0" t="n">
        <v>2021</v>
      </c>
      <c r="B33" s="0" t="n">
        <v>82375</v>
      </c>
      <c r="C33" s="0" t="n">
        <v>26185</v>
      </c>
      <c r="D33" s="0" t="n">
        <v>24330</v>
      </c>
      <c r="E33" s="0" t="n">
        <v>19719</v>
      </c>
      <c r="F33" s="0" t="n">
        <v>16482</v>
      </c>
      <c r="G33" s="0" t="n">
        <v>14265</v>
      </c>
    </row>
    <row r="34">
      <c r="A34" s="0" t="n">
        <v>2022</v>
      </c>
      <c r="B34" s="0" t="n">
        <v>72683</v>
      </c>
      <c r="C34" s="0" t="n">
        <v>23109</v>
      </c>
      <c r="D34" s="0" t="n">
        <v>21461</v>
      </c>
      <c r="E34" s="0" t="n">
        <v>17279</v>
      </c>
      <c r="F34" s="0" t="n">
        <v>14552</v>
      </c>
      <c r="G34" s="0" t="n">
        <v>12579</v>
      </c>
    </row>
    <row r="35">
      <c r="A35" s="0" t="n">
        <v>2023</v>
      </c>
      <c r="B35" s="0" t="n">
        <v>67683</v>
      </c>
      <c r="C35" s="0" t="n">
        <v>21184</v>
      </c>
      <c r="D35" s="0" t="n">
        <v>19667</v>
      </c>
      <c r="E35" s="0" t="n">
        <v>15893</v>
      </c>
      <c r="F35" s="0" t="n">
        <v>13355</v>
      </c>
      <c r="G35" s="0" t="n">
        <v>11640</v>
      </c>
    </row>
    <row r="36">
      <c r="A36" s="0" t="n">
        <v>2024</v>
      </c>
      <c r="B36" s="0" t="n">
        <v>69046</v>
      </c>
      <c r="C36" s="0" t="n">
        <v>21495</v>
      </c>
      <c r="D36" s="0" t="n">
        <v>19984</v>
      </c>
      <c r="E36" s="0" t="n">
        <v>15867</v>
      </c>
      <c r="F36" s="0" t="n">
        <v>13299</v>
      </c>
      <c r="G36" s="0" t="n">
        <v>11510</v>
      </c>
    </row>
    <row r="37">
      <c r="A37" s="0" t="n">
        <v>2025</v>
      </c>
      <c r="B37" s="0" t="n">
        <v>43477</v>
      </c>
      <c r="C37" s="0" t="n">
        <v>13782</v>
      </c>
      <c r="D37" s="0" t="n">
        <v>12764</v>
      </c>
      <c r="E37" s="0" t="n">
        <v>10153</v>
      </c>
      <c r="F37" s="0" t="n">
        <v>8562</v>
      </c>
      <c r="G37" s="0" t="n">
        <v>7469</v>
      </c>
    </row>
    <row r="38">
      <c r="A38" s="0" t="inlineStr">
        <is>
          <t>SUM</t>
        </is>
      </c>
      <c r="B38" s="0">
        <f>SUM(B2:B37)</f>
        <v/>
      </c>
      <c r="C38" s="0">
        <f>SUM(C2:C37)</f>
        <v/>
      </c>
      <c r="D38" s="0">
        <f>SUM(D2:D37)</f>
        <v/>
      </c>
      <c r="E38" s="0">
        <f>SUM(E2:E37)</f>
        <v/>
      </c>
      <c r="F38" s="0">
        <f>SUM(F2:F37)</f>
        <v/>
      </c>
      <c r="G38" s="0">
        <f>SUM(G2:G37)</f>
        <v/>
      </c>
    </row>
    <row r="39">
      <c r="A39" s="0" t="inlineStr">
        <is>
          <t>MAX</t>
        </is>
      </c>
      <c r="B39" s="0">
        <f>MAX(B2:B37)</f>
        <v/>
      </c>
      <c r="C39" s="0">
        <f>MAX(C2:C37)</f>
        <v/>
      </c>
      <c r="D39" s="0">
        <f>MAX(D2:D37)</f>
        <v/>
      </c>
      <c r="E39" s="0">
        <f>MAX(E2:E37)</f>
        <v/>
      </c>
      <c r="F39" s="0">
        <f>MAX(F2:F37)</f>
        <v/>
      </c>
      <c r="G39" s="0">
        <f>MAX(G2:G37)</f>
        <v/>
      </c>
    </row>
    <row r="40">
      <c r="A40" s="0" t="inlineStr">
        <is>
          <t>MIN</t>
        </is>
      </c>
      <c r="B40" s="0">
        <f>MIN(B2:B37)</f>
        <v/>
      </c>
      <c r="C40" s="0">
        <f>MIN(C2:C37)</f>
        <v/>
      </c>
      <c r="D40" s="0">
        <f>MIN(D2:D37)</f>
        <v/>
      </c>
      <c r="E40" s="0">
        <f>MIN(E2:E37)</f>
        <v/>
      </c>
      <c r="F40" s="0">
        <f>MIN(F2:F37)</f>
        <v/>
      </c>
      <c r="G40" s="0">
        <f>MIN(G2:G37)</f>
        <v/>
      </c>
    </row>
  </sheetData>
  <pageMargins left="0.7" right="0.7" top="0.75" bottom="0.75" header="0.3" footer="0.3"/>
  <pageSetup orientation="portrait" paperSize="9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0"/>
  <sheetViews>
    <sheetView tabSelected="1" workbookViewId="0">
      <selection activeCell="D12" sqref="D12"/>
    </sheetView>
  </sheetViews>
  <sheetFormatPr baseColWidth="10" defaultColWidth="11.5" defaultRowHeight="16"/>
  <sheetData>
    <row r="1">
      <c r="A1" s="0" t="inlineStr">
        <is>
          <t>Year</t>
        </is>
      </c>
      <c r="B1" s="0" t="inlineStr">
        <is>
          <t>Total article count</t>
        </is>
      </c>
      <c r="C1" s="0" t="inlineStr">
        <is>
          <t>HasPvalue</t>
        </is>
      </c>
      <c r="D1" s="0" t="inlineStr">
        <is>
          <t>Pvalue0.05</t>
        </is>
      </c>
      <c r="E1" s="0" t="inlineStr">
        <is>
          <t>Pvalue0.01</t>
        </is>
      </c>
      <c r="F1" s="0" t="inlineStr">
        <is>
          <t>Pvalue0.005</t>
        </is>
      </c>
      <c r="G1" s="0" t="inlineStr">
        <is>
          <t>Pvalue0.001</t>
        </is>
      </c>
    </row>
    <row r="2">
      <c r="A2" s="0" t="n">
        <v>1990</v>
      </c>
      <c r="B2" s="0" t="n">
        <v>278716</v>
      </c>
      <c r="C2" s="0" t="n">
        <v>20882</v>
      </c>
      <c r="D2" s="0" t="n">
        <v>20465</v>
      </c>
      <c r="E2" s="0" t="n">
        <v>14811</v>
      </c>
      <c r="F2" s="0" t="n">
        <v>9688</v>
      </c>
      <c r="G2" s="0" t="n">
        <v>8163</v>
      </c>
    </row>
    <row r="3">
      <c r="A3" s="0" t="n">
        <v>1991</v>
      </c>
      <c r="B3" s="0" t="n">
        <v>281501</v>
      </c>
      <c r="C3" s="0" t="n">
        <v>22765</v>
      </c>
      <c r="D3" s="0" t="n">
        <v>22305</v>
      </c>
      <c r="E3" s="0" t="n">
        <v>16102</v>
      </c>
      <c r="F3" s="0" t="n">
        <v>10510</v>
      </c>
      <c r="G3" s="0" t="n">
        <v>8856</v>
      </c>
    </row>
    <row r="4">
      <c r="A4" s="0" t="n">
        <v>1992</v>
      </c>
      <c r="B4" s="0" t="n">
        <v>287106</v>
      </c>
      <c r="C4" s="0" t="n">
        <v>25095</v>
      </c>
      <c r="D4" s="0" t="n">
        <v>24478</v>
      </c>
      <c r="E4" s="0" t="n">
        <v>17783</v>
      </c>
      <c r="F4" s="0" t="n">
        <v>11768</v>
      </c>
      <c r="G4" s="0" t="n">
        <v>9752</v>
      </c>
    </row>
    <row r="5">
      <c r="A5" s="0" t="n">
        <v>1993</v>
      </c>
      <c r="B5" s="0" t="n">
        <v>292438</v>
      </c>
      <c r="C5" s="0" t="n">
        <v>27237</v>
      </c>
      <c r="D5" s="0" t="n">
        <v>26255</v>
      </c>
      <c r="E5" s="0" t="n">
        <v>18947</v>
      </c>
      <c r="F5" s="0" t="n">
        <v>12914</v>
      </c>
      <c r="G5" s="0" t="n">
        <v>10824</v>
      </c>
    </row>
    <row r="6">
      <c r="A6" s="0" t="n">
        <v>1994</v>
      </c>
      <c r="B6" s="0" t="n">
        <v>300383</v>
      </c>
      <c r="C6" s="0" t="n">
        <v>29583</v>
      </c>
      <c r="D6" s="0" t="n">
        <v>28446</v>
      </c>
      <c r="E6" s="0" t="n">
        <v>20594</v>
      </c>
      <c r="F6" s="0" t="n">
        <v>14149</v>
      </c>
      <c r="G6" s="0" t="n">
        <v>11825</v>
      </c>
    </row>
    <row r="7">
      <c r="A7" s="0" t="n">
        <v>1995</v>
      </c>
      <c r="B7" s="0" t="n">
        <v>309682</v>
      </c>
      <c r="C7" s="0" t="n">
        <v>31986</v>
      </c>
      <c r="D7" s="0" t="n">
        <v>30706</v>
      </c>
      <c r="E7" s="0" t="n">
        <v>22115</v>
      </c>
      <c r="F7" s="0" t="n">
        <v>15304</v>
      </c>
      <c r="G7" s="0" t="n">
        <v>12793</v>
      </c>
    </row>
    <row r="8">
      <c r="A8" s="0" t="n">
        <v>1996</v>
      </c>
      <c r="B8" s="0" t="n">
        <v>315735</v>
      </c>
      <c r="C8" s="0" t="n">
        <v>34368</v>
      </c>
      <c r="D8" s="0" t="n">
        <v>32990</v>
      </c>
      <c r="E8" s="0" t="n">
        <v>23823</v>
      </c>
      <c r="F8" s="0" t="n">
        <v>16698</v>
      </c>
      <c r="G8" s="0" t="n">
        <v>13895</v>
      </c>
    </row>
    <row r="9">
      <c r="A9" s="0" t="n">
        <v>1997</v>
      </c>
      <c r="B9" s="0" t="n">
        <v>324663</v>
      </c>
      <c r="C9" s="0" t="n">
        <v>36618</v>
      </c>
      <c r="D9" s="0" t="n">
        <v>35101</v>
      </c>
      <c r="E9" s="0" t="n">
        <v>25173</v>
      </c>
      <c r="F9" s="0" t="n">
        <v>18054</v>
      </c>
      <c r="G9" s="0" t="n">
        <v>15087</v>
      </c>
    </row>
    <row r="10">
      <c r="A10" s="0" t="n">
        <v>1998</v>
      </c>
      <c r="B10" s="0" t="n">
        <v>340071</v>
      </c>
      <c r="C10" s="0" t="n">
        <v>38557</v>
      </c>
      <c r="D10" s="0" t="n">
        <v>36850</v>
      </c>
      <c r="E10" s="0" t="n">
        <v>26421</v>
      </c>
      <c r="F10" s="0" t="n">
        <v>18937</v>
      </c>
      <c r="G10" s="0" t="n">
        <v>15843</v>
      </c>
    </row>
    <row r="11">
      <c r="A11" s="0" t="n">
        <v>1999</v>
      </c>
      <c r="B11" s="0" t="n">
        <v>349352</v>
      </c>
      <c r="C11" s="0" t="n">
        <v>40973</v>
      </c>
      <c r="D11" s="0" t="n">
        <v>39173</v>
      </c>
      <c r="E11" s="0" t="n">
        <v>28125</v>
      </c>
      <c r="F11" s="0" t="n">
        <v>20395</v>
      </c>
      <c r="G11" s="0" t="n">
        <v>17062</v>
      </c>
    </row>
    <row r="12">
      <c r="A12" s="0" t="n">
        <v>2000</v>
      </c>
      <c r="B12" s="0" t="n">
        <v>376786</v>
      </c>
      <c r="C12" s="0" t="n">
        <v>42661</v>
      </c>
      <c r="D12" s="0" t="n">
        <v>40651</v>
      </c>
      <c r="E12" s="0" t="n">
        <v>29171</v>
      </c>
      <c r="F12" s="0" t="n">
        <v>21297</v>
      </c>
      <c r="G12" s="0" t="n">
        <v>17740</v>
      </c>
    </row>
    <row r="13">
      <c r="A13" s="0" t="n">
        <v>2001</v>
      </c>
      <c r="B13" s="0" t="n">
        <v>396538</v>
      </c>
      <c r="C13" s="0" t="n">
        <v>45978</v>
      </c>
      <c r="D13" s="0" t="n">
        <v>43864</v>
      </c>
      <c r="E13" s="0" t="n">
        <v>31557</v>
      </c>
      <c r="F13" s="0" t="n">
        <v>22996</v>
      </c>
      <c r="G13" s="0" t="n">
        <v>19181</v>
      </c>
    </row>
    <row r="14">
      <c r="A14" s="0" t="n">
        <v>2002</v>
      </c>
      <c r="B14" s="0" t="n">
        <v>416028</v>
      </c>
      <c r="C14" s="0" t="n">
        <v>49350</v>
      </c>
      <c r="D14" s="0" t="n">
        <v>46908</v>
      </c>
      <c r="E14" s="0" t="n">
        <v>33740</v>
      </c>
      <c r="F14" s="0" t="n">
        <v>24643</v>
      </c>
      <c r="G14" s="0" t="n">
        <v>20617</v>
      </c>
    </row>
    <row r="15">
      <c r="A15" s="0" t="n">
        <v>2003</v>
      </c>
      <c r="B15" s="0" t="n">
        <v>445521</v>
      </c>
      <c r="C15" s="0" t="n">
        <v>55143</v>
      </c>
      <c r="D15" s="0" t="n">
        <v>52333</v>
      </c>
      <c r="E15" s="0" t="n">
        <v>37473</v>
      </c>
      <c r="F15" s="0" t="n">
        <v>27443</v>
      </c>
      <c r="G15" s="0" t="n">
        <v>22957</v>
      </c>
    </row>
    <row r="16">
      <c r="A16" s="0" t="n">
        <v>2004</v>
      </c>
      <c r="B16" s="0" t="n">
        <v>481295</v>
      </c>
      <c r="C16" s="0" t="n">
        <v>61013</v>
      </c>
      <c r="D16" s="0" t="n">
        <v>57741</v>
      </c>
      <c r="E16" s="0" t="n">
        <v>41346</v>
      </c>
      <c r="F16" s="0" t="n">
        <v>30528</v>
      </c>
      <c r="G16" s="0" t="n">
        <v>25571</v>
      </c>
    </row>
    <row r="17">
      <c r="A17" s="0" t="n">
        <v>2005</v>
      </c>
      <c r="B17" s="0" t="n">
        <v>536057</v>
      </c>
      <c r="C17" s="0" t="n">
        <v>70238</v>
      </c>
      <c r="D17" s="0" t="n">
        <v>66427</v>
      </c>
      <c r="E17" s="0" t="n">
        <v>47556</v>
      </c>
      <c r="F17" s="0" t="n">
        <v>35224</v>
      </c>
      <c r="G17" s="0" t="n">
        <v>29510</v>
      </c>
    </row>
    <row r="18">
      <c r="A18" s="0" t="n">
        <v>2006</v>
      </c>
      <c r="B18" s="0" t="n">
        <v>579809</v>
      </c>
      <c r="C18" s="0" t="n">
        <v>76101</v>
      </c>
      <c r="D18" s="0" t="n">
        <v>71880</v>
      </c>
      <c r="E18" s="0" t="n">
        <v>51546</v>
      </c>
      <c r="F18" s="0" t="n">
        <v>38326</v>
      </c>
      <c r="G18" s="0" t="n">
        <v>32044</v>
      </c>
    </row>
    <row r="19">
      <c r="A19" s="0" t="n">
        <v>2007</v>
      </c>
      <c r="B19" s="0" t="n">
        <v>616538</v>
      </c>
      <c r="C19" s="0" t="n">
        <v>83458</v>
      </c>
      <c r="D19" s="0" t="n">
        <v>78859</v>
      </c>
      <c r="E19" s="0" t="n">
        <v>56688</v>
      </c>
      <c r="F19" s="0" t="n">
        <v>42623</v>
      </c>
      <c r="G19" s="0" t="n">
        <v>35823</v>
      </c>
    </row>
    <row r="20">
      <c r="A20" s="0" t="n">
        <v>2008</v>
      </c>
      <c r="B20" s="0" t="n">
        <v>648270</v>
      </c>
      <c r="C20" s="0" t="n">
        <v>90623</v>
      </c>
      <c r="D20" s="0" t="n">
        <v>85589</v>
      </c>
      <c r="E20" s="0" t="n">
        <v>61505</v>
      </c>
      <c r="F20" s="0" t="n">
        <v>46278</v>
      </c>
      <c r="G20" s="0" t="n">
        <v>38819</v>
      </c>
    </row>
    <row r="21">
      <c r="A21" s="0" t="n">
        <v>2009</v>
      </c>
      <c r="B21" s="0" t="n">
        <v>676468</v>
      </c>
      <c r="C21" s="0" t="n">
        <v>96924</v>
      </c>
      <c r="D21" s="0" t="n">
        <v>91445</v>
      </c>
      <c r="E21" s="0" t="n">
        <v>65414</v>
      </c>
      <c r="F21" s="0" t="n">
        <v>49545</v>
      </c>
      <c r="G21" s="0" t="n">
        <v>41494</v>
      </c>
    </row>
    <row r="22">
      <c r="A22" s="0" t="n">
        <v>2010</v>
      </c>
      <c r="B22" s="0" t="n">
        <v>725028</v>
      </c>
      <c r="C22" s="0" t="n">
        <v>106185</v>
      </c>
      <c r="D22" s="0" t="n">
        <v>100017</v>
      </c>
      <c r="E22" s="0" t="n">
        <v>71482</v>
      </c>
      <c r="F22" s="0" t="n">
        <v>54615</v>
      </c>
      <c r="G22" s="0" t="n">
        <v>45901</v>
      </c>
    </row>
    <row r="23">
      <c r="A23" s="0" t="n">
        <v>2011</v>
      </c>
      <c r="B23" s="0" t="n">
        <v>776404</v>
      </c>
      <c r="C23" s="0" t="n">
        <v>118039</v>
      </c>
      <c r="D23" s="0" t="n">
        <v>111292</v>
      </c>
      <c r="E23" s="0" t="n">
        <v>79847</v>
      </c>
      <c r="F23" s="0" t="n">
        <v>61533</v>
      </c>
      <c r="G23" s="0" t="n">
        <v>51864</v>
      </c>
    </row>
    <row r="24">
      <c r="A24" s="0" t="n">
        <v>2012</v>
      </c>
      <c r="B24" s="0" t="n">
        <v>820315</v>
      </c>
      <c r="C24" s="0" t="n">
        <v>128508</v>
      </c>
      <c r="D24" s="0" t="n">
        <v>121084</v>
      </c>
      <c r="E24" s="0" t="n">
        <v>86947</v>
      </c>
      <c r="F24" s="0" t="n">
        <v>67255</v>
      </c>
      <c r="G24" s="0" t="n">
        <v>56839</v>
      </c>
    </row>
    <row r="25">
      <c r="A25" s="0" t="n">
        <v>2013</v>
      </c>
      <c r="B25" s="0" t="n">
        <v>855653</v>
      </c>
      <c r="C25" s="0" t="n">
        <v>138951</v>
      </c>
      <c r="D25" s="0" t="n">
        <v>130815</v>
      </c>
      <c r="E25" s="0" t="n">
        <v>94397</v>
      </c>
      <c r="F25" s="0" t="n">
        <v>73665</v>
      </c>
      <c r="G25" s="0" t="n">
        <v>62163</v>
      </c>
    </row>
    <row r="26">
      <c r="A26" s="0" t="n">
        <v>2014</v>
      </c>
      <c r="B26" s="0" t="n">
        <v>876761</v>
      </c>
      <c r="C26" s="0" t="n">
        <v>146519</v>
      </c>
      <c r="D26" s="0" t="n">
        <v>137904</v>
      </c>
      <c r="E26" s="0" t="n">
        <v>100014</v>
      </c>
      <c r="F26" s="0" t="n">
        <v>78507</v>
      </c>
      <c r="G26" s="0" t="n">
        <v>66473</v>
      </c>
    </row>
    <row r="27">
      <c r="A27" s="0" t="n">
        <v>2015</v>
      </c>
      <c r="B27" s="0" t="n">
        <v>884808</v>
      </c>
      <c r="C27" s="0" t="n">
        <v>153235</v>
      </c>
      <c r="D27" s="0" t="n">
        <v>144154</v>
      </c>
      <c r="E27" s="0" t="n">
        <v>104463</v>
      </c>
      <c r="F27" s="0" t="n">
        <v>82590</v>
      </c>
      <c r="G27" s="0" t="n">
        <v>70207</v>
      </c>
    </row>
    <row r="28">
      <c r="A28" s="0" t="n">
        <v>2016</v>
      </c>
      <c r="B28" s="0" t="n">
        <v>881192</v>
      </c>
      <c r="C28" s="0" t="n">
        <v>155077</v>
      </c>
      <c r="D28" s="0" t="n">
        <v>145675</v>
      </c>
      <c r="E28" s="0" t="n">
        <v>106349</v>
      </c>
      <c r="F28" s="0" t="n">
        <v>84387</v>
      </c>
      <c r="G28" s="0" t="n">
        <v>71678</v>
      </c>
    </row>
    <row r="29">
      <c r="A29" s="0" t="n">
        <v>2017</v>
      </c>
      <c r="B29" s="0" t="n">
        <v>882495</v>
      </c>
      <c r="C29" s="0" t="n">
        <v>157484</v>
      </c>
      <c r="D29" s="0" t="n">
        <v>147760</v>
      </c>
      <c r="E29" s="0" t="n">
        <v>107470</v>
      </c>
      <c r="F29" s="0" t="n">
        <v>85707</v>
      </c>
      <c r="G29" s="0" t="n">
        <v>72659</v>
      </c>
    </row>
    <row r="30">
      <c r="A30" s="0" t="n">
        <v>2018</v>
      </c>
      <c r="B30" s="0" t="n">
        <v>900568</v>
      </c>
      <c r="C30" s="0" t="n">
        <v>162452</v>
      </c>
      <c r="D30" s="0" t="n">
        <v>152207</v>
      </c>
      <c r="E30" s="0" t="n">
        <v>110820</v>
      </c>
      <c r="F30" s="0" t="n">
        <v>88465</v>
      </c>
      <c r="G30" s="0" t="n">
        <v>75275</v>
      </c>
    </row>
    <row r="31">
      <c r="A31" s="0" t="n">
        <v>2019</v>
      </c>
      <c r="B31" s="0" t="n">
        <v>941231</v>
      </c>
      <c r="C31" s="0" t="n">
        <v>169776</v>
      </c>
      <c r="D31" s="0" t="n">
        <v>159169</v>
      </c>
      <c r="E31" s="0" t="n">
        <v>115883</v>
      </c>
      <c r="F31" s="0" t="n">
        <v>93118</v>
      </c>
      <c r="G31" s="0" t="n">
        <v>79641</v>
      </c>
    </row>
    <row r="32">
      <c r="A32" s="0" t="n">
        <v>2020</v>
      </c>
      <c r="B32" s="0" t="n">
        <v>1043379</v>
      </c>
      <c r="C32" s="0" t="n">
        <v>191959</v>
      </c>
      <c r="D32" s="0" t="n">
        <v>179986</v>
      </c>
      <c r="E32" s="0" t="n">
        <v>131420</v>
      </c>
      <c r="F32" s="0" t="n">
        <v>106286</v>
      </c>
      <c r="G32" s="0" t="n">
        <v>90859</v>
      </c>
    </row>
    <row r="33">
      <c r="A33" s="0" t="n">
        <v>2021</v>
      </c>
      <c r="B33" s="0" t="n">
        <v>1112394</v>
      </c>
      <c r="C33" s="0" t="n">
        <v>206278</v>
      </c>
      <c r="D33" s="0" t="n">
        <v>193401</v>
      </c>
      <c r="E33" s="0" t="n">
        <v>142002</v>
      </c>
      <c r="F33" s="0" t="n">
        <v>115783</v>
      </c>
      <c r="G33" s="0" t="n">
        <v>99284</v>
      </c>
    </row>
    <row r="34">
      <c r="A34" s="0" t="n">
        <v>2022</v>
      </c>
      <c r="B34" s="0" t="n">
        <v>1092792</v>
      </c>
      <c r="C34" s="0" t="n">
        <v>197052</v>
      </c>
      <c r="D34" s="0" t="n">
        <v>184800</v>
      </c>
      <c r="E34" s="0" t="n">
        <v>134579</v>
      </c>
      <c r="F34" s="0" t="n">
        <v>110035</v>
      </c>
      <c r="G34" s="0" t="n">
        <v>94901</v>
      </c>
    </row>
    <row r="35">
      <c r="A35" s="0" t="n">
        <v>2023</v>
      </c>
      <c r="B35" s="0" t="n">
        <v>978968</v>
      </c>
      <c r="C35" s="0" t="n">
        <v>178431</v>
      </c>
      <c r="D35" s="0" t="n">
        <v>167424</v>
      </c>
      <c r="E35" s="0" t="n">
        <v>122298</v>
      </c>
      <c r="F35" s="0" t="n">
        <v>100686</v>
      </c>
      <c r="G35" s="0" t="n">
        <v>86669</v>
      </c>
    </row>
    <row r="36">
      <c r="A36" s="0" t="n">
        <v>2024</v>
      </c>
      <c r="B36" s="0" t="n">
        <v>1018395</v>
      </c>
      <c r="C36" s="0" t="n">
        <v>184181</v>
      </c>
      <c r="D36" s="0" t="n">
        <v>173022</v>
      </c>
      <c r="E36" s="0" t="n">
        <v>125512</v>
      </c>
      <c r="F36" s="0" t="n">
        <v>103684</v>
      </c>
      <c r="G36" s="0" t="n">
        <v>89565</v>
      </c>
    </row>
    <row r="37">
      <c r="A37" s="0" t="n">
        <v>2025</v>
      </c>
      <c r="B37" s="0" t="n">
        <v>691456</v>
      </c>
      <c r="C37" s="0" t="n">
        <v>126805</v>
      </c>
      <c r="D37" s="0" t="n">
        <v>119525</v>
      </c>
      <c r="E37" s="0" t="n">
        <v>86986</v>
      </c>
      <c r="F37" s="0" t="n">
        <v>72194</v>
      </c>
      <c r="G37" s="0" t="n">
        <v>62806</v>
      </c>
    </row>
    <row r="38">
      <c r="A38" s="0" t="inlineStr">
        <is>
          <t>SUM</t>
        </is>
      </c>
      <c r="B38" s="0">
        <f>SUM(B2:B37)</f>
        <v/>
      </c>
      <c r="C38" s="0">
        <f>SUM(C2:C37)</f>
        <v/>
      </c>
      <c r="D38" s="0">
        <f>SUM(D2:D37)</f>
        <v/>
      </c>
      <c r="E38" s="0">
        <f>SUM(E2:E37)</f>
        <v/>
      </c>
      <c r="F38" s="0">
        <f>SUM(F2:F37)</f>
        <v/>
      </c>
      <c r="G38" s="0">
        <f>SUM(G2:G37)</f>
        <v/>
      </c>
    </row>
    <row r="39">
      <c r="A39" s="0" t="inlineStr">
        <is>
          <t>MAX</t>
        </is>
      </c>
      <c r="B39" s="0">
        <f>MAX(B2:B37)</f>
        <v/>
      </c>
      <c r="C39" s="0">
        <f>MAX(C2:C37)</f>
        <v/>
      </c>
      <c r="D39" s="0">
        <f>MAX(D2:D37)</f>
        <v/>
      </c>
      <c r="E39" s="0">
        <f>MAX(E2:E37)</f>
        <v/>
      </c>
      <c r="F39" s="0">
        <f>MAX(F2:F37)</f>
        <v/>
      </c>
      <c r="G39" s="0">
        <f>MAX(G2:G37)</f>
        <v/>
      </c>
    </row>
    <row r="40">
      <c r="A40" s="0" t="inlineStr">
        <is>
          <t>MIN</t>
        </is>
      </c>
      <c r="B40" s="0">
        <f>MIN(B2:B37)</f>
        <v/>
      </c>
      <c r="C40" s="0">
        <f>MIN(C2:C37)</f>
        <v/>
      </c>
      <c r="D40" s="0">
        <f>MIN(D2:D37)</f>
        <v/>
      </c>
      <c r="E40" s="0">
        <f>MIN(E2:E37)</f>
        <v/>
      </c>
      <c r="F40" s="0">
        <f>MIN(F2:F37)</f>
        <v/>
      </c>
      <c r="G40" s="0">
        <f>MIN(G2:G37)</f>
        <v/>
      </c>
    </row>
  </sheetData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0"/>
  <sheetViews>
    <sheetView topLeftCell="A19" workbookViewId="0">
      <selection activeCell="E42" sqref="E42"/>
    </sheetView>
  </sheetViews>
  <sheetFormatPr baseColWidth="10" defaultColWidth="11.5" defaultRowHeight="16"/>
  <sheetData>
    <row r="1">
      <c r="A1" s="0" t="inlineStr">
        <is>
          <t>Year</t>
        </is>
      </c>
      <c r="B1" s="0" t="inlineStr">
        <is>
          <t>Total article count</t>
        </is>
      </c>
      <c r="C1" s="0" t="inlineStr">
        <is>
          <t>HasPvalue</t>
        </is>
      </c>
      <c r="D1" s="0" t="inlineStr">
        <is>
          <t>Pvalue0.05</t>
        </is>
      </c>
      <c r="E1" s="0" t="inlineStr">
        <is>
          <t>Pvalue0.01</t>
        </is>
      </c>
      <c r="F1" s="0" t="inlineStr">
        <is>
          <t>Pvalue0.005</t>
        </is>
      </c>
      <c r="G1" s="0" t="inlineStr">
        <is>
          <t>Pvalue0.001</t>
        </is>
      </c>
    </row>
    <row r="2">
      <c r="A2" s="0" t="n">
        <v>1990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</row>
    <row r="3">
      <c r="A3" s="0" t="n">
        <v>1991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</row>
    <row r="4">
      <c r="A4" s="0" t="n">
        <v>1992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</row>
    <row r="5">
      <c r="A5" s="0" t="n">
        <v>1993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</row>
    <row r="6">
      <c r="A6" s="0" t="n">
        <v>1994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</row>
    <row r="7">
      <c r="A7" s="0" t="n">
        <v>1995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</row>
    <row r="8">
      <c r="A8" s="0" t="n">
        <v>1996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</row>
    <row r="9">
      <c r="A9" s="0" t="n">
        <v>1997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</row>
    <row r="10">
      <c r="A10" s="0" t="n">
        <v>1998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</row>
    <row r="11">
      <c r="A11" s="0" t="n">
        <v>1999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</row>
    <row r="12">
      <c r="A12" s="0" t="n">
        <v>2000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</row>
    <row r="13">
      <c r="A13" s="0" t="n">
        <v>2001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</row>
    <row r="14">
      <c r="A14" s="0" t="n">
        <v>2002</v>
      </c>
      <c r="B14" s="0" t="n">
        <v>1</v>
      </c>
      <c r="C14" s="0" t="n">
        <v>1</v>
      </c>
      <c r="D14" s="0" t="n">
        <v>1</v>
      </c>
      <c r="E14" s="0" t="n">
        <v>1</v>
      </c>
      <c r="F14" s="0" t="n">
        <v>1</v>
      </c>
      <c r="G14" s="0" t="n">
        <v>1</v>
      </c>
    </row>
    <row r="15">
      <c r="A15" s="0" t="n">
        <v>2003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</row>
    <row r="16">
      <c r="A16" s="0" t="n">
        <v>2004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</row>
    <row r="17">
      <c r="A17" s="0" t="n">
        <v>2005</v>
      </c>
      <c r="B17" s="0" t="n">
        <v>1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</row>
    <row r="18">
      <c r="A18" s="0" t="n">
        <v>2006</v>
      </c>
      <c r="B18" s="0" t="n">
        <v>1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</row>
    <row r="19">
      <c r="A19" s="0" t="n">
        <v>2007</v>
      </c>
      <c r="B19" s="0" t="n">
        <v>1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</row>
    <row r="20">
      <c r="A20" s="0" t="n">
        <v>2008</v>
      </c>
      <c r="B20" s="0" t="n">
        <v>1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</row>
    <row r="21">
      <c r="A21" s="0" t="n">
        <v>2009</v>
      </c>
      <c r="B21" s="0" t="n">
        <v>6</v>
      </c>
      <c r="C21" s="0" t="n">
        <v>2</v>
      </c>
      <c r="D21" s="0" t="n">
        <v>2</v>
      </c>
      <c r="E21" s="0" t="n">
        <v>2</v>
      </c>
      <c r="F21" s="0" t="n">
        <v>2</v>
      </c>
      <c r="G21" s="0" t="n">
        <v>2</v>
      </c>
    </row>
    <row r="22">
      <c r="A22" s="0" t="n">
        <v>2010</v>
      </c>
      <c r="B22" s="0" t="n">
        <v>33</v>
      </c>
      <c r="C22" s="0" t="n">
        <v>19</v>
      </c>
      <c r="D22" s="0" t="n">
        <v>18</v>
      </c>
      <c r="E22" s="0" t="n">
        <v>14</v>
      </c>
      <c r="F22" s="0" t="n">
        <v>11</v>
      </c>
      <c r="G22" s="0" t="n">
        <v>8</v>
      </c>
    </row>
    <row r="23">
      <c r="A23" s="0" t="n">
        <v>2011</v>
      </c>
      <c r="B23" s="0" t="n">
        <v>69</v>
      </c>
      <c r="C23" s="0" t="n">
        <v>42</v>
      </c>
      <c r="D23" s="0" t="n">
        <v>41</v>
      </c>
      <c r="E23" s="0" t="n">
        <v>36</v>
      </c>
      <c r="F23" s="0" t="n">
        <v>31</v>
      </c>
      <c r="G23" s="0" t="n">
        <v>25</v>
      </c>
    </row>
    <row r="24">
      <c r="A24" s="0" t="n">
        <v>2012</v>
      </c>
      <c r="B24" s="0" t="n">
        <v>639</v>
      </c>
      <c r="C24" s="0" t="n">
        <v>297</v>
      </c>
      <c r="D24" s="0" t="n">
        <v>285</v>
      </c>
      <c r="E24" s="0" t="n">
        <v>237</v>
      </c>
      <c r="F24" s="0" t="n">
        <v>204</v>
      </c>
      <c r="G24" s="0" t="n">
        <v>184</v>
      </c>
    </row>
    <row r="25">
      <c r="A25" s="0" t="n">
        <v>2013</v>
      </c>
      <c r="B25" s="0" t="n">
        <v>5492</v>
      </c>
      <c r="C25" s="0" t="n">
        <v>2751</v>
      </c>
      <c r="D25" s="0" t="n">
        <v>2618</v>
      </c>
      <c r="E25" s="0" t="n">
        <v>2089</v>
      </c>
      <c r="F25" s="0" t="n">
        <v>1765</v>
      </c>
      <c r="G25" s="0" t="n">
        <v>1528</v>
      </c>
    </row>
    <row r="26">
      <c r="A26" s="0" t="n">
        <v>2014</v>
      </c>
      <c r="B26" s="0" t="n">
        <v>11337</v>
      </c>
      <c r="C26" s="0" t="n">
        <v>5657</v>
      </c>
      <c r="D26" s="0" t="n">
        <v>5400</v>
      </c>
      <c r="E26" s="0" t="n">
        <v>4371</v>
      </c>
      <c r="F26" s="0" t="n">
        <v>3682</v>
      </c>
      <c r="G26" s="0" t="n">
        <v>3226</v>
      </c>
    </row>
    <row r="27">
      <c r="A27" s="0" t="n">
        <v>2015</v>
      </c>
      <c r="B27" s="0" t="n">
        <v>13825</v>
      </c>
      <c r="C27" s="0" t="n">
        <v>6973</v>
      </c>
      <c r="D27" s="0" t="n">
        <v>6603</v>
      </c>
      <c r="E27" s="0" t="n">
        <v>5337</v>
      </c>
      <c r="F27" s="0" t="n">
        <v>4490</v>
      </c>
      <c r="G27" s="0" t="n">
        <v>3903</v>
      </c>
    </row>
    <row r="28">
      <c r="A28" s="0" t="n">
        <v>2016</v>
      </c>
      <c r="B28" s="0" t="n">
        <v>15304</v>
      </c>
      <c r="C28" s="0" t="n">
        <v>7820</v>
      </c>
      <c r="D28" s="0" t="n">
        <v>7403</v>
      </c>
      <c r="E28" s="0" t="n">
        <v>6008</v>
      </c>
      <c r="F28" s="0" t="n">
        <v>5084</v>
      </c>
      <c r="G28" s="0" t="n">
        <v>4427</v>
      </c>
    </row>
    <row r="29">
      <c r="A29" s="0" t="n">
        <v>2017</v>
      </c>
      <c r="B29" s="0" t="n">
        <v>16659</v>
      </c>
      <c r="C29" s="0" t="n">
        <v>8557</v>
      </c>
      <c r="D29" s="0" t="n">
        <v>8121</v>
      </c>
      <c r="E29" s="0" t="n">
        <v>6535</v>
      </c>
      <c r="F29" s="0" t="n">
        <v>5538</v>
      </c>
      <c r="G29" s="0" t="n">
        <v>4855</v>
      </c>
    </row>
    <row r="30">
      <c r="A30" s="0" t="n">
        <v>2018</v>
      </c>
      <c r="B30" s="0" t="n">
        <v>18349</v>
      </c>
      <c r="C30" s="0" t="n">
        <v>9309</v>
      </c>
      <c r="D30" s="0" t="n">
        <v>8818</v>
      </c>
      <c r="E30" s="0" t="n">
        <v>7023</v>
      </c>
      <c r="F30" s="0" t="n">
        <v>5926</v>
      </c>
      <c r="G30" s="0" t="n">
        <v>5142</v>
      </c>
    </row>
    <row r="31">
      <c r="A31" s="0" t="n">
        <v>2019</v>
      </c>
      <c r="B31" s="0" t="n">
        <v>20068</v>
      </c>
      <c r="C31" s="0" t="n">
        <v>10099</v>
      </c>
      <c r="D31" s="0" t="n">
        <v>9572</v>
      </c>
      <c r="E31" s="0" t="n">
        <v>7646</v>
      </c>
      <c r="F31" s="0" t="n">
        <v>6403</v>
      </c>
      <c r="G31" s="0" t="n">
        <v>5567</v>
      </c>
    </row>
    <row r="32">
      <c r="A32" s="0" t="n">
        <v>2020</v>
      </c>
      <c r="B32" s="0" t="n">
        <v>22491</v>
      </c>
      <c r="C32" s="0" t="n">
        <v>11186</v>
      </c>
      <c r="D32" s="0" t="n">
        <v>10646</v>
      </c>
      <c r="E32" s="0" t="n">
        <v>8462</v>
      </c>
      <c r="F32" s="0" t="n">
        <v>7140</v>
      </c>
      <c r="G32" s="0" t="n">
        <v>6151</v>
      </c>
    </row>
    <row r="33">
      <c r="A33" s="0" t="n">
        <v>2021</v>
      </c>
      <c r="B33" s="0" t="n">
        <v>23297</v>
      </c>
      <c r="C33" s="0" t="n">
        <v>11185</v>
      </c>
      <c r="D33" s="0" t="n">
        <v>10646</v>
      </c>
      <c r="E33" s="0" t="n">
        <v>8562</v>
      </c>
      <c r="F33" s="0" t="n">
        <v>7264</v>
      </c>
      <c r="G33" s="0" t="n">
        <v>6267</v>
      </c>
    </row>
    <row r="34">
      <c r="A34" s="0" t="n">
        <v>2022</v>
      </c>
      <c r="B34" s="0" t="n">
        <v>18233</v>
      </c>
      <c r="C34" s="0" t="n">
        <v>8780</v>
      </c>
      <c r="D34" s="0" t="n">
        <v>8340</v>
      </c>
      <c r="E34" s="0" t="n">
        <v>6675</v>
      </c>
      <c r="F34" s="0" t="n">
        <v>5667</v>
      </c>
      <c r="G34" s="0" t="n">
        <v>4949</v>
      </c>
    </row>
    <row r="35">
      <c r="A35" s="0" t="n">
        <v>2023</v>
      </c>
      <c r="B35" s="0" t="n">
        <v>16328</v>
      </c>
      <c r="C35" s="0" t="n">
        <v>7919</v>
      </c>
      <c r="D35" s="0" t="n">
        <v>7519</v>
      </c>
      <c r="E35" s="0" t="n">
        <v>5937</v>
      </c>
      <c r="F35" s="0" t="n">
        <v>5071</v>
      </c>
      <c r="G35" s="0" t="n">
        <v>4392</v>
      </c>
    </row>
    <row r="36">
      <c r="A36" s="0" t="n">
        <v>2024</v>
      </c>
      <c r="B36" s="0" t="n">
        <v>19084</v>
      </c>
      <c r="C36" s="0" t="n">
        <v>9252</v>
      </c>
      <c r="D36" s="0" t="n">
        <v>8725</v>
      </c>
      <c r="E36" s="0" t="n">
        <v>6803</v>
      </c>
      <c r="F36" s="0" t="n">
        <v>5816</v>
      </c>
      <c r="G36" s="0" t="n">
        <v>5071</v>
      </c>
    </row>
    <row r="37">
      <c r="A37" s="0" t="n">
        <v>2025</v>
      </c>
      <c r="B37" s="0" t="n">
        <v>14630</v>
      </c>
      <c r="C37" s="0" t="n">
        <v>7344</v>
      </c>
      <c r="D37" s="0" t="n">
        <v>6959</v>
      </c>
      <c r="E37" s="0" t="n">
        <v>5489</v>
      </c>
      <c r="F37" s="0" t="n">
        <v>4731</v>
      </c>
      <c r="G37" s="0" t="n">
        <v>4108</v>
      </c>
    </row>
    <row r="38">
      <c r="A38" s="0" t="inlineStr">
        <is>
          <t>SUM</t>
        </is>
      </c>
      <c r="B38" s="0">
        <f>SUM(B2:B37)</f>
        <v/>
      </c>
      <c r="C38" s="0">
        <f>SUM(C2:C37)</f>
        <v/>
      </c>
      <c r="D38" s="0">
        <f>SUM(D2:D37)</f>
        <v/>
      </c>
      <c r="E38" s="0">
        <f>SUM(E2:E37)</f>
        <v/>
      </c>
      <c r="F38" s="0">
        <f>SUM(F2:F37)</f>
        <v/>
      </c>
      <c r="G38" s="0">
        <f>SUM(G2:G37)</f>
        <v/>
      </c>
    </row>
    <row r="39">
      <c r="A39" s="0" t="inlineStr">
        <is>
          <t>MAX</t>
        </is>
      </c>
      <c r="B39" s="0">
        <f>MAX(B2:B37)</f>
        <v/>
      </c>
      <c r="C39" s="0">
        <f>MAX(C2:C37)</f>
        <v/>
      </c>
      <c r="D39" s="0">
        <f>MAX(D2:D37)</f>
        <v/>
      </c>
      <c r="E39" s="0">
        <f>MAX(E2:E37)</f>
        <v/>
      </c>
      <c r="F39" s="0">
        <f>MAX(F2:F37)</f>
        <v/>
      </c>
      <c r="G39" s="0">
        <f>MAX(G2:G37)</f>
        <v/>
      </c>
    </row>
    <row r="40">
      <c r="A40" s="0" t="inlineStr">
        <is>
          <t>MIN</t>
        </is>
      </c>
      <c r="B40" s="0">
        <f>MIN(B2:B37)</f>
        <v/>
      </c>
      <c r="C40" s="0">
        <f>MIN(C2:C37)</f>
        <v/>
      </c>
      <c r="D40" s="0">
        <f>MIN(D2:D37)</f>
        <v/>
      </c>
      <c r="E40" s="0">
        <f>MIN(E2:E37)</f>
        <v/>
      </c>
      <c r="F40" s="0">
        <f>MIN(F2:F37)</f>
        <v/>
      </c>
      <c r="G40" s="0">
        <f>MIN(G2:G37)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0"/>
  <sheetViews>
    <sheetView topLeftCell="A22" workbookViewId="0">
      <selection activeCell="F39" sqref="F39"/>
    </sheetView>
  </sheetViews>
  <sheetFormatPr baseColWidth="10" defaultColWidth="11.5" defaultRowHeight="16"/>
  <sheetData>
    <row r="1">
      <c r="A1" s="0" t="inlineStr">
        <is>
          <t>Year</t>
        </is>
      </c>
      <c r="B1" s="0" t="inlineStr">
        <is>
          <t>Total article count</t>
        </is>
      </c>
      <c r="C1" s="0" t="inlineStr">
        <is>
          <t>HasPvalue</t>
        </is>
      </c>
      <c r="D1" s="0" t="inlineStr">
        <is>
          <t>Pvalue0.05</t>
        </is>
      </c>
      <c r="E1" s="0" t="inlineStr">
        <is>
          <t>Pvalue0.01</t>
        </is>
      </c>
      <c r="F1" s="0" t="inlineStr">
        <is>
          <t>Pvalue0.005</t>
        </is>
      </c>
      <c r="G1" s="0" t="inlineStr">
        <is>
          <t>Pvalue0.001</t>
        </is>
      </c>
    </row>
    <row r="2">
      <c r="A2" s="0" t="n">
        <v>1990</v>
      </c>
      <c r="B2" s="0" t="n">
        <v>4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</row>
    <row r="3">
      <c r="A3" s="0" t="n">
        <v>1991</v>
      </c>
      <c r="B3" s="0" t="n">
        <v>7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</row>
    <row r="4">
      <c r="A4" s="0" t="n">
        <v>1992</v>
      </c>
      <c r="B4" s="0" t="n">
        <v>2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</row>
    <row r="5">
      <c r="A5" s="0" t="n">
        <v>1993</v>
      </c>
      <c r="B5" s="0" t="n">
        <v>8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</row>
    <row r="6">
      <c r="A6" s="0" t="n">
        <v>1994</v>
      </c>
      <c r="B6" s="0" t="n">
        <v>22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</row>
    <row r="7">
      <c r="A7" s="0" t="n">
        <v>1995</v>
      </c>
      <c r="B7" s="0" t="n">
        <v>36</v>
      </c>
      <c r="C7" s="0" t="n">
        <v>3</v>
      </c>
      <c r="D7" s="0" t="n">
        <v>3</v>
      </c>
      <c r="E7" s="0" t="n">
        <v>3</v>
      </c>
      <c r="F7" s="0" t="n">
        <v>2</v>
      </c>
      <c r="G7" s="0" t="n">
        <v>2</v>
      </c>
    </row>
    <row r="8">
      <c r="A8" s="0" t="n">
        <v>1996</v>
      </c>
      <c r="B8" s="0" t="n">
        <v>69</v>
      </c>
      <c r="C8" s="0" t="n">
        <v>4</v>
      </c>
      <c r="D8" s="0" t="n">
        <v>4</v>
      </c>
      <c r="E8" s="0" t="n">
        <v>4</v>
      </c>
      <c r="F8" s="0" t="n">
        <v>3</v>
      </c>
      <c r="G8" s="0" t="n">
        <v>3</v>
      </c>
    </row>
    <row r="9">
      <c r="A9" s="0" t="n">
        <v>1997</v>
      </c>
      <c r="B9" s="0" t="n">
        <v>127</v>
      </c>
      <c r="C9" s="0" t="n">
        <v>9</v>
      </c>
      <c r="D9" s="0" t="n">
        <v>9</v>
      </c>
      <c r="E9" s="0" t="n">
        <v>5</v>
      </c>
      <c r="F9" s="0" t="n">
        <v>4</v>
      </c>
      <c r="G9" s="0" t="n">
        <v>4</v>
      </c>
    </row>
    <row r="10">
      <c r="A10" s="0" t="n">
        <v>1998</v>
      </c>
      <c r="B10" s="0" t="n">
        <v>205</v>
      </c>
      <c r="C10" s="0" t="n">
        <v>8</v>
      </c>
      <c r="D10" s="0" t="n">
        <v>7</v>
      </c>
      <c r="E10" s="0" t="n">
        <v>5</v>
      </c>
      <c r="F10" s="0" t="n">
        <v>5</v>
      </c>
      <c r="G10" s="0" t="n">
        <v>4</v>
      </c>
    </row>
    <row r="11">
      <c r="A11" s="0" t="n">
        <v>1999</v>
      </c>
      <c r="B11" s="0" t="n">
        <v>276</v>
      </c>
      <c r="C11" s="0" t="n">
        <v>17</v>
      </c>
      <c r="D11" s="0" t="n">
        <v>15</v>
      </c>
      <c r="E11" s="0" t="n">
        <v>8</v>
      </c>
      <c r="F11" s="0" t="n">
        <v>7</v>
      </c>
      <c r="G11" s="0" t="n">
        <v>5</v>
      </c>
    </row>
    <row r="12">
      <c r="A12" s="0" t="n">
        <v>2000</v>
      </c>
      <c r="B12" s="0" t="n">
        <v>1387</v>
      </c>
      <c r="C12" s="0" t="n">
        <v>74</v>
      </c>
      <c r="D12" s="0" t="n">
        <v>63</v>
      </c>
      <c r="E12" s="0" t="n">
        <v>46</v>
      </c>
      <c r="F12" s="0" t="n">
        <v>41</v>
      </c>
      <c r="G12" s="0" t="n">
        <v>34</v>
      </c>
    </row>
    <row r="13">
      <c r="A13" s="0" t="n">
        <v>2001</v>
      </c>
      <c r="B13" s="0" t="n">
        <v>1034</v>
      </c>
      <c r="C13" s="0" t="n">
        <v>70</v>
      </c>
      <c r="D13" s="0" t="n">
        <v>60</v>
      </c>
      <c r="E13" s="0" t="n">
        <v>42</v>
      </c>
      <c r="F13" s="0" t="n">
        <v>31</v>
      </c>
      <c r="G13" s="0" t="n">
        <v>29</v>
      </c>
    </row>
    <row r="14">
      <c r="A14" s="0" t="n">
        <v>2002</v>
      </c>
      <c r="B14" s="0" t="n">
        <v>1161</v>
      </c>
      <c r="C14" s="0" t="n">
        <v>92</v>
      </c>
      <c r="D14" s="0" t="n">
        <v>75</v>
      </c>
      <c r="E14" s="0" t="n">
        <v>67</v>
      </c>
      <c r="F14" s="0" t="n">
        <v>60</v>
      </c>
      <c r="G14" s="0" t="n">
        <v>54</v>
      </c>
    </row>
    <row r="15">
      <c r="A15" s="0" t="n">
        <v>2003</v>
      </c>
      <c r="B15" s="0" t="n">
        <v>1369</v>
      </c>
      <c r="C15" s="0" t="n">
        <v>136</v>
      </c>
      <c r="D15" s="0" t="n">
        <v>121</v>
      </c>
      <c r="E15" s="0" t="n">
        <v>97</v>
      </c>
      <c r="F15" s="0" t="n">
        <v>82</v>
      </c>
      <c r="G15" s="0" t="n">
        <v>63</v>
      </c>
    </row>
    <row r="16">
      <c r="A16" s="0" t="n">
        <v>2004</v>
      </c>
      <c r="B16" s="0" t="n">
        <v>1694</v>
      </c>
      <c r="C16" s="0" t="n">
        <v>170</v>
      </c>
      <c r="D16" s="0" t="n">
        <v>144</v>
      </c>
      <c r="E16" s="0" t="n">
        <v>107</v>
      </c>
      <c r="F16" s="0" t="n">
        <v>91</v>
      </c>
      <c r="G16" s="0" t="n">
        <v>73</v>
      </c>
    </row>
    <row r="17">
      <c r="A17" s="0" t="n">
        <v>2005</v>
      </c>
      <c r="B17" s="0" t="n">
        <v>1993</v>
      </c>
      <c r="C17" s="0" t="n">
        <v>212</v>
      </c>
      <c r="D17" s="0" t="n">
        <v>188</v>
      </c>
      <c r="E17" s="0" t="n">
        <v>151</v>
      </c>
      <c r="F17" s="0" t="n">
        <v>134</v>
      </c>
      <c r="G17" s="0" t="n">
        <v>111</v>
      </c>
    </row>
    <row r="18">
      <c r="A18" s="0" t="n">
        <v>2006</v>
      </c>
      <c r="B18" s="0" t="n">
        <v>2479</v>
      </c>
      <c r="C18" s="0" t="n">
        <v>269</v>
      </c>
      <c r="D18" s="0" t="n">
        <v>244</v>
      </c>
      <c r="E18" s="0" t="n">
        <v>188</v>
      </c>
      <c r="F18" s="0" t="n">
        <v>149</v>
      </c>
      <c r="G18" s="0" t="n">
        <v>132</v>
      </c>
    </row>
    <row r="19">
      <c r="A19" s="0" t="n">
        <v>2007</v>
      </c>
      <c r="B19" s="0" t="n">
        <v>3317</v>
      </c>
      <c r="C19" s="0" t="n">
        <v>383</v>
      </c>
      <c r="D19" s="0" t="n">
        <v>337</v>
      </c>
      <c r="E19" s="0" t="n">
        <v>273</v>
      </c>
      <c r="F19" s="0" t="n">
        <v>234</v>
      </c>
      <c r="G19" s="0" t="n">
        <v>198</v>
      </c>
    </row>
    <row r="20">
      <c r="A20" s="0" t="n">
        <v>2008</v>
      </c>
      <c r="B20" s="0" t="n">
        <v>3614</v>
      </c>
      <c r="C20" s="0" t="n">
        <v>447</v>
      </c>
      <c r="D20" s="0" t="n">
        <v>391</v>
      </c>
      <c r="E20" s="0" t="n">
        <v>326</v>
      </c>
      <c r="F20" s="0" t="n">
        <v>277</v>
      </c>
      <c r="G20" s="0" t="n">
        <v>234</v>
      </c>
    </row>
    <row r="21">
      <c r="A21" s="0" t="n">
        <v>2009</v>
      </c>
      <c r="B21" s="0" t="n">
        <v>4398</v>
      </c>
      <c r="C21" s="0" t="n">
        <v>568</v>
      </c>
      <c r="D21" s="0" t="n">
        <v>505</v>
      </c>
      <c r="E21" s="0" t="n">
        <v>399</v>
      </c>
      <c r="F21" s="0" t="n">
        <v>339</v>
      </c>
      <c r="G21" s="0" t="n">
        <v>304</v>
      </c>
    </row>
    <row r="22">
      <c r="A22" s="0" t="n">
        <v>2010</v>
      </c>
      <c r="B22" s="0" t="n">
        <v>5249</v>
      </c>
      <c r="C22" s="0" t="n">
        <v>718</v>
      </c>
      <c r="D22" s="0" t="n">
        <v>634</v>
      </c>
      <c r="E22" s="0" t="n">
        <v>506</v>
      </c>
      <c r="F22" s="0" t="n">
        <v>436</v>
      </c>
      <c r="G22" s="0" t="n">
        <v>374</v>
      </c>
    </row>
    <row r="23">
      <c r="A23" s="0" t="n">
        <v>2011</v>
      </c>
      <c r="B23" s="0" t="n">
        <v>6500</v>
      </c>
      <c r="C23" s="0" t="n">
        <v>892</v>
      </c>
      <c r="D23" s="0" t="n">
        <v>792</v>
      </c>
      <c r="E23" s="0" t="n">
        <v>648</v>
      </c>
      <c r="F23" s="0" t="n">
        <v>551</v>
      </c>
      <c r="G23" s="0" t="n">
        <v>479</v>
      </c>
    </row>
    <row r="24">
      <c r="A24" s="0" t="n">
        <v>2012</v>
      </c>
      <c r="B24" s="0" t="n">
        <v>8253</v>
      </c>
      <c r="C24" s="0" t="n">
        <v>1290</v>
      </c>
      <c r="D24" s="0" t="n">
        <v>1138</v>
      </c>
      <c r="E24" s="0" t="n">
        <v>940</v>
      </c>
      <c r="F24" s="0" t="n">
        <v>799</v>
      </c>
      <c r="G24" s="0" t="n">
        <v>695</v>
      </c>
    </row>
    <row r="25">
      <c r="A25" s="0" t="n">
        <v>2013</v>
      </c>
      <c r="B25" s="0" t="n">
        <v>10130</v>
      </c>
      <c r="C25" s="0" t="n">
        <v>1722</v>
      </c>
      <c r="D25" s="0" t="n">
        <v>1539</v>
      </c>
      <c r="E25" s="0" t="n">
        <v>1259</v>
      </c>
      <c r="F25" s="0" t="n">
        <v>1079</v>
      </c>
      <c r="G25" s="0" t="n">
        <v>954</v>
      </c>
    </row>
    <row r="26">
      <c r="A26" s="0" t="n">
        <v>2014</v>
      </c>
      <c r="B26" s="0" t="n">
        <v>11931</v>
      </c>
      <c r="C26" s="0" t="n">
        <v>2115</v>
      </c>
      <c r="D26" s="0" t="n">
        <v>1884</v>
      </c>
      <c r="E26" s="0" t="n">
        <v>1556</v>
      </c>
      <c r="F26" s="0" t="n">
        <v>1334</v>
      </c>
      <c r="G26" s="0" t="n">
        <v>1187</v>
      </c>
    </row>
    <row r="27">
      <c r="A27" s="0" t="n">
        <v>2015</v>
      </c>
      <c r="B27" s="0" t="n">
        <v>13736</v>
      </c>
      <c r="C27" s="0" t="n">
        <v>2676</v>
      </c>
      <c r="D27" s="0" t="n">
        <v>2400</v>
      </c>
      <c r="E27" s="0" t="n">
        <v>1990</v>
      </c>
      <c r="F27" s="0" t="n">
        <v>1702</v>
      </c>
      <c r="G27" s="0" t="n">
        <v>1517</v>
      </c>
    </row>
    <row r="28">
      <c r="A28" s="0" t="n">
        <v>2016</v>
      </c>
      <c r="B28" s="0" t="n">
        <v>15320</v>
      </c>
      <c r="C28" s="0" t="n">
        <v>3008</v>
      </c>
      <c r="D28" s="0" t="n">
        <v>2701</v>
      </c>
      <c r="E28" s="0" t="n">
        <v>2259</v>
      </c>
      <c r="F28" s="0" t="n">
        <v>1950</v>
      </c>
      <c r="G28" s="0" t="n">
        <v>1732</v>
      </c>
    </row>
    <row r="29">
      <c r="A29" s="0" t="n">
        <v>2017</v>
      </c>
      <c r="B29" s="0" t="n">
        <v>17546</v>
      </c>
      <c r="C29" s="0" t="n">
        <v>3552</v>
      </c>
      <c r="D29" s="0" t="n">
        <v>3177</v>
      </c>
      <c r="E29" s="0" t="n">
        <v>2639</v>
      </c>
      <c r="F29" s="0" t="n">
        <v>2280</v>
      </c>
      <c r="G29" s="0" t="n">
        <v>2027</v>
      </c>
    </row>
    <row r="30">
      <c r="A30" s="0" t="n">
        <v>2018</v>
      </c>
      <c r="B30" s="0" t="n">
        <v>19963</v>
      </c>
      <c r="C30" s="0" t="n">
        <v>4190</v>
      </c>
      <c r="D30" s="0" t="n">
        <v>3746</v>
      </c>
      <c r="E30" s="0" t="n">
        <v>3074</v>
      </c>
      <c r="F30" s="0" t="n">
        <v>2628</v>
      </c>
      <c r="G30" s="0" t="n">
        <v>2360</v>
      </c>
    </row>
    <row r="31">
      <c r="A31" s="0" t="n">
        <v>2019</v>
      </c>
      <c r="B31" s="0" t="n">
        <v>23657</v>
      </c>
      <c r="C31" s="0" t="n">
        <v>5191</v>
      </c>
      <c r="D31" s="0" t="n">
        <v>4689</v>
      </c>
      <c r="E31" s="0" t="n">
        <v>3882</v>
      </c>
      <c r="F31" s="0" t="n">
        <v>3341</v>
      </c>
      <c r="G31" s="0" t="n">
        <v>3005</v>
      </c>
    </row>
    <row r="32">
      <c r="A32" s="0" t="n">
        <v>2020</v>
      </c>
      <c r="B32" s="0" t="n">
        <v>28621</v>
      </c>
      <c r="C32" s="0" t="n">
        <v>6356</v>
      </c>
      <c r="D32" s="0" t="n">
        <v>5726</v>
      </c>
      <c r="E32" s="0" t="n">
        <v>4757</v>
      </c>
      <c r="F32" s="0" t="n">
        <v>4077</v>
      </c>
      <c r="G32" s="0" t="n">
        <v>3634</v>
      </c>
    </row>
    <row r="33">
      <c r="A33" s="0" t="n">
        <v>2021</v>
      </c>
      <c r="B33" s="0" t="n">
        <v>33455</v>
      </c>
      <c r="C33" s="0" t="n">
        <v>7555</v>
      </c>
      <c r="D33" s="0" t="n">
        <v>6840</v>
      </c>
      <c r="E33" s="0" t="n">
        <v>5638</v>
      </c>
      <c r="F33" s="0" t="n">
        <v>4808</v>
      </c>
      <c r="G33" s="0" t="n">
        <v>4314</v>
      </c>
    </row>
    <row r="34">
      <c r="A34" s="0" t="n">
        <v>2022</v>
      </c>
      <c r="B34" s="0" t="n">
        <v>33892</v>
      </c>
      <c r="C34" s="0" t="n">
        <v>7720</v>
      </c>
      <c r="D34" s="0" t="n">
        <v>7019</v>
      </c>
      <c r="E34" s="0" t="n">
        <v>5766</v>
      </c>
      <c r="F34" s="0" t="n">
        <v>4938</v>
      </c>
      <c r="G34" s="0" t="n">
        <v>4435</v>
      </c>
    </row>
    <row r="35">
      <c r="A35" s="0" t="n">
        <v>2023</v>
      </c>
      <c r="B35" s="0" t="n">
        <v>32082</v>
      </c>
      <c r="C35" s="0" t="n">
        <v>7557</v>
      </c>
      <c r="D35" s="0" t="n">
        <v>6887</v>
      </c>
      <c r="E35" s="0" t="n">
        <v>5698</v>
      </c>
      <c r="F35" s="0" t="n">
        <v>4787</v>
      </c>
      <c r="G35" s="0" t="n">
        <v>4327</v>
      </c>
    </row>
    <row r="36">
      <c r="A36" s="0" t="n">
        <v>2024</v>
      </c>
      <c r="B36" s="0" t="n">
        <v>35020</v>
      </c>
      <c r="C36" s="0" t="n">
        <v>8563</v>
      </c>
      <c r="D36" s="0" t="n">
        <v>7868</v>
      </c>
      <c r="E36" s="0" t="n">
        <v>6526</v>
      </c>
      <c r="F36" s="0" t="n">
        <v>5331</v>
      </c>
      <c r="G36" s="0" t="n">
        <v>4784</v>
      </c>
    </row>
    <row r="37">
      <c r="A37" s="0" t="n">
        <v>2025</v>
      </c>
      <c r="B37" s="0" t="n">
        <v>24865</v>
      </c>
      <c r="C37" s="0" t="n">
        <v>6346</v>
      </c>
      <c r="D37" s="0" t="n">
        <v>5816</v>
      </c>
      <c r="E37" s="0" t="n">
        <v>4793</v>
      </c>
      <c r="F37" s="0" t="n">
        <v>3880</v>
      </c>
      <c r="G37" s="0" t="n">
        <v>3463</v>
      </c>
    </row>
    <row r="38">
      <c r="A38" s="0" t="inlineStr">
        <is>
          <t>SUM</t>
        </is>
      </c>
      <c r="B38" s="0">
        <f>SUM(B2:B37)</f>
        <v/>
      </c>
      <c r="C38" s="0">
        <f>SUM(C2:C37)</f>
        <v/>
      </c>
      <c r="D38" s="0">
        <f>SUM(D2:D37)</f>
        <v/>
      </c>
      <c r="E38" s="0">
        <f>SUM(E2:E37)</f>
        <v/>
      </c>
      <c r="F38" s="0">
        <f>SUM(F2:F37)</f>
        <v/>
      </c>
      <c r="G38" s="0">
        <f>SUM(G2:G37)</f>
        <v/>
      </c>
    </row>
    <row r="39">
      <c r="A39" s="0" t="inlineStr">
        <is>
          <t>MAX</t>
        </is>
      </c>
      <c r="B39" s="0">
        <f>MAX(B2:B37)</f>
        <v/>
      </c>
      <c r="C39" s="0">
        <f>MAX(C2:C37)</f>
        <v/>
      </c>
      <c r="D39" s="0">
        <f>MAX(D2:D37)</f>
        <v/>
      </c>
      <c r="E39" s="0">
        <f>MAX(E2:E37)</f>
        <v/>
      </c>
      <c r="F39" s="0">
        <f>MAX(F2:F37)</f>
        <v/>
      </c>
      <c r="G39" s="0">
        <f>MAX(G2:G37)</f>
        <v/>
      </c>
    </row>
    <row r="40">
      <c r="A40" s="0" t="inlineStr">
        <is>
          <t>MIN</t>
        </is>
      </c>
      <c r="B40" s="0">
        <f>MIN(B2:B37)</f>
        <v/>
      </c>
      <c r="C40" s="0">
        <f>MIN(C2:C37)</f>
        <v/>
      </c>
      <c r="D40" s="0">
        <f>MIN(D2:D37)</f>
        <v/>
      </c>
      <c r="E40" s="0">
        <f>MIN(E2:E37)</f>
        <v/>
      </c>
      <c r="F40" s="0">
        <f>MIN(F2:F37)</f>
        <v/>
      </c>
      <c r="G40" s="0">
        <f>MIN(G2:G37)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진혁 최</dc:creator>
  <dcterms:created xmlns:dcterms="http://purl.org/dc/terms/" xmlns:xsi="http://www.w3.org/2001/XMLSchema-instance" xsi:type="dcterms:W3CDTF">2025-09-20T09:37:29Z</dcterms:created>
  <dcterms:modified xmlns:dcterms="http://purl.org/dc/terms/" xmlns:xsi="http://www.w3.org/2001/XMLSchema-instance" xsi:type="dcterms:W3CDTF">2026-07-19T08:37:44Z</dcterms:modified>
  <cp:lastModifiedBy>진혁 최</cp:lastModifiedBy>
</cp:coreProperties>
</file>