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oijinhyeok/Documents/ResearchJamaPvalue/OrganizedCodeStructure/Step4_text_analysis/Figure4/"/>
    </mc:Choice>
  </mc:AlternateContent>
  <xr:revisionPtr revIDLastSave="0" documentId="13_ncr:1_{3B6D19D9-7563-334E-B882-FD45D0617C0C}" xr6:coauthVersionLast="47" xr6:coauthVersionMax="47" xr10:uidLastSave="{00000000-0000-0000-0000-000000000000}"/>
  <bookViews>
    <workbookView xWindow="0" yWindow="760" windowWidth="30240" windowHeight="17800" activeTab="5" xr2:uid="{DF799AEA-2700-0847-986A-8EA80B3DCF15}"/>
  </bookViews>
  <sheets>
    <sheet name="RCT" sheetId="1" r:id="rId1"/>
    <sheet name="CT" sheetId="2" r:id="rId2"/>
    <sheet name="META" sheetId="3" r:id="rId3"/>
    <sheet name="REVIEW" sheetId="4" r:id="rId4"/>
    <sheet name="CCJ" sheetId="5" r:id="rId5"/>
    <sheet name="ALL" sheetId="6" r:id="rId6"/>
    <sheet name="OBS" sheetId="7" r:id="rId7"/>
    <sheet name="SYSREV" sheetId="8" r:id="rId8"/>
    <sheet name="minp" sheetId="9" r:id="rId9"/>
    <sheet name="maxp" sheetId="10" r:id="rId10"/>
  </sheets>
  <definedNames>
    <definedName name="A">minp!$1:$1048576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0" l="1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I2" i="10"/>
  <c r="H2" i="10"/>
  <c r="G2" i="10"/>
  <c r="F2" i="10"/>
  <c r="E2" i="10"/>
  <c r="D2" i="10"/>
  <c r="C2" i="10"/>
  <c r="L1" i="10" s="1" a="1"/>
  <c r="L1" i="10" s="1"/>
  <c r="B2" i="10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I2" i="9"/>
  <c r="H2" i="9"/>
  <c r="G2" i="9"/>
  <c r="F2" i="9"/>
  <c r="E2" i="9"/>
  <c r="D2" i="9"/>
  <c r="C2" i="9"/>
  <c r="L1" i="9" s="1" a="1"/>
  <c r="L1" i="9" s="1"/>
  <c r="B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G40" i="6"/>
  <c r="F40" i="6"/>
  <c r="E40" i="6"/>
  <c r="D40" i="6"/>
  <c r="C40" i="6"/>
  <c r="B40" i="6"/>
  <c r="G39" i="6"/>
  <c r="F39" i="6"/>
  <c r="E39" i="6"/>
  <c r="D39" i="6"/>
  <c r="C39" i="6"/>
  <c r="B39" i="6"/>
  <c r="G38" i="6"/>
  <c r="F38" i="6"/>
  <c r="E38" i="6"/>
  <c r="D38" i="6"/>
  <c r="C38" i="6"/>
  <c r="B38" i="6"/>
  <c r="G40" i="5"/>
  <c r="F40" i="5"/>
  <c r="E40" i="5"/>
  <c r="D40" i="5"/>
  <c r="C40" i="5"/>
  <c r="B40" i="5"/>
  <c r="G39" i="5"/>
  <c r="F39" i="5"/>
  <c r="E39" i="5"/>
  <c r="D39" i="5"/>
  <c r="C39" i="5"/>
  <c r="B39" i="5"/>
  <c r="G38" i="5"/>
  <c r="F38" i="5"/>
  <c r="E38" i="5"/>
  <c r="D38" i="5"/>
  <c r="C38" i="5"/>
  <c r="B38" i="5"/>
  <c r="G40" i="4"/>
  <c r="F40" i="4"/>
  <c r="E40" i="4"/>
  <c r="D40" i="4"/>
  <c r="C40" i="4"/>
  <c r="B40" i="4"/>
  <c r="G39" i="4"/>
  <c r="F39" i="4"/>
  <c r="E39" i="4"/>
  <c r="D39" i="4"/>
  <c r="C39" i="4"/>
  <c r="B39" i="4"/>
  <c r="G38" i="4"/>
  <c r="F38" i="4"/>
  <c r="E38" i="4"/>
  <c r="D38" i="4"/>
  <c r="C38" i="4"/>
  <c r="B38" i="4"/>
  <c r="G40" i="3"/>
  <c r="F40" i="3"/>
  <c r="E40" i="3"/>
  <c r="D40" i="3"/>
  <c r="C40" i="3"/>
  <c r="B40" i="3"/>
  <c r="G39" i="3"/>
  <c r="F39" i="3"/>
  <c r="E39" i="3"/>
  <c r="D39" i="3"/>
  <c r="C39" i="3"/>
  <c r="B39" i="3"/>
  <c r="G38" i="3"/>
  <c r="F38" i="3"/>
  <c r="E38" i="3"/>
  <c r="D38" i="3"/>
  <c r="C38" i="3"/>
  <c r="B38" i="3"/>
  <c r="G40" i="2"/>
  <c r="F40" i="2"/>
  <c r="E40" i="2"/>
  <c r="D40" i="2"/>
  <c r="C40" i="2"/>
  <c r="B40" i="2"/>
  <c r="G39" i="2"/>
  <c r="F39" i="2"/>
  <c r="E39" i="2"/>
  <c r="D39" i="2"/>
  <c r="C39" i="2"/>
  <c r="B39" i="2"/>
  <c r="G38" i="2"/>
  <c r="F38" i="2"/>
  <c r="E38" i="2"/>
  <c r="D38" i="2"/>
  <c r="C38" i="2"/>
  <c r="B38" i="2"/>
  <c r="C40" i="1"/>
  <c r="D40" i="1"/>
  <c r="E40" i="1"/>
  <c r="F40" i="1"/>
  <c r="G40" i="1"/>
  <c r="B40" i="1"/>
  <c r="C39" i="1"/>
  <c r="D39" i="1"/>
  <c r="E39" i="1"/>
  <c r="F39" i="1"/>
  <c r="G39" i="1"/>
  <c r="B39" i="1"/>
  <c r="C38" i="1"/>
  <c r="D38" i="1"/>
  <c r="E38" i="1"/>
  <c r="F38" i="1"/>
  <c r="G38" i="1"/>
  <c r="B3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<sst xmlns="http://schemas.openxmlformats.org/spreadsheetml/2006/main" count="92" uniqueCount="25">
  <si>
    <t>Year</t>
    <phoneticPr fontId="1" type="noConversion"/>
  </si>
  <si>
    <t>SUM</t>
    <phoneticPr fontId="1" type="noConversion"/>
  </si>
  <si>
    <t>MAX</t>
    <phoneticPr fontId="1" type="noConversion"/>
  </si>
  <si>
    <t>MIN</t>
    <phoneticPr fontId="1" type="noConversion"/>
  </si>
  <si>
    <t>min_log_avg</t>
  </si>
  <si>
    <t>max_log_avy</t>
  </si>
  <si>
    <t>article_n</t>
  </si>
  <si>
    <t>abs_has_p</t>
  </si>
  <si>
    <t>min_count</t>
  </si>
  <si>
    <t>max_count</t>
  </si>
  <si>
    <t>Randomized controlled trial</t>
  </si>
  <si>
    <t>Clinical trial</t>
  </si>
  <si>
    <t>Meta-analysis</t>
  </si>
  <si>
    <t>Review</t>
  </si>
  <si>
    <t>Core clinical journal</t>
  </si>
  <si>
    <t>All MEDLINE</t>
  </si>
  <si>
    <t>Randomized controlled trial</t>
    <phoneticPr fontId="1" type="noConversion"/>
  </si>
  <si>
    <t>Clinical trial</t>
    <phoneticPr fontId="1" type="noConversion"/>
  </si>
  <si>
    <t>Meta-analysis</t>
    <phoneticPr fontId="1" type="noConversion"/>
  </si>
  <si>
    <t>Review</t>
    <phoneticPr fontId="1" type="noConversion"/>
  </si>
  <si>
    <t>Core clinical journal</t>
    <phoneticPr fontId="1" type="noConversion"/>
  </si>
  <si>
    <t>All MEDLINE</t>
    <phoneticPr fontId="1" type="noConversion"/>
  </si>
  <si>
    <t>Observational_Study</t>
  </si>
  <si>
    <t>Systematical_review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</si>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</sst>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D562-EEDD-9D48-A28A-C288ED7AA4E9}">
  <dimension ref="A1:G40"/>
  <sheetViews>
    <sheetView workbookViewId="0">
      <selection activeCell="A2" sqref="A2:G37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">
      <c r="A2">
        <v>1990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</row>
    <row r="3" spans="1:7" x14ac:dyDescent="0.2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>
        <v>1992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</row>
    <row r="5" spans="1:7" x14ac:dyDescent="0.2">
      <c r="A5">
        <v>1993</v>
      </c>
      <c r="B5">
        <v>1.99999999999999</v>
      </c>
      <c r="C5">
        <v>1.3010299956639799</v>
      </c>
      <c r="D5">
        <v>1</v>
      </c>
      <c r="E5">
        <v>1</v>
      </c>
      <c r="F5">
        <v>1</v>
      </c>
      <c r="G5">
        <v>1</v>
      </c>
    </row>
    <row r="6" spans="1:7" x14ac:dyDescent="0.2">
      <c r="A6">
        <v>1994</v>
      </c>
      <c r="B6">
        <v>2.6505149978319902</v>
      </c>
      <c r="C6">
        <v>1.8010299956639799</v>
      </c>
      <c r="D6">
        <v>3</v>
      </c>
      <c r="E6">
        <v>2</v>
      </c>
      <c r="F6">
        <v>2</v>
      </c>
      <c r="G6">
        <v>2</v>
      </c>
    </row>
    <row r="7" spans="1:7" x14ac:dyDescent="0.2">
      <c r="A7">
        <v>1995</v>
      </c>
      <c r="B7">
        <v>2.9999999999999898</v>
      </c>
      <c r="C7">
        <v>1.3010299956639799</v>
      </c>
      <c r="D7">
        <v>2</v>
      </c>
      <c r="E7">
        <v>1</v>
      </c>
      <c r="F7">
        <v>1</v>
      </c>
      <c r="G7">
        <v>1</v>
      </c>
    </row>
    <row r="8" spans="1:7" x14ac:dyDescent="0.2">
      <c r="A8">
        <v>1996</v>
      </c>
      <c r="B8">
        <v>3.9999999999999898</v>
      </c>
      <c r="C8">
        <v>0.30102999566398098</v>
      </c>
      <c r="D8">
        <v>1</v>
      </c>
      <c r="E8">
        <v>1</v>
      </c>
      <c r="F8">
        <v>1</v>
      </c>
      <c r="G8">
        <v>1</v>
      </c>
    </row>
    <row r="9" spans="1:7" x14ac:dyDescent="0.2">
      <c r="A9">
        <v>1997</v>
      </c>
      <c r="B9">
        <v>1.90051499783199</v>
      </c>
      <c r="C9">
        <v>0.75027177391030297</v>
      </c>
      <c r="D9">
        <v>4</v>
      </c>
      <c r="E9">
        <v>4</v>
      </c>
      <c r="F9">
        <v>4</v>
      </c>
      <c r="G9">
        <v>4</v>
      </c>
    </row>
    <row r="10" spans="1:7" x14ac:dyDescent="0.2">
      <c r="A10">
        <v>1998</v>
      </c>
      <c r="B10">
        <v>2.1505149978319902</v>
      </c>
      <c r="C10">
        <v>0.98721186938815397</v>
      </c>
      <c r="D10">
        <v>5</v>
      </c>
      <c r="E10">
        <v>4</v>
      </c>
      <c r="F10">
        <v>4</v>
      </c>
      <c r="G10">
        <v>4</v>
      </c>
    </row>
    <row r="11" spans="1:7" x14ac:dyDescent="0.2">
      <c r="A11">
        <v>1999</v>
      </c>
      <c r="B11">
        <v>2.36478174818886</v>
      </c>
      <c r="C11">
        <v>0.99249876446166396</v>
      </c>
      <c r="D11">
        <v>6</v>
      </c>
      <c r="E11">
        <v>5</v>
      </c>
      <c r="F11">
        <v>5</v>
      </c>
      <c r="G11">
        <v>5</v>
      </c>
    </row>
    <row r="12" spans="1:7" x14ac:dyDescent="0.2">
      <c r="A12">
        <v>2000</v>
      </c>
      <c r="B12">
        <v>1.9078551363520999</v>
      </c>
      <c r="C12">
        <v>1.14918530212981</v>
      </c>
      <c r="D12">
        <v>10</v>
      </c>
      <c r="E12">
        <v>9</v>
      </c>
      <c r="F12">
        <v>9</v>
      </c>
      <c r="G12">
        <v>9</v>
      </c>
    </row>
    <row r="13" spans="1:7" x14ac:dyDescent="0.2">
      <c r="A13">
        <v>2001</v>
      </c>
      <c r="B13">
        <v>2.3558791542975102</v>
      </c>
      <c r="C13">
        <v>0.75522878371070001</v>
      </c>
      <c r="D13">
        <v>21</v>
      </c>
      <c r="E13">
        <v>15</v>
      </c>
      <c r="F13">
        <v>15</v>
      </c>
      <c r="G13">
        <v>15</v>
      </c>
    </row>
    <row r="14" spans="1:7" x14ac:dyDescent="0.2">
      <c r="A14">
        <v>2002</v>
      </c>
      <c r="B14">
        <v>2.4683263431101299</v>
      </c>
      <c r="C14">
        <v>0.83374820674070804</v>
      </c>
      <c r="D14">
        <v>65</v>
      </c>
      <c r="E14">
        <v>50</v>
      </c>
      <c r="F14">
        <v>50</v>
      </c>
      <c r="G14">
        <v>50</v>
      </c>
    </row>
    <row r="15" spans="1:7" x14ac:dyDescent="0.2">
      <c r="A15">
        <v>2003</v>
      </c>
      <c r="B15">
        <v>2.4274548201877</v>
      </c>
      <c r="C15">
        <v>0.936248732734555</v>
      </c>
      <c r="D15">
        <v>68</v>
      </c>
      <c r="E15">
        <v>50</v>
      </c>
      <c r="F15">
        <v>50</v>
      </c>
      <c r="G15">
        <v>50</v>
      </c>
    </row>
    <row r="16" spans="1:7" x14ac:dyDescent="0.2">
      <c r="A16">
        <v>2004</v>
      </c>
      <c r="B16">
        <v>2.42619973327752</v>
      </c>
      <c r="C16">
        <v>0.85965501892058604</v>
      </c>
      <c r="D16">
        <v>157</v>
      </c>
      <c r="E16">
        <v>129</v>
      </c>
      <c r="F16">
        <v>129</v>
      </c>
      <c r="G16">
        <v>129</v>
      </c>
    </row>
    <row r="17" spans="1:7" x14ac:dyDescent="0.2">
      <c r="A17">
        <v>2005</v>
      </c>
      <c r="B17">
        <v>2.57897659203091</v>
      </c>
      <c r="C17">
        <v>0.86198690187209703</v>
      </c>
      <c r="D17">
        <v>190</v>
      </c>
      <c r="E17">
        <v>151</v>
      </c>
      <c r="F17">
        <v>151</v>
      </c>
      <c r="G17">
        <v>151</v>
      </c>
    </row>
    <row r="18" spans="1:7" x14ac:dyDescent="0.2">
      <c r="A18">
        <v>2006</v>
      </c>
      <c r="B18">
        <v>2.5934748816786799</v>
      </c>
      <c r="C18">
        <v>0.81384020094245002</v>
      </c>
      <c r="D18">
        <v>258</v>
      </c>
      <c r="E18">
        <v>198</v>
      </c>
      <c r="F18">
        <v>198</v>
      </c>
      <c r="G18">
        <v>198</v>
      </c>
    </row>
    <row r="19" spans="1:7" x14ac:dyDescent="0.2">
      <c r="A19">
        <v>2007</v>
      </c>
      <c r="B19">
        <v>2.55972446350445</v>
      </c>
      <c r="C19">
        <v>0.86614302870013504</v>
      </c>
      <c r="D19">
        <v>476</v>
      </c>
      <c r="E19">
        <v>354</v>
      </c>
      <c r="F19">
        <v>354</v>
      </c>
      <c r="G19">
        <v>354</v>
      </c>
    </row>
    <row r="20" spans="1:7" x14ac:dyDescent="0.2">
      <c r="A20">
        <v>2008</v>
      </c>
      <c r="B20">
        <v>2.6520807768891999</v>
      </c>
      <c r="C20">
        <v>0.85843762285458403</v>
      </c>
      <c r="D20">
        <v>756</v>
      </c>
      <c r="E20">
        <v>586</v>
      </c>
      <c r="F20">
        <v>586</v>
      </c>
      <c r="G20">
        <v>586</v>
      </c>
    </row>
    <row r="21" spans="1:7" x14ac:dyDescent="0.2">
      <c r="A21">
        <v>2009</v>
      </c>
      <c r="B21">
        <v>2.5963564741736098</v>
      </c>
      <c r="C21">
        <v>0.80437727855621299</v>
      </c>
      <c r="D21">
        <v>1076</v>
      </c>
      <c r="E21">
        <v>791</v>
      </c>
      <c r="F21">
        <v>791</v>
      </c>
      <c r="G21">
        <v>791</v>
      </c>
    </row>
    <row r="22" spans="1:7" x14ac:dyDescent="0.2">
      <c r="A22">
        <v>2010</v>
      </c>
      <c r="B22">
        <v>2.65020396663318</v>
      </c>
      <c r="C22">
        <v>0.81923450158411204</v>
      </c>
      <c r="D22">
        <v>1462</v>
      </c>
      <c r="E22">
        <v>1058</v>
      </c>
      <c r="F22">
        <v>1058</v>
      </c>
      <c r="G22">
        <v>1058</v>
      </c>
    </row>
    <row r="23" spans="1:7" x14ac:dyDescent="0.2">
      <c r="A23">
        <v>2011</v>
      </c>
      <c r="B23">
        <v>2.6467571608244702</v>
      </c>
      <c r="C23">
        <v>0.80790138991009897</v>
      </c>
      <c r="D23">
        <v>2043</v>
      </c>
      <c r="E23">
        <v>1480</v>
      </c>
      <c r="F23">
        <v>1480</v>
      </c>
      <c r="G23">
        <v>1480</v>
      </c>
    </row>
    <row r="24" spans="1:7" x14ac:dyDescent="0.2">
      <c r="A24">
        <v>2012</v>
      </c>
      <c r="B24">
        <v>2.6292681583314099</v>
      </c>
      <c r="C24">
        <v>0.83351323745067296</v>
      </c>
      <c r="D24">
        <v>2521</v>
      </c>
      <c r="E24">
        <v>1890</v>
      </c>
      <c r="F24">
        <v>1890</v>
      </c>
      <c r="G24">
        <v>1890</v>
      </c>
    </row>
    <row r="25" spans="1:7" x14ac:dyDescent="0.2">
      <c r="A25">
        <v>2013</v>
      </c>
      <c r="B25">
        <v>2.6205269296235101</v>
      </c>
      <c r="C25">
        <v>0.79428390193698395</v>
      </c>
      <c r="D25">
        <v>3459</v>
      </c>
      <c r="E25">
        <v>2569</v>
      </c>
      <c r="F25">
        <v>2569</v>
      </c>
      <c r="G25">
        <v>2569</v>
      </c>
    </row>
    <row r="26" spans="1:7" x14ac:dyDescent="0.2">
      <c r="A26">
        <v>2014</v>
      </c>
      <c r="B26">
        <v>2.6296971796051198</v>
      </c>
      <c r="C26">
        <v>0.83614176600731005</v>
      </c>
      <c r="D26">
        <v>4252</v>
      </c>
      <c r="E26">
        <v>3157</v>
      </c>
      <c r="F26">
        <v>3157</v>
      </c>
      <c r="G26">
        <v>3157</v>
      </c>
    </row>
    <row r="27" spans="1:7" x14ac:dyDescent="0.2">
      <c r="A27">
        <v>2015</v>
      </c>
      <c r="B27">
        <v>2.59777571678582</v>
      </c>
      <c r="C27">
        <v>0.78482691388711201</v>
      </c>
      <c r="D27">
        <v>4706</v>
      </c>
      <c r="E27">
        <v>3544</v>
      </c>
      <c r="F27">
        <v>3544</v>
      </c>
      <c r="G27">
        <v>3544</v>
      </c>
    </row>
    <row r="28" spans="1:7" x14ac:dyDescent="0.2">
      <c r="A28">
        <v>2016</v>
      </c>
      <c r="B28">
        <v>2.5948417384843401</v>
      </c>
      <c r="C28">
        <v>0.79403546800237501</v>
      </c>
      <c r="D28">
        <v>5058</v>
      </c>
      <c r="E28">
        <v>3849</v>
      </c>
      <c r="F28">
        <v>3849</v>
      </c>
      <c r="G28">
        <v>3849</v>
      </c>
    </row>
    <row r="29" spans="1:7" x14ac:dyDescent="0.2">
      <c r="A29">
        <v>2017</v>
      </c>
      <c r="B29">
        <v>2.5435003211057201</v>
      </c>
      <c r="C29">
        <v>0.78509150181373799</v>
      </c>
      <c r="D29">
        <v>5499</v>
      </c>
      <c r="E29">
        <v>4199</v>
      </c>
      <c r="F29">
        <v>4199</v>
      </c>
      <c r="G29">
        <v>4199</v>
      </c>
    </row>
    <row r="30" spans="1:7" x14ac:dyDescent="0.2">
      <c r="A30">
        <v>2018</v>
      </c>
      <c r="B30">
        <v>2.6006466111570998</v>
      </c>
      <c r="C30">
        <v>0.77058647993340301</v>
      </c>
      <c r="D30">
        <v>5323</v>
      </c>
      <c r="E30">
        <v>4232</v>
      </c>
      <c r="F30">
        <v>4232</v>
      </c>
      <c r="G30">
        <v>4232</v>
      </c>
    </row>
    <row r="31" spans="1:7" x14ac:dyDescent="0.2">
      <c r="A31">
        <v>2019</v>
      </c>
      <c r="B31">
        <v>2.6306678765763198</v>
      </c>
      <c r="C31">
        <v>0.75774585548099704</v>
      </c>
      <c r="D31">
        <v>5881</v>
      </c>
      <c r="E31">
        <v>4800</v>
      </c>
      <c r="F31">
        <v>4800</v>
      </c>
      <c r="G31">
        <v>4800</v>
      </c>
    </row>
    <row r="32" spans="1:7" x14ac:dyDescent="0.2">
      <c r="A32">
        <v>2020</v>
      </c>
      <c r="B32">
        <v>2.6353634273181501</v>
      </c>
      <c r="C32">
        <v>0.75065921737561203</v>
      </c>
      <c r="D32">
        <v>7067</v>
      </c>
      <c r="E32">
        <v>5783</v>
      </c>
      <c r="F32">
        <v>5783</v>
      </c>
      <c r="G32">
        <v>5783</v>
      </c>
    </row>
    <row r="33" spans="1:7" x14ac:dyDescent="0.2">
      <c r="A33">
        <v>2021</v>
      </c>
      <c r="B33">
        <v>2.6294962123660199</v>
      </c>
      <c r="C33">
        <v>0.72256841531473104</v>
      </c>
      <c r="D33">
        <v>8152</v>
      </c>
      <c r="E33">
        <v>6784</v>
      </c>
      <c r="F33">
        <v>6784</v>
      </c>
      <c r="G33">
        <v>6784</v>
      </c>
    </row>
    <row r="34" spans="1:7" x14ac:dyDescent="0.2">
      <c r="A34">
        <v>2022</v>
      </c>
      <c r="B34">
        <v>2.57075790185436</v>
      </c>
      <c r="C34">
        <v>0.76400600932419205</v>
      </c>
      <c r="D34">
        <v>9721</v>
      </c>
      <c r="E34">
        <v>8225</v>
      </c>
      <c r="F34">
        <v>8225</v>
      </c>
      <c r="G34">
        <v>8225</v>
      </c>
    </row>
    <row r="35" spans="1:7" x14ac:dyDescent="0.2">
      <c r="A35">
        <v>2023</v>
      </c>
      <c r="B35">
        <v>2.62751564829439</v>
      </c>
      <c r="C35">
        <v>0.74182177307660702</v>
      </c>
      <c r="D35">
        <v>8052</v>
      </c>
      <c r="E35">
        <v>6845</v>
      </c>
      <c r="F35">
        <v>6845</v>
      </c>
      <c r="G35">
        <v>6845</v>
      </c>
    </row>
    <row r="36" spans="1:7" x14ac:dyDescent="0.2">
      <c r="A36">
        <v>2024</v>
      </c>
      <c r="B36">
        <v>2.61351664444779</v>
      </c>
      <c r="C36">
        <v>0.72230176805027901</v>
      </c>
      <c r="D36">
        <v>8653</v>
      </c>
      <c r="E36">
        <v>7493</v>
      </c>
      <c r="F36">
        <v>7493</v>
      </c>
      <c r="G36">
        <v>7493</v>
      </c>
    </row>
    <row r="37" spans="1:7" x14ac:dyDescent="0.2">
      <c r="A37">
        <v>2025</v>
      </c>
      <c r="B37">
        <v>2.6470909344521298</v>
      </c>
      <c r="C37">
        <v>0.69149831793009597</v>
      </c>
      <c r="D37">
        <v>7148</v>
      </c>
      <c r="E37">
        <v>6234</v>
      </c>
      <c r="F37">
        <v>6234</v>
      </c>
      <c r="G37">
        <v>6234</v>
      </c>
    </row>
    <row r="38" spans="1:7" x14ac:dyDescent="0.2">
      <c r="A38" t="s">
        <v>1</v>
      </c>
      <c r="B38">
        <f t="shared" ref="B38:G38" si="0">SUM(B2:B37)</f>
        <v>84.500281545046448</v>
      </c>
      <c r="C38">
        <f t="shared" si="0"/>
        <v>28.54916998465621</v>
      </c>
      <c r="D38">
        <f t="shared" si="0"/>
        <v>92098</v>
      </c>
      <c r="E38">
        <f t="shared" si="0"/>
        <v>74493</v>
      </c>
      <c r="F38">
        <f t="shared" si="0"/>
        <v>74493</v>
      </c>
      <c r="G38">
        <f t="shared" si="0"/>
        <v>74493</v>
      </c>
    </row>
    <row r="39" spans="1:7" x14ac:dyDescent="0.2">
      <c r="A39" t="s">
        <v>2</v>
      </c>
      <c r="B39">
        <f>MAX(B2:B37)</f>
        <v>3.9999999999999898</v>
      </c>
      <c r="C39">
        <f t="shared" ref="C39:G39" si="1">MAX(C2:C37)</f>
        <v>1.8010299956639799</v>
      </c>
      <c r="D39">
        <f t="shared" si="1"/>
        <v>9721</v>
      </c>
      <c r="E39">
        <f t="shared" si="1"/>
        <v>8225</v>
      </c>
      <c r="F39">
        <f t="shared" si="1"/>
        <v>8225</v>
      </c>
      <c r="G39">
        <f t="shared" si="1"/>
        <v>8225</v>
      </c>
    </row>
    <row r="40" spans="1:7" x14ac:dyDescent="0.2">
      <c r="A40" t="s">
        <v>3</v>
      </c>
      <c r="B40">
        <f>MIN(B2:B37)</f>
        <v>0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8FDB-F9C6-D64A-BF7D-42F8BBB6E5C4}">
  <dimension ref="A1:G40"/>
  <sheetViews>
    <sheetView workbookViewId="0">
      <selection activeCell="A2" sqref="A2:G37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">
      <c r="A2">
        <v>1990</v>
      </c>
      <c r="B2">
        <v>1.3010299956639799</v>
      </c>
      <c r="C2">
        <v>1.3010299956639799</v>
      </c>
      <c r="D2">
        <v>1</v>
      </c>
      <c r="E2">
        <v>1</v>
      </c>
      <c r="F2">
        <v>1</v>
      </c>
      <c r="G2">
        <v>1</v>
      </c>
    </row>
    <row r="3" spans="1:7" x14ac:dyDescent="0.2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>
        <v>1995</v>
      </c>
      <c r="B7">
        <v>1.4604093769761799</v>
      </c>
      <c r="C7">
        <v>1.1109243748081701</v>
      </c>
      <c r="D7">
        <v>2</v>
      </c>
      <c r="E7">
        <v>2</v>
      </c>
      <c r="F7">
        <v>2</v>
      </c>
      <c r="G7">
        <v>2</v>
      </c>
    </row>
    <row r="8" spans="1:7" x14ac:dyDescent="0.2">
      <c r="A8">
        <v>1996</v>
      </c>
      <c r="B8">
        <v>2.9999999999999898</v>
      </c>
      <c r="C8">
        <v>1.3010299956639799</v>
      </c>
      <c r="D8">
        <v>2</v>
      </c>
      <c r="E8">
        <v>2</v>
      </c>
      <c r="F8">
        <v>2</v>
      </c>
      <c r="G8">
        <v>2</v>
      </c>
    </row>
    <row r="9" spans="1:7" x14ac:dyDescent="0.2">
      <c r="A9">
        <v>1997</v>
      </c>
      <c r="B9">
        <v>1.9397940008672001</v>
      </c>
      <c r="C9">
        <v>1.36123599479677</v>
      </c>
      <c r="D9">
        <v>14</v>
      </c>
      <c r="E9">
        <v>5</v>
      </c>
      <c r="F9">
        <v>5</v>
      </c>
      <c r="G9">
        <v>5</v>
      </c>
    </row>
    <row r="10" spans="1:7" x14ac:dyDescent="0.2">
      <c r="A10">
        <v>1998</v>
      </c>
      <c r="B10">
        <v>2.1420539459598098</v>
      </c>
      <c r="C10">
        <v>1.1484035755159301</v>
      </c>
      <c r="D10">
        <v>20</v>
      </c>
      <c r="E10">
        <v>6</v>
      </c>
      <c r="F10">
        <v>6</v>
      </c>
      <c r="G10">
        <v>6</v>
      </c>
    </row>
    <row r="11" spans="1:7" x14ac:dyDescent="0.2">
      <c r="A11">
        <v>1999</v>
      </c>
      <c r="B11">
        <v>2.7011690811963098</v>
      </c>
      <c r="C11">
        <v>1.24656882678356</v>
      </c>
      <c r="D11">
        <v>10</v>
      </c>
      <c r="E11">
        <v>5</v>
      </c>
      <c r="F11">
        <v>5</v>
      </c>
      <c r="G11">
        <v>5</v>
      </c>
    </row>
    <row r="12" spans="1:7" x14ac:dyDescent="0.2">
      <c r="A12">
        <v>2000</v>
      </c>
      <c r="B12">
        <v>2.1307196863200799</v>
      </c>
      <c r="C12">
        <v>1.1932353127234101</v>
      </c>
      <c r="D12">
        <v>24</v>
      </c>
      <c r="E12">
        <v>16</v>
      </c>
      <c r="F12">
        <v>16</v>
      </c>
      <c r="G12">
        <v>16</v>
      </c>
    </row>
    <row r="13" spans="1:7" x14ac:dyDescent="0.2">
      <c r="A13">
        <v>2001</v>
      </c>
      <c r="B13">
        <v>2.1682885862162098</v>
      </c>
      <c r="C13">
        <v>1.06735213723766</v>
      </c>
      <c r="D13">
        <v>24</v>
      </c>
      <c r="E13">
        <v>22</v>
      </c>
      <c r="F13">
        <v>22</v>
      </c>
      <c r="G13">
        <v>22</v>
      </c>
    </row>
    <row r="14" spans="1:7" x14ac:dyDescent="0.2">
      <c r="A14">
        <v>2002</v>
      </c>
      <c r="B14">
        <v>2.5318010210869502</v>
      </c>
      <c r="C14">
        <v>1.26951700284997</v>
      </c>
      <c r="D14">
        <v>81</v>
      </c>
      <c r="E14">
        <v>48</v>
      </c>
      <c r="F14">
        <v>48</v>
      </c>
      <c r="G14">
        <v>48</v>
      </c>
    </row>
    <row r="15" spans="1:7" x14ac:dyDescent="0.2">
      <c r="A15">
        <v>2003</v>
      </c>
      <c r="B15">
        <v>2.6131971710439599</v>
      </c>
      <c r="C15">
        <v>1.1417630493639901</v>
      </c>
      <c r="D15">
        <v>103</v>
      </c>
      <c r="E15">
        <v>59</v>
      </c>
      <c r="F15">
        <v>59</v>
      </c>
      <c r="G15">
        <v>59</v>
      </c>
    </row>
    <row r="16" spans="1:7" x14ac:dyDescent="0.2">
      <c r="A16">
        <v>2004</v>
      </c>
      <c r="B16">
        <v>2.6766765470465899</v>
      </c>
      <c r="C16">
        <v>1.06176702714272</v>
      </c>
      <c r="D16">
        <v>196</v>
      </c>
      <c r="E16">
        <v>121</v>
      </c>
      <c r="F16">
        <v>121</v>
      </c>
      <c r="G16">
        <v>121</v>
      </c>
    </row>
    <row r="17" spans="1:7" x14ac:dyDescent="0.2">
      <c r="A17">
        <v>2005</v>
      </c>
      <c r="B17">
        <v>2.4536194000584599</v>
      </c>
      <c r="C17">
        <v>1.1302253876941499</v>
      </c>
      <c r="D17">
        <v>175</v>
      </c>
      <c r="E17">
        <v>121</v>
      </c>
      <c r="F17">
        <v>121</v>
      </c>
      <c r="G17">
        <v>121</v>
      </c>
    </row>
    <row r="18" spans="1:7" x14ac:dyDescent="0.2">
      <c r="A18">
        <v>2006</v>
      </c>
      <c r="B18">
        <v>2.62576776609641</v>
      </c>
      <c r="C18">
        <v>0.90819096478955297</v>
      </c>
      <c r="D18">
        <v>123</v>
      </c>
      <c r="E18">
        <v>90</v>
      </c>
      <c r="F18">
        <v>90</v>
      </c>
      <c r="G18">
        <v>90</v>
      </c>
    </row>
    <row r="19" spans="1:7" x14ac:dyDescent="0.2">
      <c r="A19">
        <v>2007</v>
      </c>
      <c r="B19">
        <v>2.7735750175206202</v>
      </c>
      <c r="C19">
        <v>1.08016281285699</v>
      </c>
      <c r="D19">
        <v>145</v>
      </c>
      <c r="E19">
        <v>110</v>
      </c>
      <c r="F19">
        <v>110</v>
      </c>
      <c r="G19">
        <v>110</v>
      </c>
    </row>
    <row r="20" spans="1:7" x14ac:dyDescent="0.2">
      <c r="A20">
        <v>2008</v>
      </c>
      <c r="B20">
        <v>2.8032093844215402</v>
      </c>
      <c r="C20">
        <v>0.95553029735178996</v>
      </c>
      <c r="D20">
        <v>181</v>
      </c>
      <c r="E20">
        <v>145</v>
      </c>
      <c r="F20">
        <v>145</v>
      </c>
      <c r="G20">
        <v>145</v>
      </c>
    </row>
    <row r="21" spans="1:7" x14ac:dyDescent="0.2">
      <c r="A21">
        <v>2009</v>
      </c>
      <c r="B21">
        <v>2.7652425431638301</v>
      </c>
      <c r="C21">
        <v>0.95873713754164103</v>
      </c>
      <c r="D21">
        <v>217</v>
      </c>
      <c r="E21">
        <v>176</v>
      </c>
      <c r="F21">
        <v>176</v>
      </c>
      <c r="G21">
        <v>176</v>
      </c>
    </row>
    <row r="22" spans="1:7" x14ac:dyDescent="0.2">
      <c r="A22">
        <v>2010</v>
      </c>
      <c r="B22">
        <v>2.7046343459733801</v>
      </c>
      <c r="C22">
        <v>0.96839758650316499</v>
      </c>
      <c r="D22">
        <v>362</v>
      </c>
      <c r="E22">
        <v>285</v>
      </c>
      <c r="F22">
        <v>285</v>
      </c>
      <c r="G22">
        <v>285</v>
      </c>
    </row>
    <row r="23" spans="1:7" x14ac:dyDescent="0.2">
      <c r="A23">
        <v>2011</v>
      </c>
      <c r="B23">
        <v>2.89311613638997</v>
      </c>
      <c r="C23">
        <v>0.86905063102791602</v>
      </c>
      <c r="D23">
        <v>508</v>
      </c>
      <c r="E23">
        <v>409</v>
      </c>
      <c r="F23">
        <v>409</v>
      </c>
      <c r="G23">
        <v>409</v>
      </c>
    </row>
    <row r="24" spans="1:7" x14ac:dyDescent="0.2">
      <c r="A24">
        <v>2012</v>
      </c>
      <c r="B24">
        <v>2.8374538468844799</v>
      </c>
      <c r="C24">
        <v>0.88057983291383901</v>
      </c>
      <c r="D24">
        <v>867</v>
      </c>
      <c r="E24">
        <v>722</v>
      </c>
      <c r="F24">
        <v>722</v>
      </c>
      <c r="G24">
        <v>722</v>
      </c>
    </row>
    <row r="25" spans="1:7" x14ac:dyDescent="0.2">
      <c r="A25">
        <v>2013</v>
      </c>
      <c r="B25">
        <v>3.12257169161076</v>
      </c>
      <c r="C25">
        <v>0.934110335139268</v>
      </c>
      <c r="D25">
        <v>1306</v>
      </c>
      <c r="E25">
        <v>1083</v>
      </c>
      <c r="F25">
        <v>1083</v>
      </c>
      <c r="G25">
        <v>1083</v>
      </c>
    </row>
    <row r="26" spans="1:7" x14ac:dyDescent="0.2">
      <c r="A26">
        <v>2014</v>
      </c>
      <c r="B26">
        <v>2.93425175375515</v>
      </c>
      <c r="C26">
        <v>0.91427168236026302</v>
      </c>
      <c r="D26">
        <v>1459</v>
      </c>
      <c r="E26">
        <v>1201</v>
      </c>
      <c r="F26">
        <v>1201</v>
      </c>
      <c r="G26">
        <v>1201</v>
      </c>
    </row>
    <row r="27" spans="1:7" x14ac:dyDescent="0.2">
      <c r="A27">
        <v>2015</v>
      </c>
      <c r="B27">
        <v>2.8887522511599899</v>
      </c>
      <c r="C27">
        <v>0.907608228019533</v>
      </c>
      <c r="D27">
        <v>1465</v>
      </c>
      <c r="E27">
        <v>1219</v>
      </c>
      <c r="F27">
        <v>1219</v>
      </c>
      <c r="G27">
        <v>1219</v>
      </c>
    </row>
    <row r="28" spans="1:7" x14ac:dyDescent="0.2">
      <c r="A28">
        <v>2016</v>
      </c>
      <c r="B28">
        <v>2.8860437632991101</v>
      </c>
      <c r="C28">
        <v>0.87673622367512904</v>
      </c>
      <c r="D28">
        <v>1482</v>
      </c>
      <c r="E28">
        <v>1256</v>
      </c>
      <c r="F28">
        <v>1256</v>
      </c>
      <c r="G28">
        <v>1256</v>
      </c>
    </row>
    <row r="29" spans="1:7" x14ac:dyDescent="0.2">
      <c r="A29">
        <v>2017</v>
      </c>
      <c r="B29">
        <v>2.8011434426436899</v>
      </c>
      <c r="C29">
        <v>0.87607969033971</v>
      </c>
      <c r="D29">
        <v>1346</v>
      </c>
      <c r="E29">
        <v>1148</v>
      </c>
      <c r="F29">
        <v>1148</v>
      </c>
      <c r="G29">
        <v>1148</v>
      </c>
    </row>
    <row r="30" spans="1:7" x14ac:dyDescent="0.2">
      <c r="A30">
        <v>2018</v>
      </c>
      <c r="B30">
        <v>2.7947957492920299</v>
      </c>
      <c r="C30">
        <v>0.88567068864161103</v>
      </c>
      <c r="D30">
        <v>1827</v>
      </c>
      <c r="E30">
        <v>1508</v>
      </c>
      <c r="F30">
        <v>1508</v>
      </c>
      <c r="G30">
        <v>1508</v>
      </c>
    </row>
    <row r="31" spans="1:7" x14ac:dyDescent="0.2">
      <c r="A31">
        <v>2019</v>
      </c>
      <c r="B31">
        <v>2.87375832566619</v>
      </c>
      <c r="C31">
        <v>0.89329693112596398</v>
      </c>
      <c r="D31">
        <v>2145</v>
      </c>
      <c r="E31">
        <v>1741</v>
      </c>
      <c r="F31">
        <v>1741</v>
      </c>
      <c r="G31">
        <v>1741</v>
      </c>
    </row>
    <row r="32" spans="1:7" x14ac:dyDescent="0.2">
      <c r="A32">
        <v>2020</v>
      </c>
      <c r="B32">
        <v>2.7854745057550701</v>
      </c>
      <c r="C32">
        <v>0.89504588628444803</v>
      </c>
      <c r="D32">
        <v>1930</v>
      </c>
      <c r="E32">
        <v>1565</v>
      </c>
      <c r="F32">
        <v>1565</v>
      </c>
      <c r="G32">
        <v>1565</v>
      </c>
    </row>
    <row r="33" spans="1:7" x14ac:dyDescent="0.2">
      <c r="A33">
        <v>2021</v>
      </c>
      <c r="B33">
        <v>2.7920520426022599</v>
      </c>
      <c r="C33">
        <v>0.83052197180723597</v>
      </c>
      <c r="D33">
        <v>2316</v>
      </c>
      <c r="E33">
        <v>1887</v>
      </c>
      <c r="F33">
        <v>1887</v>
      </c>
      <c r="G33">
        <v>1887</v>
      </c>
    </row>
    <row r="34" spans="1:7" x14ac:dyDescent="0.2">
      <c r="A34">
        <v>2022</v>
      </c>
      <c r="B34">
        <v>2.8250756499215202</v>
      </c>
      <c r="C34">
        <v>0.909417977549695</v>
      </c>
      <c r="D34">
        <v>1433</v>
      </c>
      <c r="E34">
        <v>1141</v>
      </c>
      <c r="F34">
        <v>1141</v>
      </c>
      <c r="G34">
        <v>1141</v>
      </c>
    </row>
    <row r="35" spans="1:7" x14ac:dyDescent="0.2">
      <c r="A35">
        <v>2023</v>
      </c>
      <c r="B35">
        <v>2.7034638217376101</v>
      </c>
      <c r="C35">
        <v>0.84069944969994903</v>
      </c>
      <c r="D35">
        <v>1068</v>
      </c>
      <c r="E35">
        <v>830</v>
      </c>
      <c r="F35">
        <v>830</v>
      </c>
      <c r="G35">
        <v>830</v>
      </c>
    </row>
    <row r="36" spans="1:7" x14ac:dyDescent="0.2">
      <c r="A36">
        <v>2024</v>
      </c>
      <c r="B36">
        <v>2.6710068982961199</v>
      </c>
      <c r="C36">
        <v>0.89055096870626504</v>
      </c>
      <c r="D36">
        <v>902</v>
      </c>
      <c r="E36">
        <v>711</v>
      </c>
      <c r="F36">
        <v>711</v>
      </c>
      <c r="G36">
        <v>711</v>
      </c>
    </row>
    <row r="37" spans="1:7" x14ac:dyDescent="0.2">
      <c r="A37">
        <v>2025</v>
      </c>
      <c r="B37">
        <v>2.6699521681477401</v>
      </c>
      <c r="C37">
        <v>0.86918033156068397</v>
      </c>
      <c r="D37">
        <v>642</v>
      </c>
      <c r="E37">
        <v>531</v>
      </c>
      <c r="F37">
        <v>531</v>
      </c>
      <c r="G37">
        <v>531</v>
      </c>
    </row>
    <row r="38" spans="1:7" x14ac:dyDescent="0.2">
      <c r="A38" t="s">
        <v>1</v>
      </c>
      <c r="B38">
        <f t="shared" ref="B38:G38" si="0">SUM(B2:B37)</f>
        <v>83.270099916773205</v>
      </c>
      <c r="C38">
        <f t="shared" si="0"/>
        <v>32.476892308138929</v>
      </c>
      <c r="D38">
        <f t="shared" si="0"/>
        <v>22376</v>
      </c>
      <c r="E38">
        <f t="shared" si="0"/>
        <v>18166</v>
      </c>
      <c r="F38">
        <f t="shared" si="0"/>
        <v>18166</v>
      </c>
      <c r="G38">
        <f t="shared" si="0"/>
        <v>18166</v>
      </c>
    </row>
    <row r="39" spans="1:7" x14ac:dyDescent="0.2">
      <c r="A39" t="s">
        <v>2</v>
      </c>
      <c r="B39">
        <f>MAX(B2:B37)</f>
        <v>3.12257169161076</v>
      </c>
      <c r="C39">
        <f t="shared" ref="C39:G39" si="1">MAX(C2:C37)</f>
        <v>1.36123599479677</v>
      </c>
      <c r="D39">
        <f t="shared" si="1"/>
        <v>2316</v>
      </c>
      <c r="E39">
        <f t="shared" si="1"/>
        <v>1887</v>
      </c>
      <c r="F39">
        <f t="shared" si="1"/>
        <v>1887</v>
      </c>
      <c r="G39">
        <f t="shared" si="1"/>
        <v>1887</v>
      </c>
    </row>
    <row r="40" spans="1:7" x14ac:dyDescent="0.2">
      <c r="A40" t="s">
        <v>3</v>
      </c>
      <c r="B40">
        <f>MIN(B2:B37)</f>
        <v>0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C2CD-24FE-6D4C-A3BD-D43803597F49}">
  <dimension ref="A1:G40"/>
  <sheetViews>
    <sheetView workbookViewId="0">
      <selection activeCell="A2" sqref="A2:G37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">
      <c r="A2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>
        <v>1991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</row>
    <row r="4" spans="1:7" x14ac:dyDescent="0.2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>
        <v>1995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>
        <v>1997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>
        <v>1999</v>
      </c>
      <c r="B11">
        <v>1.5228787452803301</v>
      </c>
      <c r="C11">
        <v>0.124938736608299</v>
      </c>
      <c r="D11">
        <v>1</v>
      </c>
      <c r="E11">
        <v>1</v>
      </c>
      <c r="F11">
        <v>1</v>
      </c>
      <c r="G11">
        <v>1</v>
      </c>
    </row>
    <row r="12" spans="1:7" x14ac:dyDescent="0.2">
      <c r="A12">
        <v>2000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</row>
    <row r="13" spans="1:7" x14ac:dyDescent="0.2">
      <c r="A13">
        <v>2001</v>
      </c>
      <c r="B13">
        <v>3.6666666666666599</v>
      </c>
      <c r="C13">
        <v>1.6695913081025</v>
      </c>
      <c r="D13">
        <v>6</v>
      </c>
      <c r="E13">
        <v>3</v>
      </c>
      <c r="F13">
        <v>3</v>
      </c>
      <c r="G13">
        <v>3</v>
      </c>
    </row>
    <row r="14" spans="1:7" x14ac:dyDescent="0.2">
      <c r="A14">
        <v>2002</v>
      </c>
      <c r="B14">
        <v>3.8002942844754202</v>
      </c>
      <c r="C14">
        <v>0.71293558631447196</v>
      </c>
      <c r="D14">
        <v>9</v>
      </c>
      <c r="E14">
        <v>7</v>
      </c>
      <c r="F14">
        <v>7</v>
      </c>
      <c r="G14">
        <v>7</v>
      </c>
    </row>
    <row r="15" spans="1:7" x14ac:dyDescent="0.2">
      <c r="A15">
        <v>2003</v>
      </c>
      <c r="B15">
        <v>3.1674215916277002</v>
      </c>
      <c r="C15">
        <v>0.62119472334897496</v>
      </c>
      <c r="D15">
        <v>15</v>
      </c>
      <c r="E15">
        <v>11</v>
      </c>
      <c r="F15">
        <v>11</v>
      </c>
      <c r="G15">
        <v>11</v>
      </c>
    </row>
    <row r="16" spans="1:7" x14ac:dyDescent="0.2">
      <c r="A16">
        <v>2004</v>
      </c>
      <c r="B16">
        <v>2.62344506812184</v>
      </c>
      <c r="C16">
        <v>0.79601272303317405</v>
      </c>
      <c r="D16">
        <v>29</v>
      </c>
      <c r="E16">
        <v>24</v>
      </c>
      <c r="F16">
        <v>24</v>
      </c>
      <c r="G16">
        <v>24</v>
      </c>
    </row>
    <row r="17" spans="1:7" x14ac:dyDescent="0.2">
      <c r="A17">
        <v>2005</v>
      </c>
      <c r="B17">
        <v>4.6936612056529796</v>
      </c>
      <c r="C17">
        <v>1.31215313537356</v>
      </c>
      <c r="D17">
        <v>47</v>
      </c>
      <c r="E17">
        <v>37</v>
      </c>
      <c r="F17">
        <v>37</v>
      </c>
      <c r="G17">
        <v>37</v>
      </c>
    </row>
    <row r="18" spans="1:7" x14ac:dyDescent="0.2">
      <c r="A18">
        <v>2006</v>
      </c>
      <c r="B18">
        <v>2.8874444920755602</v>
      </c>
      <c r="C18">
        <v>0.63174750796963497</v>
      </c>
      <c r="D18">
        <v>63</v>
      </c>
      <c r="E18">
        <v>44</v>
      </c>
      <c r="F18">
        <v>44</v>
      </c>
      <c r="G18">
        <v>44</v>
      </c>
    </row>
    <row r="19" spans="1:7" x14ac:dyDescent="0.2">
      <c r="A19">
        <v>2007</v>
      </c>
      <c r="B19">
        <v>3.4966949344893701</v>
      </c>
      <c r="C19">
        <v>0.88475477429390004</v>
      </c>
      <c r="D19">
        <v>91</v>
      </c>
      <c r="E19">
        <v>53</v>
      </c>
      <c r="F19">
        <v>53</v>
      </c>
      <c r="G19">
        <v>53</v>
      </c>
    </row>
    <row r="20" spans="1:7" x14ac:dyDescent="0.2">
      <c r="A20">
        <v>2008</v>
      </c>
      <c r="B20">
        <v>3.23555575065769</v>
      </c>
      <c r="C20">
        <v>1.1165171063560799</v>
      </c>
      <c r="D20">
        <v>144</v>
      </c>
      <c r="E20">
        <v>113</v>
      </c>
      <c r="F20">
        <v>113</v>
      </c>
      <c r="G20">
        <v>113</v>
      </c>
    </row>
    <row r="21" spans="1:7" x14ac:dyDescent="0.2">
      <c r="A21">
        <v>2009</v>
      </c>
      <c r="B21">
        <v>2.9661122038442498</v>
      </c>
      <c r="C21">
        <v>0.73197671992809599</v>
      </c>
      <c r="D21">
        <v>211</v>
      </c>
      <c r="E21">
        <v>170</v>
      </c>
      <c r="F21">
        <v>170</v>
      </c>
      <c r="G21">
        <v>170</v>
      </c>
    </row>
    <row r="22" spans="1:7" x14ac:dyDescent="0.2">
      <c r="A22">
        <v>2010</v>
      </c>
      <c r="B22">
        <v>4.4024065826674201</v>
      </c>
      <c r="C22">
        <v>0.72862495089579105</v>
      </c>
      <c r="D22">
        <v>323</v>
      </c>
      <c r="E22">
        <v>247</v>
      </c>
      <c r="F22">
        <v>247</v>
      </c>
      <c r="G22">
        <v>247</v>
      </c>
    </row>
    <row r="23" spans="1:7" x14ac:dyDescent="0.2">
      <c r="A23">
        <v>2011</v>
      </c>
      <c r="B23">
        <v>3.9520342503723298</v>
      </c>
      <c r="C23">
        <v>0.727908906422298</v>
      </c>
      <c r="D23">
        <v>520</v>
      </c>
      <c r="E23">
        <v>421</v>
      </c>
      <c r="F23">
        <v>421</v>
      </c>
      <c r="G23">
        <v>421</v>
      </c>
    </row>
    <row r="24" spans="1:7" x14ac:dyDescent="0.2">
      <c r="A24">
        <v>2012</v>
      </c>
      <c r="B24">
        <v>3.0920023738507401</v>
      </c>
      <c r="C24">
        <v>0.62468064070703799</v>
      </c>
      <c r="D24">
        <v>831</v>
      </c>
      <c r="E24">
        <v>691</v>
      </c>
      <c r="F24">
        <v>691</v>
      </c>
      <c r="G24">
        <v>691</v>
      </c>
    </row>
    <row r="25" spans="1:7" x14ac:dyDescent="0.2">
      <c r="A25">
        <v>2013</v>
      </c>
      <c r="B25">
        <v>2.94282002683972</v>
      </c>
      <c r="C25">
        <v>0.57897016127477097</v>
      </c>
      <c r="D25">
        <v>1407</v>
      </c>
      <c r="E25">
        <v>1193</v>
      </c>
      <c r="F25">
        <v>1193</v>
      </c>
      <c r="G25">
        <v>1193</v>
      </c>
    </row>
    <row r="26" spans="1:7" x14ac:dyDescent="0.2">
      <c r="A26">
        <v>2014</v>
      </c>
      <c r="B26">
        <v>2.9295405904029201</v>
      </c>
      <c r="C26">
        <v>0.53890867730458403</v>
      </c>
      <c r="D26">
        <v>1853</v>
      </c>
      <c r="E26">
        <v>1612</v>
      </c>
      <c r="F26">
        <v>1612</v>
      </c>
      <c r="G26">
        <v>1612</v>
      </c>
    </row>
    <row r="27" spans="1:7" x14ac:dyDescent="0.2">
      <c r="A27">
        <v>2015</v>
      </c>
      <c r="B27">
        <v>3.1091084637012498</v>
      </c>
      <c r="C27">
        <v>0.538140729393907</v>
      </c>
      <c r="D27">
        <v>2396</v>
      </c>
      <c r="E27">
        <v>2060</v>
      </c>
      <c r="F27">
        <v>2060</v>
      </c>
      <c r="G27">
        <v>2060</v>
      </c>
    </row>
    <row r="28" spans="1:7" x14ac:dyDescent="0.2">
      <c r="A28">
        <v>2016</v>
      </c>
      <c r="B28">
        <v>3.0285675325817998</v>
      </c>
      <c r="C28">
        <v>0.54743130683194496</v>
      </c>
      <c r="D28">
        <v>2857</v>
      </c>
      <c r="E28">
        <v>2494</v>
      </c>
      <c r="F28">
        <v>2494</v>
      </c>
      <c r="G28">
        <v>2494</v>
      </c>
    </row>
    <row r="29" spans="1:7" x14ac:dyDescent="0.2">
      <c r="A29">
        <v>2017</v>
      </c>
      <c r="B29">
        <v>3.1936466853607199</v>
      </c>
      <c r="C29">
        <v>0.54527998948727996</v>
      </c>
      <c r="D29">
        <v>2984</v>
      </c>
      <c r="E29">
        <v>2637</v>
      </c>
      <c r="F29">
        <v>2637</v>
      </c>
      <c r="G29">
        <v>2637</v>
      </c>
    </row>
    <row r="30" spans="1:7" x14ac:dyDescent="0.2">
      <c r="A30">
        <v>2018</v>
      </c>
      <c r="B30">
        <v>3.1689015699210401</v>
      </c>
      <c r="C30">
        <v>0.56593260011610802</v>
      </c>
      <c r="D30">
        <v>2934</v>
      </c>
      <c r="E30">
        <v>2570</v>
      </c>
      <c r="F30">
        <v>2570</v>
      </c>
      <c r="G30">
        <v>2570</v>
      </c>
    </row>
    <row r="31" spans="1:7" x14ac:dyDescent="0.2">
      <c r="A31">
        <v>2019</v>
      </c>
      <c r="B31">
        <v>2.9470388896981898</v>
      </c>
      <c r="C31">
        <v>0.58991276433615503</v>
      </c>
      <c r="D31">
        <v>3714</v>
      </c>
      <c r="E31">
        <v>3196</v>
      </c>
      <c r="F31">
        <v>3196</v>
      </c>
      <c r="G31">
        <v>3196</v>
      </c>
    </row>
    <row r="32" spans="1:7" x14ac:dyDescent="0.2">
      <c r="A32">
        <v>2020</v>
      </c>
      <c r="B32">
        <v>2.9677815388521802</v>
      </c>
      <c r="C32">
        <v>0.61055449446051402</v>
      </c>
      <c r="D32">
        <v>4716</v>
      </c>
      <c r="E32">
        <v>4069</v>
      </c>
      <c r="F32">
        <v>4069</v>
      </c>
      <c r="G32">
        <v>4069</v>
      </c>
    </row>
    <row r="33" spans="1:7" x14ac:dyDescent="0.2">
      <c r="A33">
        <v>2021</v>
      </c>
      <c r="B33">
        <v>3.0390762970229201</v>
      </c>
      <c r="C33">
        <v>0.62971138467511201</v>
      </c>
      <c r="D33">
        <v>5738</v>
      </c>
      <c r="E33">
        <v>4834</v>
      </c>
      <c r="F33">
        <v>4834</v>
      </c>
      <c r="G33">
        <v>4834</v>
      </c>
    </row>
    <row r="34" spans="1:7" x14ac:dyDescent="0.2">
      <c r="A34">
        <v>2022</v>
      </c>
      <c r="B34">
        <v>2.9602999634457698</v>
      </c>
      <c r="C34">
        <v>0.59818707712265295</v>
      </c>
      <c r="D34">
        <v>6757</v>
      </c>
      <c r="E34">
        <v>5832</v>
      </c>
      <c r="F34">
        <v>5832</v>
      </c>
      <c r="G34">
        <v>5832</v>
      </c>
    </row>
    <row r="35" spans="1:7" x14ac:dyDescent="0.2">
      <c r="A35">
        <v>2023</v>
      </c>
      <c r="B35">
        <v>3.1999108665316101</v>
      </c>
      <c r="C35">
        <v>0.58321605882935901</v>
      </c>
      <c r="D35">
        <v>6623</v>
      </c>
      <c r="E35">
        <v>5749</v>
      </c>
      <c r="F35">
        <v>5749</v>
      </c>
      <c r="G35">
        <v>5749</v>
      </c>
    </row>
    <row r="36" spans="1:7" x14ac:dyDescent="0.2">
      <c r="A36">
        <v>2024</v>
      </c>
      <c r="B36">
        <v>3.26799670899904</v>
      </c>
      <c r="C36">
        <v>0.59136901218831095</v>
      </c>
      <c r="D36">
        <v>6825</v>
      </c>
      <c r="E36">
        <v>6034</v>
      </c>
      <c r="F36">
        <v>6034</v>
      </c>
      <c r="G36">
        <v>6034</v>
      </c>
    </row>
    <row r="37" spans="1:7" x14ac:dyDescent="0.2">
      <c r="A37">
        <v>2025</v>
      </c>
      <c r="B37">
        <v>3.1220897348558898</v>
      </c>
      <c r="C37">
        <v>0.58129204711178495</v>
      </c>
      <c r="D37">
        <v>5165</v>
      </c>
      <c r="E37">
        <v>4588</v>
      </c>
      <c r="F37">
        <v>4588</v>
      </c>
      <c r="G37">
        <v>4588</v>
      </c>
    </row>
    <row r="38" spans="1:7" x14ac:dyDescent="0.2">
      <c r="A38" t="s">
        <v>1</v>
      </c>
      <c r="B38">
        <f t="shared" ref="B38:G38" si="0">SUM(B2:B37)</f>
        <v>83.383397017995307</v>
      </c>
      <c r="C38">
        <f t="shared" si="0"/>
        <v>18.181943122486295</v>
      </c>
      <c r="D38">
        <f t="shared" si="0"/>
        <v>56261</v>
      </c>
      <c r="E38">
        <f t="shared" si="0"/>
        <v>48690</v>
      </c>
      <c r="F38">
        <f t="shared" si="0"/>
        <v>48690</v>
      </c>
      <c r="G38">
        <f t="shared" si="0"/>
        <v>48690</v>
      </c>
    </row>
    <row r="39" spans="1:7" x14ac:dyDescent="0.2">
      <c r="A39" t="s">
        <v>2</v>
      </c>
      <c r="B39">
        <f>MAX(B2:B37)</f>
        <v>4.6936612056529796</v>
      </c>
      <c r="C39">
        <f t="shared" ref="C39:G39" si="1">MAX(C2:C37)</f>
        <v>1.6695913081025</v>
      </c>
      <c r="D39">
        <f t="shared" si="1"/>
        <v>6825</v>
      </c>
      <c r="E39">
        <f t="shared" si="1"/>
        <v>6034</v>
      </c>
      <c r="F39">
        <f t="shared" si="1"/>
        <v>6034</v>
      </c>
      <c r="G39">
        <f t="shared" si="1"/>
        <v>6034</v>
      </c>
    </row>
    <row r="40" spans="1:7" x14ac:dyDescent="0.2">
      <c r="A40" t="s">
        <v>3</v>
      </c>
      <c r="B40">
        <f>MIN(B2:B37)</f>
        <v>0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FCB9-9D3A-054F-B8B7-A2E00083DE64}">
  <dimension ref="A1:G40"/>
  <sheetViews>
    <sheetView workbookViewId="0">
      <selection activeCell="A2" sqref="A2:G37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">
      <c r="A2">
        <v>1990</v>
      </c>
      <c r="B2">
        <v>0</v>
      </c>
      <c r="C2">
        <v>0</v>
      </c>
      <c r="D2">
        <v>2</v>
      </c>
      <c r="E2">
        <v>0</v>
      </c>
      <c r="F2">
        <v>0</v>
      </c>
      <c r="G2">
        <v>0</v>
      </c>
    </row>
    <row r="3" spans="1:7" x14ac:dyDescent="0.2">
      <c r="A3">
        <v>1991</v>
      </c>
      <c r="B3">
        <v>0</v>
      </c>
      <c r="C3">
        <v>0</v>
      </c>
      <c r="D3">
        <v>3</v>
      </c>
      <c r="E3">
        <v>0</v>
      </c>
      <c r="F3">
        <v>0</v>
      </c>
      <c r="G3">
        <v>0</v>
      </c>
    </row>
    <row r="4" spans="1:7" x14ac:dyDescent="0.2">
      <c r="A4">
        <v>1992</v>
      </c>
      <c r="B4">
        <v>0</v>
      </c>
      <c r="C4">
        <v>0</v>
      </c>
      <c r="D4">
        <v>3</v>
      </c>
      <c r="E4">
        <v>0</v>
      </c>
      <c r="F4">
        <v>0</v>
      </c>
      <c r="G4">
        <v>0</v>
      </c>
    </row>
    <row r="5" spans="1:7" x14ac:dyDescent="0.2">
      <c r="A5">
        <v>1993</v>
      </c>
      <c r="B5">
        <v>0</v>
      </c>
      <c r="C5">
        <v>0</v>
      </c>
      <c r="D5">
        <v>9</v>
      </c>
      <c r="E5">
        <v>0</v>
      </c>
      <c r="F5">
        <v>0</v>
      </c>
      <c r="G5">
        <v>0</v>
      </c>
    </row>
    <row r="6" spans="1:7" x14ac:dyDescent="0.2">
      <c r="A6">
        <v>1994</v>
      </c>
      <c r="B6">
        <v>2.6666666666666599</v>
      </c>
      <c r="C6">
        <v>1.07394958320545</v>
      </c>
      <c r="D6">
        <v>20</v>
      </c>
      <c r="E6">
        <v>3</v>
      </c>
      <c r="F6">
        <v>3</v>
      </c>
      <c r="G6">
        <v>3</v>
      </c>
    </row>
    <row r="7" spans="1:7" x14ac:dyDescent="0.2">
      <c r="A7">
        <v>1995</v>
      </c>
      <c r="B7">
        <v>1.8010299956639799</v>
      </c>
      <c r="C7">
        <v>1.3010299956639799</v>
      </c>
      <c r="D7">
        <v>10</v>
      </c>
      <c r="E7">
        <v>2</v>
      </c>
      <c r="F7">
        <v>2</v>
      </c>
      <c r="G7">
        <v>2</v>
      </c>
    </row>
    <row r="8" spans="1:7" x14ac:dyDescent="0.2">
      <c r="A8">
        <v>1996</v>
      </c>
      <c r="B8">
        <v>2.9999999999999898</v>
      </c>
      <c r="C8">
        <v>2.9999999999999898</v>
      </c>
      <c r="D8">
        <v>14</v>
      </c>
      <c r="E8">
        <v>1</v>
      </c>
      <c r="F8">
        <v>1</v>
      </c>
      <c r="G8">
        <v>1</v>
      </c>
    </row>
    <row r="9" spans="1:7" x14ac:dyDescent="0.2">
      <c r="A9">
        <v>1997</v>
      </c>
      <c r="B9">
        <v>1.3010299956639799</v>
      </c>
      <c r="C9">
        <v>1.2218487496163499</v>
      </c>
      <c r="D9">
        <v>89</v>
      </c>
      <c r="E9">
        <v>1</v>
      </c>
      <c r="F9">
        <v>1</v>
      </c>
      <c r="G9">
        <v>1</v>
      </c>
    </row>
    <row r="10" spans="1:7" x14ac:dyDescent="0.2">
      <c r="A10">
        <v>1998</v>
      </c>
      <c r="B10">
        <v>1.6109243748081701</v>
      </c>
      <c r="C10">
        <v>1.6109243748081701</v>
      </c>
      <c r="D10">
        <v>96</v>
      </c>
      <c r="E10">
        <v>2</v>
      </c>
      <c r="F10">
        <v>2</v>
      </c>
      <c r="G10">
        <v>2</v>
      </c>
    </row>
    <row r="11" spans="1:7" x14ac:dyDescent="0.2">
      <c r="A11">
        <v>1999</v>
      </c>
      <c r="B11">
        <v>2.8098943791441902</v>
      </c>
      <c r="C11">
        <v>1.54046095381196</v>
      </c>
      <c r="D11">
        <v>118</v>
      </c>
      <c r="E11">
        <v>2</v>
      </c>
      <c r="F11">
        <v>2</v>
      </c>
      <c r="G11">
        <v>2</v>
      </c>
    </row>
    <row r="12" spans="1:7" x14ac:dyDescent="0.2">
      <c r="A12">
        <v>2000</v>
      </c>
      <c r="B12">
        <v>3.0025010718921501</v>
      </c>
      <c r="C12">
        <v>1.66259095744418</v>
      </c>
      <c r="D12">
        <v>322</v>
      </c>
      <c r="E12">
        <v>24</v>
      </c>
      <c r="F12">
        <v>24</v>
      </c>
      <c r="G12">
        <v>24</v>
      </c>
    </row>
    <row r="13" spans="1:7" x14ac:dyDescent="0.2">
      <c r="A13">
        <v>2001</v>
      </c>
      <c r="B13">
        <v>2.7126635532758199</v>
      </c>
      <c r="C13">
        <v>1.7429953257386399</v>
      </c>
      <c r="D13">
        <v>303</v>
      </c>
      <c r="E13">
        <v>19</v>
      </c>
      <c r="F13">
        <v>19</v>
      </c>
      <c r="G13">
        <v>19</v>
      </c>
    </row>
    <row r="14" spans="1:7" x14ac:dyDescent="0.2">
      <c r="A14">
        <v>2002</v>
      </c>
      <c r="B14">
        <v>2.71532105556452</v>
      </c>
      <c r="C14">
        <v>1.54598123053001</v>
      </c>
      <c r="D14">
        <v>390</v>
      </c>
      <c r="E14">
        <v>49</v>
      </c>
      <c r="F14">
        <v>49</v>
      </c>
      <c r="G14">
        <v>49</v>
      </c>
    </row>
    <row r="15" spans="1:7" x14ac:dyDescent="0.2">
      <c r="A15">
        <v>2003</v>
      </c>
      <c r="B15">
        <v>2.5280413053622999</v>
      </c>
      <c r="C15">
        <v>1.49568366526932</v>
      </c>
      <c r="D15">
        <v>498</v>
      </c>
      <c r="E15">
        <v>57</v>
      </c>
      <c r="F15">
        <v>57</v>
      </c>
      <c r="G15">
        <v>57</v>
      </c>
    </row>
    <row r="16" spans="1:7" x14ac:dyDescent="0.2">
      <c r="A16">
        <v>2004</v>
      </c>
      <c r="B16">
        <v>2.6348257130155699</v>
      </c>
      <c r="C16">
        <v>1.56341054350708</v>
      </c>
      <c r="D16">
        <v>716</v>
      </c>
      <c r="E16">
        <v>116</v>
      </c>
      <c r="F16">
        <v>116</v>
      </c>
      <c r="G16">
        <v>116</v>
      </c>
    </row>
    <row r="17" spans="1:7" x14ac:dyDescent="0.2">
      <c r="A17">
        <v>2005</v>
      </c>
      <c r="B17">
        <v>2.6953422339843902</v>
      </c>
      <c r="C17">
        <v>1.5679878022781799</v>
      </c>
      <c r="D17">
        <v>784</v>
      </c>
      <c r="E17">
        <v>119</v>
      </c>
      <c r="F17">
        <v>119</v>
      </c>
      <c r="G17">
        <v>119</v>
      </c>
    </row>
    <row r="18" spans="1:7" x14ac:dyDescent="0.2">
      <c r="A18">
        <v>2006</v>
      </c>
      <c r="B18">
        <v>2.8371365459915601</v>
      </c>
      <c r="C18">
        <v>1.4273441385652801</v>
      </c>
      <c r="D18">
        <v>1323</v>
      </c>
      <c r="E18">
        <v>213</v>
      </c>
      <c r="F18">
        <v>213</v>
      </c>
      <c r="G18">
        <v>213</v>
      </c>
    </row>
    <row r="19" spans="1:7" x14ac:dyDescent="0.2">
      <c r="A19">
        <v>2007</v>
      </c>
      <c r="B19">
        <v>2.9468257277527599</v>
      </c>
      <c r="C19">
        <v>1.4681089468759001</v>
      </c>
      <c r="D19">
        <v>1565</v>
      </c>
      <c r="E19">
        <v>253</v>
      </c>
      <c r="F19">
        <v>253</v>
      </c>
      <c r="G19">
        <v>253</v>
      </c>
    </row>
    <row r="20" spans="1:7" x14ac:dyDescent="0.2">
      <c r="A20">
        <v>2008</v>
      </c>
      <c r="B20">
        <v>2.8614151556396599</v>
      </c>
      <c r="C20">
        <v>1.4678299794312599</v>
      </c>
      <c r="D20">
        <v>2058</v>
      </c>
      <c r="E20">
        <v>347</v>
      </c>
      <c r="F20">
        <v>347</v>
      </c>
      <c r="G20">
        <v>347</v>
      </c>
    </row>
    <row r="21" spans="1:7" x14ac:dyDescent="0.2">
      <c r="A21">
        <v>2009</v>
      </c>
      <c r="B21">
        <v>2.95389242026434</v>
      </c>
      <c r="C21">
        <v>1.3876484069656001</v>
      </c>
      <c r="D21">
        <v>2546</v>
      </c>
      <c r="E21">
        <v>463</v>
      </c>
      <c r="F21">
        <v>463</v>
      </c>
      <c r="G21">
        <v>463</v>
      </c>
    </row>
    <row r="22" spans="1:7" x14ac:dyDescent="0.2">
      <c r="A22">
        <v>2010</v>
      </c>
      <c r="B22">
        <v>2.8740664669070899</v>
      </c>
      <c r="C22">
        <v>1.43637890017974</v>
      </c>
      <c r="D22">
        <v>3812</v>
      </c>
      <c r="E22">
        <v>713</v>
      </c>
      <c r="F22">
        <v>713</v>
      </c>
      <c r="G22">
        <v>713</v>
      </c>
    </row>
    <row r="23" spans="1:7" x14ac:dyDescent="0.2">
      <c r="A23">
        <v>2011</v>
      </c>
      <c r="B23">
        <v>2.9141524045704998</v>
      </c>
      <c r="C23">
        <v>1.47010938597318</v>
      </c>
      <c r="D23">
        <v>4439</v>
      </c>
      <c r="E23">
        <v>707</v>
      </c>
      <c r="F23">
        <v>707</v>
      </c>
      <c r="G23">
        <v>707</v>
      </c>
    </row>
    <row r="24" spans="1:7" x14ac:dyDescent="0.2">
      <c r="A24">
        <v>2012</v>
      </c>
      <c r="B24">
        <v>2.9153415976665902</v>
      </c>
      <c r="C24">
        <v>1.4184338333789299</v>
      </c>
      <c r="D24">
        <v>6045</v>
      </c>
      <c r="E24">
        <v>964</v>
      </c>
      <c r="F24">
        <v>964</v>
      </c>
      <c r="G24">
        <v>964</v>
      </c>
    </row>
    <row r="25" spans="1:7" x14ac:dyDescent="0.2">
      <c r="A25">
        <v>2013</v>
      </c>
      <c r="B25">
        <v>2.8547796057711001</v>
      </c>
      <c r="C25">
        <v>1.3906495876330001</v>
      </c>
      <c r="D25">
        <v>10802</v>
      </c>
      <c r="E25">
        <v>1709</v>
      </c>
      <c r="F25">
        <v>1709</v>
      </c>
      <c r="G25">
        <v>1709</v>
      </c>
    </row>
    <row r="26" spans="1:7" x14ac:dyDescent="0.2">
      <c r="A26">
        <v>2014</v>
      </c>
      <c r="B26">
        <v>2.8382271433611499</v>
      </c>
      <c r="C26">
        <v>1.3282073662651299</v>
      </c>
      <c r="D26">
        <v>17325</v>
      </c>
      <c r="E26">
        <v>2908</v>
      </c>
      <c r="F26">
        <v>2908</v>
      </c>
      <c r="G26">
        <v>2908</v>
      </c>
    </row>
    <row r="27" spans="1:7" x14ac:dyDescent="0.2">
      <c r="A27">
        <v>2015</v>
      </c>
      <c r="B27">
        <v>2.8534870227206599</v>
      </c>
      <c r="C27">
        <v>1.3085853687845199</v>
      </c>
      <c r="D27">
        <v>19202</v>
      </c>
      <c r="E27">
        <v>3265</v>
      </c>
      <c r="F27">
        <v>3265</v>
      </c>
      <c r="G27">
        <v>3265</v>
      </c>
    </row>
    <row r="28" spans="1:7" x14ac:dyDescent="0.2">
      <c r="A28">
        <v>2016</v>
      </c>
      <c r="B28">
        <v>2.86923105077737</v>
      </c>
      <c r="C28">
        <v>1.3234921974656999</v>
      </c>
      <c r="D28">
        <v>21393</v>
      </c>
      <c r="E28">
        <v>3850</v>
      </c>
      <c r="F28">
        <v>3850</v>
      </c>
      <c r="G28">
        <v>3850</v>
      </c>
    </row>
    <row r="29" spans="1:7" x14ac:dyDescent="0.2">
      <c r="A29">
        <v>2017</v>
      </c>
      <c r="B29">
        <v>2.87086959563654</v>
      </c>
      <c r="C29">
        <v>1.3116353519855499</v>
      </c>
      <c r="D29">
        <v>24074</v>
      </c>
      <c r="E29">
        <v>4248</v>
      </c>
      <c r="F29">
        <v>4248</v>
      </c>
      <c r="G29">
        <v>4248</v>
      </c>
    </row>
    <row r="30" spans="1:7" x14ac:dyDescent="0.2">
      <c r="A30">
        <v>2018</v>
      </c>
      <c r="B30">
        <v>2.9284144354313701</v>
      </c>
      <c r="C30">
        <v>1.2961808291966499</v>
      </c>
      <c r="D30">
        <v>28490</v>
      </c>
      <c r="E30">
        <v>4835</v>
      </c>
      <c r="F30">
        <v>4835</v>
      </c>
      <c r="G30">
        <v>4835</v>
      </c>
    </row>
    <row r="31" spans="1:7" x14ac:dyDescent="0.2">
      <c r="A31">
        <v>2019</v>
      </c>
      <c r="B31">
        <v>2.8650927669530901</v>
      </c>
      <c r="C31">
        <v>1.26938465407893</v>
      </c>
      <c r="D31">
        <v>32879</v>
      </c>
      <c r="E31">
        <v>5656</v>
      </c>
      <c r="F31">
        <v>5656</v>
      </c>
      <c r="G31">
        <v>5656</v>
      </c>
    </row>
    <row r="32" spans="1:7" x14ac:dyDescent="0.2">
      <c r="A32">
        <v>2020</v>
      </c>
      <c r="B32">
        <v>2.8439293722752201</v>
      </c>
      <c r="C32">
        <v>1.29772633945143</v>
      </c>
      <c r="D32">
        <v>52232</v>
      </c>
      <c r="E32">
        <v>8690</v>
      </c>
      <c r="F32">
        <v>8690</v>
      </c>
      <c r="G32">
        <v>8690</v>
      </c>
    </row>
    <row r="33" spans="1:7" x14ac:dyDescent="0.2">
      <c r="A33">
        <v>2021</v>
      </c>
      <c r="B33">
        <v>2.8889246446367198</v>
      </c>
      <c r="C33">
        <v>1.28228712820957</v>
      </c>
      <c r="D33">
        <v>73226</v>
      </c>
      <c r="E33">
        <v>12993</v>
      </c>
      <c r="F33">
        <v>12993</v>
      </c>
      <c r="G33">
        <v>12993</v>
      </c>
    </row>
    <row r="34" spans="1:7" x14ac:dyDescent="0.2">
      <c r="A34">
        <v>2022</v>
      </c>
      <c r="B34">
        <v>2.8633424229847901</v>
      </c>
      <c r="C34">
        <v>1.2268748714111799</v>
      </c>
      <c r="D34">
        <v>77880</v>
      </c>
      <c r="E34">
        <v>14845</v>
      </c>
      <c r="F34">
        <v>14845</v>
      </c>
      <c r="G34">
        <v>14845</v>
      </c>
    </row>
    <row r="35" spans="1:7" x14ac:dyDescent="0.2">
      <c r="A35">
        <v>2023</v>
      </c>
      <c r="B35">
        <v>2.86168360385548</v>
      </c>
      <c r="C35">
        <v>1.19071667592515</v>
      </c>
      <c r="D35">
        <v>71057</v>
      </c>
      <c r="E35">
        <v>14539</v>
      </c>
      <c r="F35">
        <v>14539</v>
      </c>
      <c r="G35">
        <v>14539</v>
      </c>
    </row>
    <row r="36" spans="1:7" x14ac:dyDescent="0.2">
      <c r="A36">
        <v>2024</v>
      </c>
      <c r="B36">
        <v>2.8620818873381899</v>
      </c>
      <c r="C36">
        <v>1.2378958394144599</v>
      </c>
      <c r="D36">
        <v>65442</v>
      </c>
      <c r="E36">
        <v>13276</v>
      </c>
      <c r="F36">
        <v>13276</v>
      </c>
      <c r="G36">
        <v>13276</v>
      </c>
    </row>
    <row r="37" spans="1:7" x14ac:dyDescent="0.2">
      <c r="A37">
        <v>2025</v>
      </c>
      <c r="B37">
        <v>2.86192342287237</v>
      </c>
      <c r="C37">
        <v>1.21067998203891</v>
      </c>
      <c r="D37">
        <v>41287</v>
      </c>
      <c r="E37">
        <v>8673</v>
      </c>
      <c r="F37">
        <v>8673</v>
      </c>
      <c r="G37">
        <v>8673</v>
      </c>
    </row>
    <row r="38" spans="1:7" x14ac:dyDescent="0.2">
      <c r="A38" t="s">
        <v>1</v>
      </c>
      <c r="B38">
        <f t="shared" ref="B38:G38" si="0">SUM(B2:B37)</f>
        <v>87.043057638448261</v>
      </c>
      <c r="C38">
        <f t="shared" si="0"/>
        <v>46.077032965103378</v>
      </c>
      <c r="D38">
        <f t="shared" si="0"/>
        <v>560454</v>
      </c>
      <c r="E38">
        <f t="shared" si="0"/>
        <v>103542</v>
      </c>
      <c r="F38">
        <f t="shared" si="0"/>
        <v>103542</v>
      </c>
      <c r="G38">
        <f t="shared" si="0"/>
        <v>103542</v>
      </c>
    </row>
    <row r="39" spans="1:7" x14ac:dyDescent="0.2">
      <c r="A39" t="s">
        <v>2</v>
      </c>
      <c r="B39">
        <f>MAX(B2:B37)</f>
        <v>3.0025010718921501</v>
      </c>
      <c r="C39">
        <f t="shared" ref="C39:G39" si="1">MAX(C2:C37)</f>
        <v>2.9999999999999898</v>
      </c>
      <c r="D39">
        <f t="shared" si="1"/>
        <v>77880</v>
      </c>
      <c r="E39">
        <f t="shared" si="1"/>
        <v>14845</v>
      </c>
      <c r="F39">
        <f t="shared" si="1"/>
        <v>14845</v>
      </c>
      <c r="G39">
        <f t="shared" si="1"/>
        <v>14845</v>
      </c>
    </row>
    <row r="40" spans="1:7" x14ac:dyDescent="0.2">
      <c r="A40" t="s">
        <v>3</v>
      </c>
      <c r="B40">
        <f>MIN(B2:B37)</f>
        <v>0</v>
      </c>
      <c r="C40">
        <f t="shared" ref="C40:G40" si="2">MIN(C2:C37)</f>
        <v>0</v>
      </c>
      <c r="D40">
        <f t="shared" si="2"/>
        <v>2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9A8B-9C37-C34D-B28C-D53C7FBFD304}">
  <dimension ref="A1:G40"/>
  <sheetViews>
    <sheetView workbookViewId="0">
      <selection activeCell="A2" sqref="A2:G37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">
      <c r="A2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>
        <v>1992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</row>
    <row r="5" spans="1:7" x14ac:dyDescent="0.2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>
        <v>1995</v>
      </c>
      <c r="B7">
        <v>1.8010299956639799</v>
      </c>
      <c r="C7">
        <v>1.3010299956639799</v>
      </c>
      <c r="D7">
        <v>4</v>
      </c>
      <c r="E7">
        <v>2</v>
      </c>
      <c r="F7">
        <v>2</v>
      </c>
      <c r="G7">
        <v>2</v>
      </c>
    </row>
    <row r="8" spans="1:7" x14ac:dyDescent="0.2">
      <c r="A8">
        <v>1996</v>
      </c>
      <c r="B8">
        <v>0</v>
      </c>
      <c r="C8">
        <v>0</v>
      </c>
      <c r="D8">
        <v>8</v>
      </c>
      <c r="E8">
        <v>0</v>
      </c>
      <c r="F8">
        <v>0</v>
      </c>
      <c r="G8">
        <v>0</v>
      </c>
    </row>
    <row r="9" spans="1:7" x14ac:dyDescent="0.2">
      <c r="A9">
        <v>1997</v>
      </c>
      <c r="B9">
        <v>1.3010299956639799</v>
      </c>
      <c r="C9">
        <v>1.3010299956639799</v>
      </c>
      <c r="D9">
        <v>7</v>
      </c>
      <c r="E9">
        <v>1</v>
      </c>
      <c r="F9">
        <v>1</v>
      </c>
      <c r="G9">
        <v>1</v>
      </c>
    </row>
    <row r="10" spans="1:7" x14ac:dyDescent="0.2">
      <c r="A10">
        <v>1998</v>
      </c>
      <c r="B10">
        <v>2.32525749891599</v>
      </c>
      <c r="C10">
        <v>1.2154243254584201</v>
      </c>
      <c r="D10">
        <v>6</v>
      </c>
      <c r="E10">
        <v>4</v>
      </c>
      <c r="F10">
        <v>4</v>
      </c>
      <c r="G10">
        <v>4</v>
      </c>
    </row>
    <row r="11" spans="1:7" x14ac:dyDescent="0.2">
      <c r="A11">
        <v>1999</v>
      </c>
      <c r="B11">
        <v>2.50762624842677</v>
      </c>
      <c r="C11">
        <v>0.82072696830890801</v>
      </c>
      <c r="D11">
        <v>10</v>
      </c>
      <c r="E11">
        <v>3</v>
      </c>
      <c r="F11">
        <v>3</v>
      </c>
      <c r="G11">
        <v>3</v>
      </c>
    </row>
    <row r="12" spans="1:7" x14ac:dyDescent="0.2">
      <c r="A12">
        <v>2000</v>
      </c>
      <c r="B12">
        <v>1.9281060393068301</v>
      </c>
      <c r="C12">
        <v>1.46485777244751</v>
      </c>
      <c r="D12">
        <v>11</v>
      </c>
      <c r="E12">
        <v>6</v>
      </c>
      <c r="F12">
        <v>6</v>
      </c>
      <c r="G12">
        <v>6</v>
      </c>
    </row>
    <row r="13" spans="1:7" x14ac:dyDescent="0.2">
      <c r="A13">
        <v>2001</v>
      </c>
      <c r="B13">
        <v>2.8054621874040802</v>
      </c>
      <c r="C13">
        <v>0.67583370243461705</v>
      </c>
      <c r="D13">
        <v>12</v>
      </c>
      <c r="E13">
        <v>4</v>
      </c>
      <c r="F13">
        <v>4</v>
      </c>
      <c r="G13">
        <v>4</v>
      </c>
    </row>
    <row r="14" spans="1:7" x14ac:dyDescent="0.2">
      <c r="A14">
        <v>2002</v>
      </c>
      <c r="B14">
        <v>2.6805998701823799</v>
      </c>
      <c r="C14">
        <v>1.1585074738977901</v>
      </c>
      <c r="D14">
        <v>618</v>
      </c>
      <c r="E14">
        <v>377</v>
      </c>
      <c r="F14">
        <v>377</v>
      </c>
      <c r="G14">
        <v>377</v>
      </c>
    </row>
    <row r="15" spans="1:7" x14ac:dyDescent="0.2">
      <c r="A15">
        <v>2003</v>
      </c>
      <c r="B15">
        <v>2.7072328596542201</v>
      </c>
      <c r="C15">
        <v>1.0744968953363601</v>
      </c>
      <c r="D15">
        <v>918</v>
      </c>
      <c r="E15">
        <v>468</v>
      </c>
      <c r="F15">
        <v>468</v>
      </c>
      <c r="G15">
        <v>468</v>
      </c>
    </row>
    <row r="16" spans="1:7" x14ac:dyDescent="0.2">
      <c r="A16">
        <v>2004</v>
      </c>
      <c r="B16">
        <v>2.7196958296190101</v>
      </c>
      <c r="C16">
        <v>1.0927311166767499</v>
      </c>
      <c r="D16">
        <v>958</v>
      </c>
      <c r="E16">
        <v>506</v>
      </c>
      <c r="F16">
        <v>506</v>
      </c>
      <c r="G16">
        <v>506</v>
      </c>
    </row>
    <row r="17" spans="1:7" x14ac:dyDescent="0.2">
      <c r="A17">
        <v>2005</v>
      </c>
      <c r="B17">
        <v>2.6356672516825799</v>
      </c>
      <c r="C17">
        <v>1.11283488739779</v>
      </c>
      <c r="D17">
        <v>730</v>
      </c>
      <c r="E17">
        <v>411</v>
      </c>
      <c r="F17">
        <v>411</v>
      </c>
      <c r="G17">
        <v>411</v>
      </c>
    </row>
    <row r="18" spans="1:7" x14ac:dyDescent="0.2">
      <c r="A18">
        <v>2006</v>
      </c>
      <c r="B18">
        <v>2.7084791857022301</v>
      </c>
      <c r="C18">
        <v>0.96897565712371203</v>
      </c>
      <c r="D18">
        <v>750</v>
      </c>
      <c r="E18">
        <v>424</v>
      </c>
      <c r="F18">
        <v>424</v>
      </c>
      <c r="G18">
        <v>424</v>
      </c>
    </row>
    <row r="19" spans="1:7" x14ac:dyDescent="0.2">
      <c r="A19">
        <v>2007</v>
      </c>
      <c r="B19">
        <v>2.6895643119299102</v>
      </c>
      <c r="C19">
        <v>1.0703419792784901</v>
      </c>
      <c r="D19">
        <v>985</v>
      </c>
      <c r="E19">
        <v>551</v>
      </c>
      <c r="F19">
        <v>551</v>
      </c>
      <c r="G19">
        <v>551</v>
      </c>
    </row>
    <row r="20" spans="1:7" x14ac:dyDescent="0.2">
      <c r="A20">
        <v>2008</v>
      </c>
      <c r="B20">
        <v>2.7790549033436398</v>
      </c>
      <c r="C20">
        <v>0.994606862153539</v>
      </c>
      <c r="D20">
        <v>1765</v>
      </c>
      <c r="E20">
        <v>1052</v>
      </c>
      <c r="F20">
        <v>1052</v>
      </c>
      <c r="G20">
        <v>1052</v>
      </c>
    </row>
    <row r="21" spans="1:7" x14ac:dyDescent="0.2">
      <c r="A21">
        <v>2009</v>
      </c>
      <c r="B21">
        <v>2.7817605678580302</v>
      </c>
      <c r="C21">
        <v>0.97051596403857898</v>
      </c>
      <c r="D21">
        <v>2244</v>
      </c>
      <c r="E21">
        <v>1468</v>
      </c>
      <c r="F21">
        <v>1468</v>
      </c>
      <c r="G21">
        <v>1468</v>
      </c>
    </row>
    <row r="22" spans="1:7" x14ac:dyDescent="0.2">
      <c r="A22">
        <v>2010</v>
      </c>
      <c r="B22">
        <v>2.7953936457103001</v>
      </c>
      <c r="C22">
        <v>0.98360066135270896</v>
      </c>
      <c r="D22">
        <v>2381</v>
      </c>
      <c r="E22">
        <v>1585</v>
      </c>
      <c r="F22">
        <v>1585</v>
      </c>
      <c r="G22">
        <v>1585</v>
      </c>
    </row>
    <row r="23" spans="1:7" x14ac:dyDescent="0.2">
      <c r="A23">
        <v>2011</v>
      </c>
      <c r="B23">
        <v>2.80743129351346</v>
      </c>
      <c r="C23">
        <v>0.95024386794101601</v>
      </c>
      <c r="D23">
        <v>2625</v>
      </c>
      <c r="E23">
        <v>1724</v>
      </c>
      <c r="F23">
        <v>1724</v>
      </c>
      <c r="G23">
        <v>1724</v>
      </c>
    </row>
    <row r="24" spans="1:7" x14ac:dyDescent="0.2">
      <c r="A24">
        <v>2012</v>
      </c>
      <c r="B24">
        <v>2.7945112345363401</v>
      </c>
      <c r="C24">
        <v>0.96573794618140796</v>
      </c>
      <c r="D24">
        <v>2834</v>
      </c>
      <c r="E24">
        <v>1842</v>
      </c>
      <c r="F24">
        <v>1842</v>
      </c>
      <c r="G24">
        <v>1842</v>
      </c>
    </row>
    <row r="25" spans="1:7" x14ac:dyDescent="0.2">
      <c r="A25">
        <v>2013</v>
      </c>
      <c r="B25">
        <v>2.7677418938588199</v>
      </c>
      <c r="C25">
        <v>0.95942876753064998</v>
      </c>
      <c r="D25">
        <v>3865</v>
      </c>
      <c r="E25">
        <v>2472</v>
      </c>
      <c r="F25">
        <v>2472</v>
      </c>
      <c r="G25">
        <v>2472</v>
      </c>
    </row>
    <row r="26" spans="1:7" x14ac:dyDescent="0.2">
      <c r="A26">
        <v>2014</v>
      </c>
      <c r="B26">
        <v>2.76140549078792</v>
      </c>
      <c r="C26">
        <v>0.97513967906569998</v>
      </c>
      <c r="D26">
        <v>4083</v>
      </c>
      <c r="E26">
        <v>2646</v>
      </c>
      <c r="F26">
        <v>2646</v>
      </c>
      <c r="G26">
        <v>2646</v>
      </c>
    </row>
    <row r="27" spans="1:7" x14ac:dyDescent="0.2">
      <c r="A27">
        <v>2015</v>
      </c>
      <c r="B27">
        <v>2.86061917142802</v>
      </c>
      <c r="C27">
        <v>0.90032786356071004</v>
      </c>
      <c r="D27">
        <v>5830</v>
      </c>
      <c r="E27">
        <v>3847</v>
      </c>
      <c r="F27">
        <v>3847</v>
      </c>
      <c r="G27">
        <v>3847</v>
      </c>
    </row>
    <row r="28" spans="1:7" x14ac:dyDescent="0.2">
      <c r="A28">
        <v>2016</v>
      </c>
      <c r="B28">
        <v>2.7508983133531602</v>
      </c>
      <c r="C28">
        <v>0.89451792524808504</v>
      </c>
      <c r="D28">
        <v>7337</v>
      </c>
      <c r="E28">
        <v>4867</v>
      </c>
      <c r="F28">
        <v>4867</v>
      </c>
      <c r="G28">
        <v>4867</v>
      </c>
    </row>
    <row r="29" spans="1:7" x14ac:dyDescent="0.2">
      <c r="A29">
        <v>2017</v>
      </c>
      <c r="B29">
        <v>2.76856281686206</v>
      </c>
      <c r="C29">
        <v>0.91067884816929301</v>
      </c>
      <c r="D29">
        <v>7990</v>
      </c>
      <c r="E29">
        <v>4720</v>
      </c>
      <c r="F29">
        <v>4720</v>
      </c>
      <c r="G29">
        <v>4720</v>
      </c>
    </row>
    <row r="30" spans="1:7" x14ac:dyDescent="0.2">
      <c r="A30">
        <v>2018</v>
      </c>
      <c r="B30">
        <v>2.75861644540268</v>
      </c>
      <c r="C30">
        <v>0.92398464368872801</v>
      </c>
      <c r="D30">
        <v>8916</v>
      </c>
      <c r="E30">
        <v>5149</v>
      </c>
      <c r="F30">
        <v>5149</v>
      </c>
      <c r="G30">
        <v>5149</v>
      </c>
    </row>
    <row r="31" spans="1:7" x14ac:dyDescent="0.2">
      <c r="A31">
        <v>2019</v>
      </c>
      <c r="B31">
        <v>2.67320856013301</v>
      </c>
      <c r="C31">
        <v>0.90074159478730598</v>
      </c>
      <c r="D31">
        <v>10152</v>
      </c>
      <c r="E31">
        <v>5688</v>
      </c>
      <c r="F31">
        <v>5688</v>
      </c>
      <c r="G31">
        <v>5688</v>
      </c>
    </row>
    <row r="32" spans="1:7" x14ac:dyDescent="0.2">
      <c r="A32">
        <v>2020</v>
      </c>
      <c r="B32">
        <v>2.6369212954934098</v>
      </c>
      <c r="C32">
        <v>1.00082181799901</v>
      </c>
      <c r="D32">
        <v>17359</v>
      </c>
      <c r="E32">
        <v>7965</v>
      </c>
      <c r="F32">
        <v>7965</v>
      </c>
      <c r="G32">
        <v>7965</v>
      </c>
    </row>
    <row r="33" spans="1:7" x14ac:dyDescent="0.2">
      <c r="A33">
        <v>2021</v>
      </c>
      <c r="B33">
        <v>2.6707629155090302</v>
      </c>
      <c r="C33">
        <v>1.0074030080551799</v>
      </c>
      <c r="D33">
        <v>19099</v>
      </c>
      <c r="E33">
        <v>9519</v>
      </c>
      <c r="F33">
        <v>9519</v>
      </c>
      <c r="G33">
        <v>9519</v>
      </c>
    </row>
    <row r="34" spans="1:7" x14ac:dyDescent="0.2">
      <c r="A34">
        <v>2022</v>
      </c>
      <c r="B34">
        <v>2.8841593560885399</v>
      </c>
      <c r="C34">
        <v>0.98339750374091095</v>
      </c>
      <c r="D34">
        <v>18468</v>
      </c>
      <c r="E34">
        <v>10029</v>
      </c>
      <c r="F34">
        <v>10029</v>
      </c>
      <c r="G34">
        <v>10029</v>
      </c>
    </row>
    <row r="35" spans="1:7" x14ac:dyDescent="0.2">
      <c r="A35">
        <v>2023</v>
      </c>
      <c r="B35">
        <v>2.8531382499542102</v>
      </c>
      <c r="C35">
        <v>0.98308958268800894</v>
      </c>
      <c r="D35">
        <v>13801</v>
      </c>
      <c r="E35">
        <v>7937</v>
      </c>
      <c r="F35">
        <v>7937</v>
      </c>
      <c r="G35">
        <v>7937</v>
      </c>
    </row>
    <row r="36" spans="1:7" x14ac:dyDescent="0.2">
      <c r="A36">
        <v>2024</v>
      </c>
      <c r="B36">
        <v>2.98285427322342</v>
      </c>
      <c r="C36">
        <v>0.95794641170575301</v>
      </c>
      <c r="D36">
        <v>11967</v>
      </c>
      <c r="E36">
        <v>7222</v>
      </c>
      <c r="F36">
        <v>7222</v>
      </c>
      <c r="G36">
        <v>7222</v>
      </c>
    </row>
    <row r="37" spans="1:7" x14ac:dyDescent="0.2">
      <c r="A37">
        <v>2025</v>
      </c>
      <c r="B37">
        <v>2.7589366325130298</v>
      </c>
      <c r="C37">
        <v>0.92203730147562901</v>
      </c>
      <c r="D37">
        <v>11252</v>
      </c>
      <c r="E37">
        <v>6659</v>
      </c>
      <c r="F37">
        <v>6659</v>
      </c>
      <c r="G37">
        <v>6659</v>
      </c>
    </row>
    <row r="38" spans="1:7" x14ac:dyDescent="0.2">
      <c r="A38" t="s">
        <v>1</v>
      </c>
      <c r="B38">
        <f t="shared" ref="B38:G38" si="0">SUM(B2:B37)</f>
        <v>78.895728333721053</v>
      </c>
      <c r="C38">
        <f t="shared" si="0"/>
        <v>30.441011019070526</v>
      </c>
      <c r="D38">
        <f t="shared" si="0"/>
        <v>156986</v>
      </c>
      <c r="E38">
        <f t="shared" si="0"/>
        <v>89148</v>
      </c>
      <c r="F38">
        <f t="shared" si="0"/>
        <v>89148</v>
      </c>
      <c r="G38">
        <f t="shared" si="0"/>
        <v>89148</v>
      </c>
    </row>
    <row r="39" spans="1:7" x14ac:dyDescent="0.2">
      <c r="A39" t="s">
        <v>2</v>
      </c>
      <c r="B39">
        <f>MAX(B2:B37)</f>
        <v>2.98285427322342</v>
      </c>
      <c r="C39">
        <f t="shared" ref="C39:G39" si="1">MAX(C2:C37)</f>
        <v>1.46485777244751</v>
      </c>
      <c r="D39">
        <f t="shared" si="1"/>
        <v>19099</v>
      </c>
      <c r="E39">
        <f t="shared" si="1"/>
        <v>10029</v>
      </c>
      <c r="F39">
        <f t="shared" si="1"/>
        <v>10029</v>
      </c>
      <c r="G39">
        <f t="shared" si="1"/>
        <v>10029</v>
      </c>
    </row>
    <row r="40" spans="1:7" x14ac:dyDescent="0.2">
      <c r="A40" t="s">
        <v>3</v>
      </c>
      <c r="B40">
        <f>MIN(B2:B37)</f>
        <v>0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D5F0-A2D0-E14C-AA47-A11E45B6A63C}">
  <dimension ref="A1:G40"/>
  <sheetViews>
    <sheetView tabSelected="1" workbookViewId="0">
      <selection activeCell="F8" sqref="F8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">
      <c r="A2">
        <v>1990</v>
      </c>
      <c r="B2">
        <v>2.21683833261066</v>
      </c>
      <c r="C2">
        <v>1.57314867681059</v>
      </c>
      <c r="D2">
        <v>230</v>
      </c>
      <c r="E2">
        <v>12</v>
      </c>
      <c r="F2">
        <v>12</v>
      </c>
      <c r="G2">
        <v>12</v>
      </c>
    </row>
    <row r="3" spans="1:7" x14ac:dyDescent="0.2">
      <c r="A3">
        <v>1991</v>
      </c>
      <c r="B3">
        <v>2.9002809079083498</v>
      </c>
      <c r="C3">
        <v>1.3428683197598601</v>
      </c>
      <c r="D3">
        <v>247</v>
      </c>
      <c r="E3">
        <v>11</v>
      </c>
      <c r="F3">
        <v>11</v>
      </c>
      <c r="G3">
        <v>11</v>
      </c>
    </row>
    <row r="4" spans="1:7" x14ac:dyDescent="0.2">
      <c r="A4">
        <v>1992</v>
      </c>
      <c r="B4">
        <v>2.0884270178511999</v>
      </c>
      <c r="C4">
        <v>1.1553800764065201</v>
      </c>
      <c r="D4">
        <v>223</v>
      </c>
      <c r="E4">
        <v>14</v>
      </c>
      <c r="F4">
        <v>14</v>
      </c>
      <c r="G4">
        <v>14</v>
      </c>
    </row>
    <row r="5" spans="1:7" x14ac:dyDescent="0.2">
      <c r="A5">
        <v>1993</v>
      </c>
      <c r="B5">
        <v>2.5940718736449901</v>
      </c>
      <c r="C5">
        <v>1.49766473512739</v>
      </c>
      <c r="D5">
        <v>218</v>
      </c>
      <c r="E5">
        <v>16</v>
      </c>
      <c r="F5">
        <v>16</v>
      </c>
      <c r="G5">
        <v>16</v>
      </c>
    </row>
    <row r="6" spans="1:7" x14ac:dyDescent="0.2">
      <c r="A6">
        <v>1994</v>
      </c>
      <c r="B6">
        <v>2.1886060226680599</v>
      </c>
      <c r="C6">
        <v>1.1996794323553499</v>
      </c>
      <c r="D6">
        <v>324</v>
      </c>
      <c r="E6">
        <v>34</v>
      </c>
      <c r="F6">
        <v>34</v>
      </c>
      <c r="G6">
        <v>34</v>
      </c>
    </row>
    <row r="7" spans="1:7" x14ac:dyDescent="0.2">
      <c r="A7">
        <v>1995</v>
      </c>
      <c r="B7">
        <v>2.1548221991641898</v>
      </c>
      <c r="C7">
        <v>1.3391821786695</v>
      </c>
      <c r="D7">
        <v>315</v>
      </c>
      <c r="E7">
        <v>32</v>
      </c>
      <c r="F7">
        <v>32</v>
      </c>
      <c r="G7">
        <v>32</v>
      </c>
    </row>
    <row r="8" spans="1:7" x14ac:dyDescent="0.2">
      <c r="A8">
        <v>1996</v>
      </c>
      <c r="B8">
        <v>2.3022185925504699</v>
      </c>
      <c r="C8">
        <v>1.4043500867038301</v>
      </c>
      <c r="D8">
        <v>366</v>
      </c>
      <c r="E8">
        <v>43</v>
      </c>
      <c r="F8">
        <v>43</v>
      </c>
      <c r="G8">
        <v>43</v>
      </c>
    </row>
    <row r="9" spans="1:7" x14ac:dyDescent="0.2">
      <c r="A9">
        <v>1997</v>
      </c>
      <c r="B9">
        <v>2.3220819068091401</v>
      </c>
      <c r="C9">
        <v>1.4846291817973301</v>
      </c>
      <c r="D9">
        <v>1647</v>
      </c>
      <c r="E9">
        <v>292</v>
      </c>
      <c r="F9">
        <v>292</v>
      </c>
      <c r="G9">
        <v>292</v>
      </c>
    </row>
    <row r="10" spans="1:7" x14ac:dyDescent="0.2">
      <c r="A10">
        <v>1998</v>
      </c>
      <c r="B10">
        <v>2.3806716597290198</v>
      </c>
      <c r="C10">
        <v>1.5090992436218</v>
      </c>
      <c r="D10">
        <v>1753</v>
      </c>
      <c r="E10">
        <v>359</v>
      </c>
      <c r="F10">
        <v>359</v>
      </c>
      <c r="G10">
        <v>359</v>
      </c>
    </row>
    <row r="11" spans="1:7" x14ac:dyDescent="0.2">
      <c r="A11">
        <v>1999</v>
      </c>
      <c r="B11">
        <v>2.7799548584419802</v>
      </c>
      <c r="C11">
        <v>1.5194032443457</v>
      </c>
      <c r="D11">
        <v>1940</v>
      </c>
      <c r="E11">
        <v>405</v>
      </c>
      <c r="F11">
        <v>405</v>
      </c>
      <c r="G11">
        <v>405</v>
      </c>
    </row>
    <row r="12" spans="1:7" x14ac:dyDescent="0.2">
      <c r="A12">
        <v>2000</v>
      </c>
      <c r="B12">
        <v>2.31822059044238</v>
      </c>
      <c r="C12">
        <v>1.4311419057592401</v>
      </c>
      <c r="D12">
        <v>2698</v>
      </c>
      <c r="E12">
        <v>542</v>
      </c>
      <c r="F12">
        <v>542</v>
      </c>
      <c r="G12">
        <v>542</v>
      </c>
    </row>
    <row r="13" spans="1:7" x14ac:dyDescent="0.2">
      <c r="A13">
        <v>2001</v>
      </c>
      <c r="B13">
        <v>2.4638697389425501</v>
      </c>
      <c r="C13">
        <v>1.3833856045673301</v>
      </c>
      <c r="D13">
        <v>3733</v>
      </c>
      <c r="E13">
        <v>978</v>
      </c>
      <c r="F13">
        <v>978</v>
      </c>
      <c r="G13">
        <v>978</v>
      </c>
    </row>
    <row r="14" spans="1:7" x14ac:dyDescent="0.2">
      <c r="A14">
        <v>2002</v>
      </c>
      <c r="B14">
        <v>2.53793417966294</v>
      </c>
      <c r="C14">
        <v>1.3236889996386401</v>
      </c>
      <c r="D14">
        <v>5091</v>
      </c>
      <c r="E14">
        <v>1658</v>
      </c>
      <c r="F14">
        <v>1658</v>
      </c>
      <c r="G14">
        <v>1658</v>
      </c>
    </row>
    <row r="15" spans="1:7" x14ac:dyDescent="0.2">
      <c r="A15">
        <v>2003</v>
      </c>
      <c r="B15">
        <v>2.6529733679012999</v>
      </c>
      <c r="C15">
        <v>1.3023096036666</v>
      </c>
      <c r="D15">
        <v>7005</v>
      </c>
      <c r="E15">
        <v>2305</v>
      </c>
      <c r="F15">
        <v>2305</v>
      </c>
      <c r="G15">
        <v>2305</v>
      </c>
    </row>
    <row r="16" spans="1:7" x14ac:dyDescent="0.2">
      <c r="A16">
        <v>2004</v>
      </c>
      <c r="B16">
        <v>2.6373793778930099</v>
      </c>
      <c r="C16">
        <v>1.27668107778938</v>
      </c>
      <c r="D16">
        <v>10246</v>
      </c>
      <c r="E16">
        <v>3427</v>
      </c>
      <c r="F16">
        <v>3427</v>
      </c>
      <c r="G16">
        <v>3427</v>
      </c>
    </row>
    <row r="17" spans="1:7" x14ac:dyDescent="0.2">
      <c r="A17">
        <v>2005</v>
      </c>
      <c r="B17">
        <v>2.6751202394890501</v>
      </c>
      <c r="C17">
        <v>1.2699973945446299</v>
      </c>
      <c r="D17">
        <v>15662</v>
      </c>
      <c r="E17">
        <v>5408</v>
      </c>
      <c r="F17">
        <v>5408</v>
      </c>
      <c r="G17">
        <v>5408</v>
      </c>
    </row>
    <row r="18" spans="1:7" x14ac:dyDescent="0.2">
      <c r="A18">
        <v>2006</v>
      </c>
      <c r="B18">
        <v>3.0143359765133502</v>
      </c>
      <c r="C18">
        <v>1.24381853430377</v>
      </c>
      <c r="D18">
        <v>20055</v>
      </c>
      <c r="E18">
        <v>7289</v>
      </c>
      <c r="F18">
        <v>7289</v>
      </c>
      <c r="G18">
        <v>7289</v>
      </c>
    </row>
    <row r="19" spans="1:7" x14ac:dyDescent="0.2">
      <c r="A19">
        <v>2007</v>
      </c>
      <c r="B19">
        <v>2.96674087695936</v>
      </c>
      <c r="C19">
        <v>1.2204955496355601</v>
      </c>
      <c r="D19">
        <v>27529</v>
      </c>
      <c r="E19">
        <v>10786</v>
      </c>
      <c r="F19">
        <v>10786</v>
      </c>
      <c r="G19">
        <v>10786</v>
      </c>
    </row>
    <row r="20" spans="1:7" x14ac:dyDescent="0.2">
      <c r="A20">
        <v>2008</v>
      </c>
      <c r="B20">
        <v>2.97919675009262</v>
      </c>
      <c r="C20">
        <v>1.2113251015173001</v>
      </c>
      <c r="D20">
        <v>43398</v>
      </c>
      <c r="E20">
        <v>16522</v>
      </c>
      <c r="F20">
        <v>16522</v>
      </c>
      <c r="G20">
        <v>16522</v>
      </c>
    </row>
    <row r="21" spans="1:7" x14ac:dyDescent="0.2">
      <c r="A21">
        <v>2009</v>
      </c>
      <c r="B21">
        <v>2.9516506529647</v>
      </c>
      <c r="C21">
        <v>1.1995560860627199</v>
      </c>
      <c r="D21">
        <v>58835</v>
      </c>
      <c r="E21">
        <v>23047</v>
      </c>
      <c r="F21">
        <v>23047</v>
      </c>
      <c r="G21">
        <v>23047</v>
      </c>
    </row>
    <row r="22" spans="1:7" x14ac:dyDescent="0.2">
      <c r="A22">
        <v>2010</v>
      </c>
      <c r="B22">
        <v>2.9225924217528298</v>
      </c>
      <c r="C22">
        <v>1.1999333993548</v>
      </c>
      <c r="D22">
        <v>80146</v>
      </c>
      <c r="E22">
        <v>33387</v>
      </c>
      <c r="F22">
        <v>33387</v>
      </c>
      <c r="G22">
        <v>33387</v>
      </c>
    </row>
    <row r="23" spans="1:7" x14ac:dyDescent="0.2">
      <c r="A23">
        <v>2011</v>
      </c>
      <c r="B23">
        <v>2.90010645238138</v>
      </c>
      <c r="C23">
        <v>1.1546602056008</v>
      </c>
      <c r="D23">
        <v>109511</v>
      </c>
      <c r="E23">
        <v>47414</v>
      </c>
      <c r="F23">
        <v>47414</v>
      </c>
      <c r="G23">
        <v>47414</v>
      </c>
    </row>
    <row r="24" spans="1:7" x14ac:dyDescent="0.2">
      <c r="A24">
        <v>2012</v>
      </c>
      <c r="B24">
        <v>2.7793112209919402</v>
      </c>
      <c r="C24">
        <v>1.1421349544069299</v>
      </c>
      <c r="D24">
        <v>146163</v>
      </c>
      <c r="E24">
        <v>67238</v>
      </c>
      <c r="F24">
        <v>67238</v>
      </c>
      <c r="G24">
        <v>67238</v>
      </c>
    </row>
    <row r="25" spans="1:7" x14ac:dyDescent="0.2">
      <c r="A25">
        <v>2013</v>
      </c>
      <c r="B25">
        <v>2.8023064871658301</v>
      </c>
      <c r="C25">
        <v>1.11342344819697</v>
      </c>
      <c r="D25">
        <v>184796</v>
      </c>
      <c r="E25">
        <v>88843</v>
      </c>
      <c r="F25">
        <v>88843</v>
      </c>
      <c r="G25">
        <v>88843</v>
      </c>
    </row>
    <row r="26" spans="1:7" x14ac:dyDescent="0.2">
      <c r="A26">
        <v>2014</v>
      </c>
      <c r="B26">
        <v>2.7667632065899399</v>
      </c>
      <c r="C26">
        <v>1.1034753571061799</v>
      </c>
      <c r="D26">
        <v>221453</v>
      </c>
      <c r="E26">
        <v>106587</v>
      </c>
      <c r="F26">
        <v>106587</v>
      </c>
      <c r="G26">
        <v>106587</v>
      </c>
    </row>
    <row r="27" spans="1:7" x14ac:dyDescent="0.2">
      <c r="A27">
        <v>2015</v>
      </c>
      <c r="B27">
        <v>2.7752577295848702</v>
      </c>
      <c r="C27">
        <v>1.0937623812699699</v>
      </c>
      <c r="D27">
        <v>252039</v>
      </c>
      <c r="E27">
        <v>123219</v>
      </c>
      <c r="F27">
        <v>123219</v>
      </c>
      <c r="G27">
        <v>123219</v>
      </c>
    </row>
    <row r="28" spans="1:7" x14ac:dyDescent="0.2">
      <c r="A28">
        <v>2016</v>
      </c>
      <c r="B28">
        <v>2.77217999921977</v>
      </c>
      <c r="C28">
        <v>1.07155284258539</v>
      </c>
      <c r="D28">
        <v>274180</v>
      </c>
      <c r="E28">
        <v>138200</v>
      </c>
      <c r="F28">
        <v>138200</v>
      </c>
      <c r="G28">
        <v>138200</v>
      </c>
    </row>
    <row r="29" spans="1:7" x14ac:dyDescent="0.2">
      <c r="A29">
        <v>2017</v>
      </c>
      <c r="B29">
        <v>2.7701697375557601</v>
      </c>
      <c r="C29">
        <v>1.07675094798292</v>
      </c>
      <c r="D29">
        <v>306531</v>
      </c>
      <c r="E29">
        <v>157356</v>
      </c>
      <c r="F29">
        <v>157356</v>
      </c>
      <c r="G29">
        <v>157356</v>
      </c>
    </row>
    <row r="30" spans="1:7" x14ac:dyDescent="0.2">
      <c r="A30">
        <v>2018</v>
      </c>
      <c r="B30">
        <v>2.77757812970684</v>
      </c>
      <c r="C30">
        <v>1.07314856444615</v>
      </c>
      <c r="D30">
        <v>339348</v>
      </c>
      <c r="E30">
        <v>170166</v>
      </c>
      <c r="F30">
        <v>170166</v>
      </c>
      <c r="G30">
        <v>170166</v>
      </c>
    </row>
    <row r="31" spans="1:7" x14ac:dyDescent="0.2">
      <c r="A31">
        <v>2019</v>
      </c>
      <c r="B31">
        <v>2.77067146208441</v>
      </c>
      <c r="C31">
        <v>1.0713977657084099</v>
      </c>
      <c r="D31">
        <v>390414</v>
      </c>
      <c r="E31">
        <v>198433</v>
      </c>
      <c r="F31">
        <v>198433</v>
      </c>
      <c r="G31">
        <v>198433</v>
      </c>
    </row>
    <row r="32" spans="1:7" x14ac:dyDescent="0.2">
      <c r="A32">
        <v>2020</v>
      </c>
      <c r="B32">
        <v>2.74603928730735</v>
      </c>
      <c r="C32">
        <v>1.07189982682547</v>
      </c>
      <c r="D32">
        <v>542079</v>
      </c>
      <c r="E32">
        <v>259936</v>
      </c>
      <c r="F32">
        <v>259936</v>
      </c>
      <c r="G32">
        <v>259936</v>
      </c>
    </row>
    <row r="33" spans="1:7" x14ac:dyDescent="0.2">
      <c r="A33">
        <v>2021</v>
      </c>
      <c r="B33">
        <v>2.7930104708307901</v>
      </c>
      <c r="C33">
        <v>1.0608267271126299</v>
      </c>
      <c r="D33">
        <v>677988</v>
      </c>
      <c r="E33">
        <v>335807</v>
      </c>
      <c r="F33">
        <v>335807</v>
      </c>
      <c r="G33">
        <v>335807</v>
      </c>
    </row>
    <row r="34" spans="1:7" x14ac:dyDescent="0.2">
      <c r="A34">
        <v>2022</v>
      </c>
      <c r="B34">
        <v>2.7857875002406498</v>
      </c>
      <c r="C34">
        <v>1.0607255329287399</v>
      </c>
      <c r="D34">
        <v>769707</v>
      </c>
      <c r="E34">
        <v>384088</v>
      </c>
      <c r="F34">
        <v>384088</v>
      </c>
      <c r="G34">
        <v>384088</v>
      </c>
    </row>
    <row r="35" spans="1:7" x14ac:dyDescent="0.2">
      <c r="A35">
        <v>2023</v>
      </c>
      <c r="B35">
        <v>2.856313601978</v>
      </c>
      <c r="C35">
        <v>1.06230172305009</v>
      </c>
      <c r="D35">
        <v>693210</v>
      </c>
      <c r="E35">
        <v>342239</v>
      </c>
      <c r="F35">
        <v>342239</v>
      </c>
      <c r="G35">
        <v>342239</v>
      </c>
    </row>
    <row r="36" spans="1:7" x14ac:dyDescent="0.2">
      <c r="A36">
        <v>2024</v>
      </c>
      <c r="B36">
        <v>2.8971472773904301</v>
      </c>
      <c r="C36">
        <v>1.05856476949524</v>
      </c>
      <c r="D36">
        <v>683803</v>
      </c>
      <c r="E36">
        <v>348872</v>
      </c>
      <c r="F36">
        <v>348872</v>
      </c>
      <c r="G36">
        <v>348872</v>
      </c>
    </row>
    <row r="37" spans="1:7" x14ac:dyDescent="0.2">
      <c r="A37">
        <v>2025</v>
      </c>
      <c r="B37">
        <v>2.90298570502955</v>
      </c>
      <c r="C37">
        <v>1.03593152321801</v>
      </c>
      <c r="D37">
        <v>524904</v>
      </c>
      <c r="E37">
        <v>279865</v>
      </c>
      <c r="F37">
        <v>279865</v>
      </c>
      <c r="G37">
        <v>279865</v>
      </c>
    </row>
    <row r="38" spans="1:7" x14ac:dyDescent="0.2">
      <c r="A38" t="s">
        <v>1</v>
      </c>
      <c r="B38">
        <f t="shared" ref="B38:G38" si="0">SUM(B2:B37)</f>
        <v>96.14361581204966</v>
      </c>
      <c r="C38">
        <f t="shared" si="0"/>
        <v>44.338295002371751</v>
      </c>
      <c r="D38">
        <f t="shared" si="0"/>
        <v>6397787</v>
      </c>
      <c r="E38">
        <f t="shared" si="0"/>
        <v>3154830</v>
      </c>
      <c r="F38">
        <f t="shared" si="0"/>
        <v>3154830</v>
      </c>
      <c r="G38">
        <f t="shared" si="0"/>
        <v>3154830</v>
      </c>
    </row>
    <row r="39" spans="1:7" x14ac:dyDescent="0.2">
      <c r="A39" t="s">
        <v>2</v>
      </c>
      <c r="B39">
        <f>MAX(B2:B37)</f>
        <v>3.0143359765133502</v>
      </c>
      <c r="C39">
        <f t="shared" ref="C39:G39" si="1">MAX(C2:C37)</f>
        <v>1.57314867681059</v>
      </c>
      <c r="D39">
        <f t="shared" si="1"/>
        <v>769707</v>
      </c>
      <c r="E39">
        <f t="shared" si="1"/>
        <v>384088</v>
      </c>
      <c r="F39">
        <f t="shared" si="1"/>
        <v>384088</v>
      </c>
      <c r="G39">
        <f t="shared" si="1"/>
        <v>384088</v>
      </c>
    </row>
    <row r="40" spans="1:7" x14ac:dyDescent="0.2">
      <c r="A40" t="s">
        <v>3</v>
      </c>
      <c r="B40">
        <f>MIN(B2:B37)</f>
        <v>2.0884270178511999</v>
      </c>
      <c r="C40">
        <f t="shared" ref="C40:G40" si="2">MIN(C2:C37)</f>
        <v>1.03593152321801</v>
      </c>
      <c r="D40">
        <f t="shared" si="2"/>
        <v>218</v>
      </c>
      <c r="E40">
        <f t="shared" si="2"/>
        <v>11</v>
      </c>
      <c r="F40">
        <f t="shared" si="2"/>
        <v>11</v>
      </c>
      <c r="G40">
        <f t="shared" si="2"/>
        <v>11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977DD-D425-C946-9381-1BC14D24376A}">
  <dimension ref="A1:G37"/>
  <sheetViews>
    <sheetView workbookViewId="0">
      <selection activeCell="I33" sqref="I33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">
      <c r="A2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>
        <v>1995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>
        <v>1997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>
        <v>1999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">
      <c r="A12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>
        <v>2001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>
        <v>2002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>
        <v>2003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">
      <c r="A16">
        <v>2004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">
      <c r="A17">
        <v>2005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">
      <c r="A18">
        <v>2006</v>
      </c>
      <c r="B18">
        <v>2.3979400086720299</v>
      </c>
      <c r="C18">
        <v>1.5228787452803301</v>
      </c>
      <c r="D18">
        <v>1</v>
      </c>
      <c r="E18">
        <v>1</v>
      </c>
      <c r="F18">
        <v>1</v>
      </c>
      <c r="G18">
        <v>1</v>
      </c>
    </row>
    <row r="19" spans="1:7" x14ac:dyDescent="0.2">
      <c r="A19">
        <v>2007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">
      <c r="A20">
        <v>2008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">
      <c r="A21">
        <v>2009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2">
      <c r="A22">
        <v>2010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">
      <c r="A23">
        <v>2011</v>
      </c>
      <c r="B23">
        <v>2.5228787452803298</v>
      </c>
      <c r="C23">
        <v>7.0581074285707202E-2</v>
      </c>
      <c r="D23">
        <v>1</v>
      </c>
      <c r="E23">
        <v>1</v>
      </c>
      <c r="F23">
        <v>1</v>
      </c>
      <c r="G23">
        <v>1</v>
      </c>
    </row>
    <row r="24" spans="1:7" x14ac:dyDescent="0.2">
      <c r="A24">
        <v>2012</v>
      </c>
      <c r="B24">
        <v>2.90231777431858</v>
      </c>
      <c r="C24">
        <v>0.674465228320141</v>
      </c>
      <c r="D24">
        <v>49</v>
      </c>
      <c r="E24">
        <v>47</v>
      </c>
      <c r="F24">
        <v>47</v>
      </c>
      <c r="G24">
        <v>47</v>
      </c>
    </row>
    <row r="25" spans="1:7" x14ac:dyDescent="0.2">
      <c r="A25">
        <v>2013</v>
      </c>
      <c r="B25">
        <v>2.7014917961706799</v>
      </c>
      <c r="C25">
        <v>0.88527875744129902</v>
      </c>
      <c r="D25">
        <v>599</v>
      </c>
      <c r="E25">
        <v>512</v>
      </c>
      <c r="F25">
        <v>504</v>
      </c>
      <c r="G25">
        <v>504</v>
      </c>
    </row>
    <row r="26" spans="1:7" x14ac:dyDescent="0.2">
      <c r="A26">
        <v>2014</v>
      </c>
      <c r="B26">
        <v>2.8043308514941798</v>
      </c>
      <c r="C26">
        <v>0.879282373321008</v>
      </c>
      <c r="D26">
        <v>1469</v>
      </c>
      <c r="E26">
        <v>1209</v>
      </c>
      <c r="F26">
        <v>1195</v>
      </c>
      <c r="G26">
        <v>1195</v>
      </c>
    </row>
    <row r="27" spans="1:7" x14ac:dyDescent="0.2">
      <c r="A27">
        <v>2015</v>
      </c>
      <c r="B27">
        <v>2.9008499957820799</v>
      </c>
      <c r="C27">
        <v>0.91051377536600597</v>
      </c>
      <c r="D27">
        <v>2398</v>
      </c>
      <c r="E27">
        <v>2040</v>
      </c>
      <c r="F27">
        <v>2031</v>
      </c>
      <c r="G27">
        <v>2031</v>
      </c>
    </row>
    <row r="28" spans="1:7" x14ac:dyDescent="0.2">
      <c r="A28">
        <v>2016</v>
      </c>
      <c r="B28">
        <v>2.8555632025143698</v>
      </c>
      <c r="C28">
        <v>0.87576699768720301</v>
      </c>
      <c r="D28">
        <v>3067</v>
      </c>
      <c r="E28">
        <v>2591</v>
      </c>
      <c r="F28">
        <v>2571</v>
      </c>
      <c r="G28">
        <v>2571</v>
      </c>
    </row>
    <row r="29" spans="1:7" x14ac:dyDescent="0.2">
      <c r="A29">
        <v>2017</v>
      </c>
      <c r="B29">
        <v>2.8916308271772801</v>
      </c>
      <c r="C29">
        <v>0.88460971146025902</v>
      </c>
      <c r="D29">
        <v>3560</v>
      </c>
      <c r="E29">
        <v>2995</v>
      </c>
      <c r="F29">
        <v>2975</v>
      </c>
      <c r="G29">
        <v>2975</v>
      </c>
    </row>
    <row r="30" spans="1:7" x14ac:dyDescent="0.2">
      <c r="A30">
        <v>2018</v>
      </c>
      <c r="B30">
        <v>2.8708763522060501</v>
      </c>
      <c r="C30">
        <v>0.90576469533926596</v>
      </c>
      <c r="D30">
        <v>3981</v>
      </c>
      <c r="E30">
        <v>3354</v>
      </c>
      <c r="F30">
        <v>3327</v>
      </c>
      <c r="G30">
        <v>3327</v>
      </c>
    </row>
    <row r="31" spans="1:7" x14ac:dyDescent="0.2">
      <c r="A31">
        <v>2019</v>
      </c>
      <c r="B31">
        <v>2.9182003748169798</v>
      </c>
      <c r="C31">
        <v>0.917769655849208</v>
      </c>
      <c r="D31">
        <v>5031</v>
      </c>
      <c r="E31">
        <v>4202</v>
      </c>
      <c r="F31">
        <v>4167</v>
      </c>
      <c r="G31">
        <v>4167</v>
      </c>
    </row>
    <row r="32" spans="1:7" x14ac:dyDescent="0.2">
      <c r="A32">
        <v>2020</v>
      </c>
      <c r="B32">
        <v>2.9803570439574201</v>
      </c>
      <c r="C32">
        <v>0.88598353160662102</v>
      </c>
      <c r="D32">
        <v>6512</v>
      </c>
      <c r="E32">
        <v>5454</v>
      </c>
      <c r="F32">
        <v>5399</v>
      </c>
      <c r="G32">
        <v>5399</v>
      </c>
    </row>
    <row r="33" spans="1:7" x14ac:dyDescent="0.2">
      <c r="A33">
        <v>2021</v>
      </c>
      <c r="B33">
        <v>3.0691545560378999</v>
      </c>
      <c r="C33">
        <v>0.88952482465629501</v>
      </c>
      <c r="D33">
        <v>8020</v>
      </c>
      <c r="E33">
        <v>6700</v>
      </c>
      <c r="F33">
        <v>6624</v>
      </c>
      <c r="G33">
        <v>6624</v>
      </c>
    </row>
    <row r="34" spans="1:7" x14ac:dyDescent="0.2">
      <c r="A34">
        <v>2022</v>
      </c>
      <c r="B34">
        <v>3.11271001196326</v>
      </c>
      <c r="C34">
        <v>0.89723425968511095</v>
      </c>
      <c r="D34">
        <v>6540</v>
      </c>
      <c r="E34">
        <v>5419</v>
      </c>
      <c r="F34">
        <v>5359</v>
      </c>
      <c r="G34">
        <v>5359</v>
      </c>
    </row>
    <row r="35" spans="1:7" x14ac:dyDescent="0.2">
      <c r="A35">
        <v>2023</v>
      </c>
      <c r="B35">
        <v>3.0357776457213101</v>
      </c>
      <c r="C35">
        <v>0.890900116746417</v>
      </c>
      <c r="D35">
        <v>5571</v>
      </c>
      <c r="E35">
        <v>4647</v>
      </c>
      <c r="F35">
        <v>4607</v>
      </c>
      <c r="G35">
        <v>4607</v>
      </c>
    </row>
    <row r="36" spans="1:7" x14ac:dyDescent="0.2">
      <c r="A36">
        <v>2024</v>
      </c>
      <c r="B36">
        <v>3.05573598886085</v>
      </c>
      <c r="C36">
        <v>0.888565692990128</v>
      </c>
      <c r="D36">
        <v>6859</v>
      </c>
      <c r="E36">
        <v>5747</v>
      </c>
      <c r="F36">
        <v>5711</v>
      </c>
      <c r="G36">
        <v>5711</v>
      </c>
    </row>
    <row r="37" spans="1:7" x14ac:dyDescent="0.2">
      <c r="A37">
        <v>2025</v>
      </c>
      <c r="B37">
        <v>2.9203286018485501</v>
      </c>
      <c r="C37">
        <v>0.85824185319435597</v>
      </c>
      <c r="D37">
        <v>5852</v>
      </c>
      <c r="E37">
        <v>4923</v>
      </c>
      <c r="F37">
        <v>4904</v>
      </c>
      <c r="G37">
        <v>4904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DE23-56B2-744F-B34F-85B8D49B110F}">
  <dimension ref="A1:G37"/>
  <sheetViews>
    <sheetView topLeftCell="A7" workbookViewId="0">
      <selection activeCell="C14" sqref="C14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">
      <c r="A2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>
        <v>1995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>
        <v>1997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>
        <v>1999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">
      <c r="A12">
        <v>2000</v>
      </c>
      <c r="B12">
        <v>2.15490195998574</v>
      </c>
      <c r="C12">
        <v>0.376750709602099</v>
      </c>
      <c r="D12">
        <v>1</v>
      </c>
      <c r="E12">
        <v>1</v>
      </c>
      <c r="F12">
        <v>1</v>
      </c>
      <c r="G12">
        <v>1</v>
      </c>
    </row>
    <row r="13" spans="1:7" x14ac:dyDescent="0.2">
      <c r="A13">
        <v>2001</v>
      </c>
      <c r="B13">
        <v>2.8602059991327899</v>
      </c>
      <c r="C13">
        <v>2.12041199826559</v>
      </c>
      <c r="D13">
        <v>10</v>
      </c>
      <c r="E13">
        <v>5</v>
      </c>
      <c r="F13">
        <v>5</v>
      </c>
      <c r="G13">
        <v>5</v>
      </c>
    </row>
    <row r="14" spans="1:7" x14ac:dyDescent="0.2">
      <c r="A14">
        <v>2002</v>
      </c>
      <c r="B14">
        <v>3.1381681158842398</v>
      </c>
      <c r="C14">
        <v>1.0368468482448401</v>
      </c>
      <c r="D14">
        <v>15</v>
      </c>
      <c r="E14">
        <v>11</v>
      </c>
      <c r="F14">
        <v>11</v>
      </c>
      <c r="G14">
        <v>11</v>
      </c>
    </row>
    <row r="15" spans="1:7" x14ac:dyDescent="0.2">
      <c r="A15">
        <v>2003</v>
      </c>
      <c r="B15">
        <v>3.11817336818038</v>
      </c>
      <c r="C15">
        <v>0.51573754793196303</v>
      </c>
      <c r="D15">
        <v>13</v>
      </c>
      <c r="E15">
        <v>8</v>
      </c>
      <c r="F15">
        <v>8</v>
      </c>
      <c r="G15">
        <v>8</v>
      </c>
    </row>
    <row r="16" spans="1:7" x14ac:dyDescent="0.2">
      <c r="A16">
        <v>2004</v>
      </c>
      <c r="B16">
        <v>2.7557108410220099</v>
      </c>
      <c r="C16">
        <v>0.77111243840644506</v>
      </c>
      <c r="D16">
        <v>29</v>
      </c>
      <c r="E16">
        <v>16</v>
      </c>
      <c r="F16">
        <v>16</v>
      </c>
      <c r="G16">
        <v>16</v>
      </c>
    </row>
    <row r="17" spans="1:7" x14ac:dyDescent="0.2">
      <c r="A17">
        <v>2005</v>
      </c>
      <c r="B17">
        <v>2.8357420060609502</v>
      </c>
      <c r="C17">
        <v>1.17854026299491</v>
      </c>
      <c r="D17">
        <v>47</v>
      </c>
      <c r="E17">
        <v>30</v>
      </c>
      <c r="F17">
        <v>30</v>
      </c>
      <c r="G17">
        <v>30</v>
      </c>
    </row>
    <row r="18" spans="1:7" x14ac:dyDescent="0.2">
      <c r="A18">
        <v>2006</v>
      </c>
      <c r="B18">
        <v>3.0593434258544598</v>
      </c>
      <c r="C18">
        <v>0.94705604175755398</v>
      </c>
      <c r="D18">
        <v>86</v>
      </c>
      <c r="E18">
        <v>42</v>
      </c>
      <c r="F18">
        <v>42</v>
      </c>
      <c r="G18">
        <v>42</v>
      </c>
    </row>
    <row r="19" spans="1:7" x14ac:dyDescent="0.2">
      <c r="A19">
        <v>2007</v>
      </c>
      <c r="B19">
        <v>2.7810449309455398</v>
      </c>
      <c r="C19">
        <v>1.1353189373502299</v>
      </c>
      <c r="D19">
        <v>93</v>
      </c>
      <c r="E19">
        <v>53</v>
      </c>
      <c r="F19">
        <v>53</v>
      </c>
      <c r="G19">
        <v>53</v>
      </c>
    </row>
    <row r="20" spans="1:7" x14ac:dyDescent="0.2">
      <c r="A20">
        <v>2008</v>
      </c>
      <c r="B20">
        <v>2.8276954193172901</v>
      </c>
      <c r="C20">
        <v>0.84053609580203803</v>
      </c>
      <c r="D20">
        <v>160</v>
      </c>
      <c r="E20">
        <v>92</v>
      </c>
      <c r="F20">
        <v>90</v>
      </c>
      <c r="G20">
        <v>90</v>
      </c>
    </row>
    <row r="21" spans="1:7" x14ac:dyDescent="0.2">
      <c r="A21">
        <v>2009</v>
      </c>
      <c r="B21">
        <v>2.8110273282404101</v>
      </c>
      <c r="C21">
        <v>0.80882632724218595</v>
      </c>
      <c r="D21">
        <v>221</v>
      </c>
      <c r="E21">
        <v>139</v>
      </c>
      <c r="F21">
        <v>136</v>
      </c>
      <c r="G21">
        <v>136</v>
      </c>
    </row>
    <row r="22" spans="1:7" x14ac:dyDescent="0.2">
      <c r="A22">
        <v>2010</v>
      </c>
      <c r="B22">
        <v>2.80351415946547</v>
      </c>
      <c r="C22">
        <v>0.70097546759738405</v>
      </c>
      <c r="D22">
        <v>356</v>
      </c>
      <c r="E22">
        <v>208</v>
      </c>
      <c r="F22">
        <v>205</v>
      </c>
      <c r="G22">
        <v>205</v>
      </c>
    </row>
    <row r="23" spans="1:7" x14ac:dyDescent="0.2">
      <c r="A23">
        <v>2011</v>
      </c>
      <c r="B23">
        <v>2.7293928569175598</v>
      </c>
      <c r="C23">
        <v>0.79671279444354504</v>
      </c>
      <c r="D23">
        <v>515</v>
      </c>
      <c r="E23">
        <v>320</v>
      </c>
      <c r="F23">
        <v>315</v>
      </c>
      <c r="G23">
        <v>315</v>
      </c>
    </row>
    <row r="24" spans="1:7" x14ac:dyDescent="0.2">
      <c r="A24">
        <v>2012</v>
      </c>
      <c r="B24">
        <v>2.7747190369036598</v>
      </c>
      <c r="C24">
        <v>0.77573578952341604</v>
      </c>
      <c r="D24">
        <v>746</v>
      </c>
      <c r="E24">
        <v>470</v>
      </c>
      <c r="F24">
        <v>462</v>
      </c>
      <c r="G24">
        <v>462</v>
      </c>
    </row>
    <row r="25" spans="1:7" x14ac:dyDescent="0.2">
      <c r="A25">
        <v>2013</v>
      </c>
      <c r="B25">
        <v>2.7909404302972201</v>
      </c>
      <c r="C25">
        <v>0.75813340209237501</v>
      </c>
      <c r="D25">
        <v>1175</v>
      </c>
      <c r="E25">
        <v>717</v>
      </c>
      <c r="F25">
        <v>700</v>
      </c>
      <c r="G25">
        <v>700</v>
      </c>
    </row>
    <row r="26" spans="1:7" x14ac:dyDescent="0.2">
      <c r="A26">
        <v>2014</v>
      </c>
      <c r="B26">
        <v>3.1428620022804901</v>
      </c>
      <c r="C26">
        <v>0.71709550752409801</v>
      </c>
      <c r="D26">
        <v>1666</v>
      </c>
      <c r="E26">
        <v>1051</v>
      </c>
      <c r="F26">
        <v>1029</v>
      </c>
      <c r="G26">
        <v>1029</v>
      </c>
    </row>
    <row r="27" spans="1:7" x14ac:dyDescent="0.2">
      <c r="A27">
        <v>2015</v>
      </c>
      <c r="B27">
        <v>2.87346033060691</v>
      </c>
      <c r="C27">
        <v>0.71702430069092904</v>
      </c>
      <c r="D27">
        <v>2148</v>
      </c>
      <c r="E27">
        <v>1357</v>
      </c>
      <c r="F27">
        <v>1342</v>
      </c>
      <c r="G27">
        <v>1342</v>
      </c>
    </row>
    <row r="28" spans="1:7" x14ac:dyDescent="0.2">
      <c r="A28">
        <v>2016</v>
      </c>
      <c r="B28">
        <v>2.8730092912549599</v>
      </c>
      <c r="C28">
        <v>0.68623623449811</v>
      </c>
      <c r="D28">
        <v>2655</v>
      </c>
      <c r="E28">
        <v>1682</v>
      </c>
      <c r="F28">
        <v>1658</v>
      </c>
      <c r="G28">
        <v>1658</v>
      </c>
    </row>
    <row r="29" spans="1:7" x14ac:dyDescent="0.2">
      <c r="A29">
        <v>2017</v>
      </c>
      <c r="B29">
        <v>2.9621543630579601</v>
      </c>
      <c r="C29">
        <v>0.66680198141123304</v>
      </c>
      <c r="D29">
        <v>3164</v>
      </c>
      <c r="E29">
        <v>2042</v>
      </c>
      <c r="F29">
        <v>2022</v>
      </c>
      <c r="G29">
        <v>2022</v>
      </c>
    </row>
    <row r="30" spans="1:7" x14ac:dyDescent="0.2">
      <c r="A30">
        <v>2018</v>
      </c>
      <c r="B30">
        <v>2.97662711036878</v>
      </c>
      <c r="C30">
        <v>0.68879136838184496</v>
      </c>
      <c r="D30">
        <v>3469</v>
      </c>
      <c r="E30">
        <v>2186</v>
      </c>
      <c r="F30">
        <v>2150</v>
      </c>
      <c r="G30">
        <v>2150</v>
      </c>
    </row>
    <row r="31" spans="1:7" x14ac:dyDescent="0.2">
      <c r="A31">
        <v>2019</v>
      </c>
      <c r="B31">
        <v>2.8761336271440099</v>
      </c>
      <c r="C31">
        <v>0.68383572362558498</v>
      </c>
      <c r="D31">
        <v>5347</v>
      </c>
      <c r="E31">
        <v>3437</v>
      </c>
      <c r="F31">
        <v>3369</v>
      </c>
      <c r="G31">
        <v>3369</v>
      </c>
    </row>
    <row r="32" spans="1:7" x14ac:dyDescent="0.2">
      <c r="A32">
        <v>2020</v>
      </c>
      <c r="B32">
        <v>2.8754213507061799</v>
      </c>
      <c r="C32">
        <v>0.67393270264912297</v>
      </c>
      <c r="D32">
        <v>7329</v>
      </c>
      <c r="E32">
        <v>4627</v>
      </c>
      <c r="F32">
        <v>4563</v>
      </c>
      <c r="G32">
        <v>4563</v>
      </c>
    </row>
    <row r="33" spans="1:7" x14ac:dyDescent="0.2">
      <c r="A33">
        <v>2021</v>
      </c>
      <c r="B33">
        <v>2.9559754357411001</v>
      </c>
      <c r="C33">
        <v>0.70313709022382698</v>
      </c>
      <c r="D33">
        <v>10324</v>
      </c>
      <c r="E33">
        <v>6523</v>
      </c>
      <c r="F33">
        <v>6451</v>
      </c>
      <c r="G33">
        <v>6451</v>
      </c>
    </row>
    <row r="34" spans="1:7" x14ac:dyDescent="0.2">
      <c r="A34">
        <v>2022</v>
      </c>
      <c r="B34">
        <v>2.9715511021705101</v>
      </c>
      <c r="C34">
        <v>0.65861580865428704</v>
      </c>
      <c r="D34">
        <v>13111</v>
      </c>
      <c r="E34">
        <v>8377</v>
      </c>
      <c r="F34">
        <v>8296</v>
      </c>
      <c r="G34">
        <v>8296</v>
      </c>
    </row>
    <row r="35" spans="1:7" x14ac:dyDescent="0.2">
      <c r="A35">
        <v>2023</v>
      </c>
      <c r="B35">
        <v>2.9226191228385798</v>
      </c>
      <c r="C35">
        <v>0.66520686524147199</v>
      </c>
      <c r="D35">
        <v>11329</v>
      </c>
      <c r="E35">
        <v>7440</v>
      </c>
      <c r="F35">
        <v>7376</v>
      </c>
      <c r="G35">
        <v>7376</v>
      </c>
    </row>
    <row r="36" spans="1:7" x14ac:dyDescent="0.2">
      <c r="A36">
        <v>2024</v>
      </c>
      <c r="B36">
        <v>2.9784352120650199</v>
      </c>
      <c r="C36">
        <v>0.66960606783959997</v>
      </c>
      <c r="D36">
        <v>12605</v>
      </c>
      <c r="E36">
        <v>8336</v>
      </c>
      <c r="F36">
        <v>8269</v>
      </c>
      <c r="G36">
        <v>8269</v>
      </c>
    </row>
    <row r="37" spans="1:7" x14ac:dyDescent="0.2">
      <c r="A37">
        <v>2025</v>
      </c>
      <c r="B37">
        <v>3.0092379580594502</v>
      </c>
      <c r="C37">
        <v>0.65835729789222297</v>
      </c>
      <c r="D37">
        <v>10244</v>
      </c>
      <c r="E37">
        <v>6690</v>
      </c>
      <c r="F37">
        <v>6639</v>
      </c>
      <c r="G37">
        <v>6639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C46C5-3722-477E-8006-9F53A967D31E}">
  <dimension ref="A1:AV37"/>
  <sheetViews>
    <sheetView topLeftCell="AM1" workbookViewId="0">
      <selection activeCell="AO18" sqref="AO18"/>
    </sheetView>
  </sheetViews>
  <sheetFormatPr baseColWidth="10" defaultColWidth="8.83203125" defaultRowHeight="16" x14ac:dyDescent="0.2"/>
  <sheetData>
    <row r="1" spans="1:48" x14ac:dyDescent="0.2">
      <c r="A1" t="s">
        <v>24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22</v>
      </c>
      <c r="I1" t="s">
        <v>23</v>
      </c>
      <c r="L1" t="str" cm="1">
        <f t="array" ref="L1:AV9">TRANSPOSE(A1:I37)</f>
        <v>Year</v>
      </c>
      <c r="M1">
        <v>1990</v>
      </c>
      <c r="N1">
        <v>1991</v>
      </c>
      <c r="O1">
        <v>1992</v>
      </c>
      <c r="P1">
        <v>1993</v>
      </c>
      <c r="Q1">
        <v>1994</v>
      </c>
      <c r="R1">
        <v>1995</v>
      </c>
      <c r="S1">
        <v>1996</v>
      </c>
      <c r="T1">
        <v>1997</v>
      </c>
      <c r="U1">
        <v>1998</v>
      </c>
      <c r="V1">
        <v>1999</v>
      </c>
      <c r="W1">
        <v>2000</v>
      </c>
      <c r="X1">
        <v>2001</v>
      </c>
      <c r="Y1">
        <v>2002</v>
      </c>
      <c r="Z1">
        <v>2003</v>
      </c>
      <c r="AA1">
        <v>2004</v>
      </c>
      <c r="AB1">
        <v>2005</v>
      </c>
      <c r="AC1">
        <v>2006</v>
      </c>
      <c r="AD1">
        <v>2007</v>
      </c>
      <c r="AE1">
        <v>2008</v>
      </c>
      <c r="AF1">
        <v>2009</v>
      </c>
      <c r="AG1">
        <v>2010</v>
      </c>
      <c r="AH1">
        <v>2011</v>
      </c>
      <c r="AI1">
        <v>2012</v>
      </c>
      <c r="AJ1">
        <v>2013</v>
      </c>
      <c r="AK1">
        <v>2014</v>
      </c>
      <c r="AL1">
        <v>2015</v>
      </c>
      <c r="AM1">
        <v>2016</v>
      </c>
      <c r="AN1">
        <v>2017</v>
      </c>
      <c r="AO1">
        <v>2018</v>
      </c>
      <c r="AP1">
        <v>2019</v>
      </c>
      <c r="AQ1">
        <v>2020</v>
      </c>
      <c r="AR1">
        <v>2021</v>
      </c>
      <c r="AS1">
        <v>2022</v>
      </c>
      <c r="AT1">
        <v>2023</v>
      </c>
      <c r="AU1">
        <v>2024</v>
      </c>
      <c r="AV1">
        <v>2025</v>
      </c>
    </row>
    <row r="2" spans="1:48" x14ac:dyDescent="0.2">
      <c r="A2">
        <v>1990</v>
      </c>
      <c r="B2">
        <f>RCT!B2</f>
        <v>0</v>
      </c>
      <c r="C2">
        <f>CT!B2</f>
        <v>1.3010299956639799</v>
      </c>
      <c r="D2">
        <f>META!B2</f>
        <v>0</v>
      </c>
      <c r="E2">
        <f>REVIEW!B2</f>
        <v>0</v>
      </c>
      <c r="F2">
        <f>CCJ!B2</f>
        <v>0</v>
      </c>
      <c r="G2">
        <f>ALL!B2</f>
        <v>2.21683833261066</v>
      </c>
      <c r="H2">
        <f>OBS!B2</f>
        <v>0</v>
      </c>
      <c r="I2">
        <f>SYSREV!B2</f>
        <v>0</v>
      </c>
      <c r="L2" t="str">
        <v>Randomized controlled trial</v>
      </c>
      <c r="M2">
        <v>0</v>
      </c>
      <c r="N2">
        <v>0</v>
      </c>
      <c r="O2">
        <v>0</v>
      </c>
      <c r="P2">
        <v>1.99999999999999</v>
      </c>
      <c r="Q2">
        <v>2.6505149978319902</v>
      </c>
      <c r="R2">
        <v>2.9999999999999898</v>
      </c>
      <c r="S2">
        <v>3.9999999999999898</v>
      </c>
      <c r="T2">
        <v>1.90051499783199</v>
      </c>
      <c r="U2">
        <v>2.1505149978319902</v>
      </c>
      <c r="V2">
        <v>2.36478174818886</v>
      </c>
      <c r="W2">
        <v>1.9078551363520999</v>
      </c>
      <c r="X2">
        <v>2.3558791542975102</v>
      </c>
      <c r="Y2">
        <v>2.4683263431101299</v>
      </c>
      <c r="Z2">
        <v>2.4274548201877</v>
      </c>
      <c r="AA2">
        <v>2.42619973327752</v>
      </c>
      <c r="AB2">
        <v>2.57897659203091</v>
      </c>
      <c r="AC2">
        <v>2.5934748816786799</v>
      </c>
      <c r="AD2">
        <v>2.55972446350445</v>
      </c>
      <c r="AE2">
        <v>2.6520807768891999</v>
      </c>
      <c r="AF2">
        <v>2.5963564741736098</v>
      </c>
      <c r="AG2">
        <v>2.65020396663318</v>
      </c>
      <c r="AH2">
        <v>2.6467571608244702</v>
      </c>
      <c r="AI2">
        <v>2.6292681583314099</v>
      </c>
      <c r="AJ2">
        <v>2.6205269296235101</v>
      </c>
      <c r="AK2">
        <v>2.6296971796051198</v>
      </c>
      <c r="AL2">
        <v>2.59777571678582</v>
      </c>
      <c r="AM2">
        <v>2.5948417384843401</v>
      </c>
      <c r="AN2">
        <v>2.5435003211057201</v>
      </c>
      <c r="AO2">
        <v>2.6006466111570998</v>
      </c>
      <c r="AP2">
        <v>2.6306678765763198</v>
      </c>
      <c r="AQ2">
        <v>2.6353634273181501</v>
      </c>
      <c r="AR2">
        <v>2.6294962123660199</v>
      </c>
      <c r="AS2">
        <v>2.57075790185436</v>
      </c>
      <c r="AT2">
        <v>2.62751564829439</v>
      </c>
      <c r="AU2">
        <v>2.61351664444779</v>
      </c>
      <c r="AV2">
        <v>2.6470909344521298</v>
      </c>
    </row>
    <row r="3" spans="1:48" x14ac:dyDescent="0.2">
      <c r="A3">
        <v>1991</v>
      </c>
      <c r="B3">
        <f>RCT!B3</f>
        <v>0</v>
      </c>
      <c r="C3">
        <f>CT!B3</f>
        <v>0</v>
      </c>
      <c r="D3">
        <f>META!B3</f>
        <v>0</v>
      </c>
      <c r="E3">
        <f>REVIEW!B3</f>
        <v>0</v>
      </c>
      <c r="F3">
        <f>CCJ!B3</f>
        <v>0</v>
      </c>
      <c r="G3">
        <f>ALL!B3</f>
        <v>2.9002809079083498</v>
      </c>
      <c r="H3">
        <f>OBS!B3</f>
        <v>0</v>
      </c>
      <c r="I3">
        <f>SYSREV!B3</f>
        <v>0</v>
      </c>
      <c r="L3" t="str">
        <v>Clinical trial</v>
      </c>
      <c r="M3">
        <v>1.3010299956639799</v>
      </c>
      <c r="N3">
        <v>0</v>
      </c>
      <c r="O3">
        <v>0</v>
      </c>
      <c r="P3">
        <v>0</v>
      </c>
      <c r="Q3">
        <v>0</v>
      </c>
      <c r="R3">
        <v>1.4604093769761799</v>
      </c>
      <c r="S3">
        <v>2.9999999999999898</v>
      </c>
      <c r="T3">
        <v>1.9397940008672001</v>
      </c>
      <c r="U3">
        <v>2.1420539459598098</v>
      </c>
      <c r="V3">
        <v>2.7011690811963098</v>
      </c>
      <c r="W3">
        <v>2.1307196863200799</v>
      </c>
      <c r="X3">
        <v>2.1682885862162098</v>
      </c>
      <c r="Y3">
        <v>2.5318010210869502</v>
      </c>
      <c r="Z3">
        <v>2.6131971710439599</v>
      </c>
      <c r="AA3">
        <v>2.6766765470465899</v>
      </c>
      <c r="AB3">
        <v>2.4536194000584599</v>
      </c>
      <c r="AC3">
        <v>2.62576776609641</v>
      </c>
      <c r="AD3">
        <v>2.7735750175206202</v>
      </c>
      <c r="AE3">
        <v>2.8032093844215402</v>
      </c>
      <c r="AF3">
        <v>2.7652425431638301</v>
      </c>
      <c r="AG3">
        <v>2.7046343459733801</v>
      </c>
      <c r="AH3">
        <v>2.89311613638997</v>
      </c>
      <c r="AI3">
        <v>2.8374538468844799</v>
      </c>
      <c r="AJ3">
        <v>3.12257169161076</v>
      </c>
      <c r="AK3">
        <v>2.93425175375515</v>
      </c>
      <c r="AL3">
        <v>2.8887522511599899</v>
      </c>
      <c r="AM3">
        <v>2.8860437632991101</v>
      </c>
      <c r="AN3">
        <v>2.8011434426436899</v>
      </c>
      <c r="AO3">
        <v>2.7947957492920299</v>
      </c>
      <c r="AP3">
        <v>2.87375832566619</v>
      </c>
      <c r="AQ3">
        <v>2.7854745057550701</v>
      </c>
      <c r="AR3">
        <v>2.7920520426022599</v>
      </c>
      <c r="AS3">
        <v>2.8250756499215202</v>
      </c>
      <c r="AT3">
        <v>2.7034638217376101</v>
      </c>
      <c r="AU3">
        <v>2.6710068982961199</v>
      </c>
      <c r="AV3">
        <v>2.6699521681477401</v>
      </c>
    </row>
    <row r="4" spans="1:48" x14ac:dyDescent="0.2">
      <c r="A4">
        <v>1992</v>
      </c>
      <c r="B4">
        <f>RCT!B4</f>
        <v>0</v>
      </c>
      <c r="C4">
        <f>CT!B4</f>
        <v>0</v>
      </c>
      <c r="D4">
        <f>META!B4</f>
        <v>0</v>
      </c>
      <c r="E4">
        <f>REVIEW!B4</f>
        <v>0</v>
      </c>
      <c r="F4">
        <f>CCJ!B4</f>
        <v>0</v>
      </c>
      <c r="G4">
        <f>ALL!B4</f>
        <v>2.0884270178511999</v>
      </c>
      <c r="H4">
        <f>OBS!B4</f>
        <v>0</v>
      </c>
      <c r="I4">
        <f>SYSREV!B4</f>
        <v>0</v>
      </c>
      <c r="L4" t="str">
        <v>Meta-analysis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1.5228787452803301</v>
      </c>
      <c r="W4">
        <v>0</v>
      </c>
      <c r="X4">
        <v>3.6666666666666599</v>
      </c>
      <c r="Y4">
        <v>3.8002942844754202</v>
      </c>
      <c r="Z4">
        <v>3.1674215916277002</v>
      </c>
      <c r="AA4">
        <v>2.62344506812184</v>
      </c>
      <c r="AB4">
        <v>4.6936612056529796</v>
      </c>
      <c r="AC4">
        <v>2.8874444920755602</v>
      </c>
      <c r="AD4">
        <v>3.4966949344893701</v>
      </c>
      <c r="AE4">
        <v>3.23555575065769</v>
      </c>
      <c r="AF4">
        <v>2.9661122038442498</v>
      </c>
      <c r="AG4">
        <v>4.4024065826674201</v>
      </c>
      <c r="AH4">
        <v>3.9520342503723298</v>
      </c>
      <c r="AI4">
        <v>3.0920023738507401</v>
      </c>
      <c r="AJ4">
        <v>2.94282002683972</v>
      </c>
      <c r="AK4">
        <v>2.9295405904029201</v>
      </c>
      <c r="AL4">
        <v>3.1091084637012498</v>
      </c>
      <c r="AM4">
        <v>3.0285675325817998</v>
      </c>
      <c r="AN4">
        <v>3.1936466853607199</v>
      </c>
      <c r="AO4">
        <v>3.1689015699210401</v>
      </c>
      <c r="AP4">
        <v>2.9470388896981898</v>
      </c>
      <c r="AQ4">
        <v>2.9677815388521802</v>
      </c>
      <c r="AR4">
        <v>3.0390762970229201</v>
      </c>
      <c r="AS4">
        <v>2.9602999634457698</v>
      </c>
      <c r="AT4">
        <v>3.1999108665316101</v>
      </c>
      <c r="AU4">
        <v>3.26799670899904</v>
      </c>
      <c r="AV4">
        <v>3.1220897348558898</v>
      </c>
    </row>
    <row r="5" spans="1:48" x14ac:dyDescent="0.2">
      <c r="A5">
        <v>1993</v>
      </c>
      <c r="B5">
        <f>RCT!B5</f>
        <v>1.99999999999999</v>
      </c>
      <c r="C5">
        <f>CT!B5</f>
        <v>0</v>
      </c>
      <c r="D5">
        <f>META!B5</f>
        <v>0</v>
      </c>
      <c r="E5">
        <f>REVIEW!B5</f>
        <v>0</v>
      </c>
      <c r="F5">
        <f>CCJ!B5</f>
        <v>0</v>
      </c>
      <c r="G5">
        <f>ALL!B5</f>
        <v>2.5940718736449901</v>
      </c>
      <c r="H5">
        <f>OBS!B5</f>
        <v>0</v>
      </c>
      <c r="I5">
        <f>SYSREV!B5</f>
        <v>0</v>
      </c>
      <c r="L5" t="str">
        <v>Review</v>
      </c>
      <c r="M5">
        <v>0</v>
      </c>
      <c r="N5">
        <v>0</v>
      </c>
      <c r="O5">
        <v>0</v>
      </c>
      <c r="P5">
        <v>0</v>
      </c>
      <c r="Q5">
        <v>2.6666666666666599</v>
      </c>
      <c r="R5">
        <v>1.8010299956639799</v>
      </c>
      <c r="S5">
        <v>2.9999999999999898</v>
      </c>
      <c r="T5">
        <v>1.3010299956639799</v>
      </c>
      <c r="U5">
        <v>1.6109243748081701</v>
      </c>
      <c r="V5">
        <v>2.8098943791441902</v>
      </c>
      <c r="W5">
        <v>3.0025010718921501</v>
      </c>
      <c r="X5">
        <v>2.7126635532758199</v>
      </c>
      <c r="Y5">
        <v>2.71532105556452</v>
      </c>
      <c r="Z5">
        <v>2.5280413053622999</v>
      </c>
      <c r="AA5">
        <v>2.6348257130155699</v>
      </c>
      <c r="AB5">
        <v>2.6953422339843902</v>
      </c>
      <c r="AC5">
        <v>2.8371365459915601</v>
      </c>
      <c r="AD5">
        <v>2.9468257277527599</v>
      </c>
      <c r="AE5">
        <v>2.8614151556396599</v>
      </c>
      <c r="AF5">
        <v>2.95389242026434</v>
      </c>
      <c r="AG5">
        <v>2.8740664669070899</v>
      </c>
      <c r="AH5">
        <v>2.9141524045704998</v>
      </c>
      <c r="AI5">
        <v>2.9153415976665902</v>
      </c>
      <c r="AJ5">
        <v>2.8547796057711001</v>
      </c>
      <c r="AK5">
        <v>2.8382271433611499</v>
      </c>
      <c r="AL5">
        <v>2.8534870227206599</v>
      </c>
      <c r="AM5">
        <v>2.86923105077737</v>
      </c>
      <c r="AN5">
        <v>2.87086959563654</v>
      </c>
      <c r="AO5">
        <v>2.9284144354313701</v>
      </c>
      <c r="AP5">
        <v>2.8650927669530901</v>
      </c>
      <c r="AQ5">
        <v>2.8439293722752201</v>
      </c>
      <c r="AR5">
        <v>2.8889246446367198</v>
      </c>
      <c r="AS5">
        <v>2.8633424229847901</v>
      </c>
      <c r="AT5">
        <v>2.86168360385548</v>
      </c>
      <c r="AU5">
        <v>2.8620818873381899</v>
      </c>
      <c r="AV5">
        <v>2.86192342287237</v>
      </c>
    </row>
    <row r="6" spans="1:48" x14ac:dyDescent="0.2">
      <c r="A6">
        <v>1994</v>
      </c>
      <c r="B6">
        <f>RCT!B6</f>
        <v>2.6505149978319902</v>
      </c>
      <c r="C6">
        <f>CT!B6</f>
        <v>0</v>
      </c>
      <c r="D6">
        <f>META!B6</f>
        <v>0</v>
      </c>
      <c r="E6">
        <f>REVIEW!B6</f>
        <v>2.6666666666666599</v>
      </c>
      <c r="F6">
        <f>CCJ!B6</f>
        <v>0</v>
      </c>
      <c r="G6">
        <f>ALL!B6</f>
        <v>2.1886060226680599</v>
      </c>
      <c r="H6">
        <f>OBS!B6</f>
        <v>0</v>
      </c>
      <c r="I6">
        <f>SYSREV!B6</f>
        <v>0</v>
      </c>
      <c r="L6" t="str">
        <v>Core clinical journal</v>
      </c>
      <c r="M6">
        <v>0</v>
      </c>
      <c r="N6">
        <v>0</v>
      </c>
      <c r="O6">
        <v>0</v>
      </c>
      <c r="P6">
        <v>0</v>
      </c>
      <c r="Q6">
        <v>0</v>
      </c>
      <c r="R6">
        <v>1.8010299956639799</v>
      </c>
      <c r="S6">
        <v>0</v>
      </c>
      <c r="T6">
        <v>1.3010299956639799</v>
      </c>
      <c r="U6">
        <v>2.32525749891599</v>
      </c>
      <c r="V6">
        <v>2.50762624842677</v>
      </c>
      <c r="W6">
        <v>1.9281060393068301</v>
      </c>
      <c r="X6">
        <v>2.8054621874040802</v>
      </c>
      <c r="Y6">
        <v>2.6805998701823799</v>
      </c>
      <c r="Z6">
        <v>2.7072328596542201</v>
      </c>
      <c r="AA6">
        <v>2.7196958296190101</v>
      </c>
      <c r="AB6">
        <v>2.6356672516825799</v>
      </c>
      <c r="AC6">
        <v>2.7084791857022301</v>
      </c>
      <c r="AD6">
        <v>2.6895643119299102</v>
      </c>
      <c r="AE6">
        <v>2.7790549033436398</v>
      </c>
      <c r="AF6">
        <v>2.7817605678580302</v>
      </c>
      <c r="AG6">
        <v>2.7953936457103001</v>
      </c>
      <c r="AH6">
        <v>2.80743129351346</v>
      </c>
      <c r="AI6">
        <v>2.7945112345363401</v>
      </c>
      <c r="AJ6">
        <v>2.7677418938588199</v>
      </c>
      <c r="AK6">
        <v>2.76140549078792</v>
      </c>
      <c r="AL6">
        <v>2.86061917142802</v>
      </c>
      <c r="AM6">
        <v>2.7508983133531602</v>
      </c>
      <c r="AN6">
        <v>2.76856281686206</v>
      </c>
      <c r="AO6">
        <v>2.75861644540268</v>
      </c>
      <c r="AP6">
        <v>2.67320856013301</v>
      </c>
      <c r="AQ6">
        <v>2.6369212954934098</v>
      </c>
      <c r="AR6">
        <v>2.6707629155090302</v>
      </c>
      <c r="AS6">
        <v>2.8841593560885399</v>
      </c>
      <c r="AT6">
        <v>2.8531382499542102</v>
      </c>
      <c r="AU6">
        <v>2.98285427322342</v>
      </c>
      <c r="AV6">
        <v>2.7589366325130298</v>
      </c>
    </row>
    <row r="7" spans="1:48" x14ac:dyDescent="0.2">
      <c r="A7">
        <v>1995</v>
      </c>
      <c r="B7">
        <f>RCT!B7</f>
        <v>2.9999999999999898</v>
      </c>
      <c r="C7">
        <f>CT!B7</f>
        <v>1.4604093769761799</v>
      </c>
      <c r="D7">
        <f>META!B7</f>
        <v>0</v>
      </c>
      <c r="E7">
        <f>REVIEW!B7</f>
        <v>1.8010299956639799</v>
      </c>
      <c r="F7">
        <f>CCJ!B7</f>
        <v>1.8010299956639799</v>
      </c>
      <c r="G7">
        <f>ALL!B7</f>
        <v>2.1548221991641898</v>
      </c>
      <c r="H7">
        <f>OBS!B7</f>
        <v>0</v>
      </c>
      <c r="I7">
        <f>SYSREV!B7</f>
        <v>0</v>
      </c>
      <c r="L7" t="str">
        <v>All MEDLINE</v>
      </c>
      <c r="M7">
        <v>2.21683833261066</v>
      </c>
      <c r="N7">
        <v>2.9002809079083498</v>
      </c>
      <c r="O7">
        <v>2.0884270178511999</v>
      </c>
      <c r="P7">
        <v>2.5940718736449901</v>
      </c>
      <c r="Q7">
        <v>2.1886060226680599</v>
      </c>
      <c r="R7">
        <v>2.1548221991641898</v>
      </c>
      <c r="S7">
        <v>2.3022185925504699</v>
      </c>
      <c r="T7">
        <v>2.3220819068091401</v>
      </c>
      <c r="U7">
        <v>2.3806716597290198</v>
      </c>
      <c r="V7">
        <v>2.7799548584419802</v>
      </c>
      <c r="W7">
        <v>2.31822059044238</v>
      </c>
      <c r="X7">
        <v>2.4638697389425501</v>
      </c>
      <c r="Y7">
        <v>2.53793417966294</v>
      </c>
      <c r="Z7">
        <v>2.6529733679012999</v>
      </c>
      <c r="AA7">
        <v>2.6373793778930099</v>
      </c>
      <c r="AB7">
        <v>2.6751202394890501</v>
      </c>
      <c r="AC7">
        <v>3.0143359765133502</v>
      </c>
      <c r="AD7">
        <v>2.96674087695936</v>
      </c>
      <c r="AE7">
        <v>2.97919675009262</v>
      </c>
      <c r="AF7">
        <v>2.9516506529647</v>
      </c>
      <c r="AG7">
        <v>2.9225924217528298</v>
      </c>
      <c r="AH7">
        <v>2.90010645238138</v>
      </c>
      <c r="AI7">
        <v>2.7793112209919402</v>
      </c>
      <c r="AJ7">
        <v>2.8023064871658301</v>
      </c>
      <c r="AK7">
        <v>2.7667632065899399</v>
      </c>
      <c r="AL7">
        <v>2.7752577295848702</v>
      </c>
      <c r="AM7">
        <v>2.77217999921977</v>
      </c>
      <c r="AN7">
        <v>2.7701697375557601</v>
      </c>
      <c r="AO7">
        <v>2.77757812970684</v>
      </c>
      <c r="AP7">
        <v>2.77067146208441</v>
      </c>
      <c r="AQ7">
        <v>2.74603928730735</v>
      </c>
      <c r="AR7">
        <v>2.7930104708307901</v>
      </c>
      <c r="AS7">
        <v>2.7857875002406498</v>
      </c>
      <c r="AT7">
        <v>2.856313601978</v>
      </c>
      <c r="AU7">
        <v>2.8971472773904301</v>
      </c>
      <c r="AV7">
        <v>2.90298570502955</v>
      </c>
    </row>
    <row r="8" spans="1:48" x14ac:dyDescent="0.2">
      <c r="A8">
        <v>1996</v>
      </c>
      <c r="B8">
        <f>RCT!B8</f>
        <v>3.9999999999999898</v>
      </c>
      <c r="C8">
        <f>CT!B8</f>
        <v>2.9999999999999898</v>
      </c>
      <c r="D8">
        <f>META!B8</f>
        <v>0</v>
      </c>
      <c r="E8">
        <f>REVIEW!B8</f>
        <v>2.9999999999999898</v>
      </c>
      <c r="F8">
        <f>CCJ!B8</f>
        <v>0</v>
      </c>
      <c r="G8">
        <f>ALL!B8</f>
        <v>2.3022185925504699</v>
      </c>
      <c r="H8">
        <f>OBS!B8</f>
        <v>0</v>
      </c>
      <c r="I8">
        <f>SYSREV!B8</f>
        <v>0</v>
      </c>
      <c r="L8" t="str">
        <v>Observational_Study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2.3979400086720299</v>
      </c>
      <c r="AD8">
        <v>0</v>
      </c>
      <c r="AE8">
        <v>0</v>
      </c>
      <c r="AF8">
        <v>0</v>
      </c>
      <c r="AG8">
        <v>0</v>
      </c>
      <c r="AH8">
        <v>2.5228787452803298</v>
      </c>
      <c r="AI8">
        <v>2.90231777431858</v>
      </c>
      <c r="AJ8">
        <v>2.7014917961706799</v>
      </c>
      <c r="AK8">
        <v>2.8043308514941798</v>
      </c>
      <c r="AL8">
        <v>2.9008499957820799</v>
      </c>
      <c r="AM8">
        <v>2.8555632025143698</v>
      </c>
      <c r="AN8">
        <v>2.8916308271772801</v>
      </c>
      <c r="AO8">
        <v>2.8708763522060501</v>
      </c>
      <c r="AP8">
        <v>2.9182003748169798</v>
      </c>
      <c r="AQ8">
        <v>2.9803570439574201</v>
      </c>
      <c r="AR8">
        <v>3.0691545560378999</v>
      </c>
      <c r="AS8">
        <v>3.11271001196326</v>
      </c>
      <c r="AT8">
        <v>3.0357776457213101</v>
      </c>
      <c r="AU8">
        <v>3.05573598886085</v>
      </c>
      <c r="AV8">
        <v>2.9203286018485501</v>
      </c>
    </row>
    <row r="9" spans="1:48" x14ac:dyDescent="0.2">
      <c r="A9">
        <v>1997</v>
      </c>
      <c r="B9">
        <f>RCT!B9</f>
        <v>1.90051499783199</v>
      </c>
      <c r="C9">
        <f>CT!B9</f>
        <v>1.9397940008672001</v>
      </c>
      <c r="D9">
        <f>META!B9</f>
        <v>0</v>
      </c>
      <c r="E9">
        <f>REVIEW!B9</f>
        <v>1.3010299956639799</v>
      </c>
      <c r="F9">
        <f>CCJ!B9</f>
        <v>1.3010299956639799</v>
      </c>
      <c r="G9">
        <f>ALL!B9</f>
        <v>2.3220819068091401</v>
      </c>
      <c r="H9">
        <f>OBS!B9</f>
        <v>0</v>
      </c>
      <c r="I9">
        <f>SYSREV!B9</f>
        <v>0</v>
      </c>
      <c r="L9" t="str">
        <v>Systematical_review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2.15490195998574</v>
      </c>
      <c r="X9">
        <v>2.8602059991327899</v>
      </c>
      <c r="Y9">
        <v>3.1381681158842398</v>
      </c>
      <c r="Z9">
        <v>3.11817336818038</v>
      </c>
      <c r="AA9">
        <v>2.7557108410220099</v>
      </c>
      <c r="AB9">
        <v>2.8357420060609502</v>
      </c>
      <c r="AC9">
        <v>3.0593434258544598</v>
      </c>
      <c r="AD9">
        <v>2.7810449309455398</v>
      </c>
      <c r="AE9">
        <v>2.8276954193172901</v>
      </c>
      <c r="AF9">
        <v>2.8110273282404101</v>
      </c>
      <c r="AG9">
        <v>2.80351415946547</v>
      </c>
      <c r="AH9">
        <v>2.7293928569175598</v>
      </c>
      <c r="AI9">
        <v>2.7747190369036598</v>
      </c>
      <c r="AJ9">
        <v>2.7909404302972201</v>
      </c>
      <c r="AK9">
        <v>3.1428620022804901</v>
      </c>
      <c r="AL9">
        <v>2.87346033060691</v>
      </c>
      <c r="AM9">
        <v>2.8730092912549599</v>
      </c>
      <c r="AN9">
        <v>2.9621543630579601</v>
      </c>
      <c r="AO9">
        <v>2.97662711036878</v>
      </c>
      <c r="AP9">
        <v>2.8761336271440099</v>
      </c>
      <c r="AQ9">
        <v>2.8754213507061799</v>
      </c>
      <c r="AR9">
        <v>2.9559754357411001</v>
      </c>
      <c r="AS9">
        <v>2.9715511021705101</v>
      </c>
      <c r="AT9">
        <v>2.9226191228385798</v>
      </c>
      <c r="AU9">
        <v>2.9784352120650199</v>
      </c>
      <c r="AV9">
        <v>3.0092379580594502</v>
      </c>
    </row>
    <row r="10" spans="1:48" x14ac:dyDescent="0.2">
      <c r="A10">
        <v>1998</v>
      </c>
      <c r="B10">
        <f>RCT!B10</f>
        <v>2.1505149978319902</v>
      </c>
      <c r="C10">
        <f>CT!B10</f>
        <v>2.1420539459598098</v>
      </c>
      <c r="D10">
        <f>META!B10</f>
        <v>0</v>
      </c>
      <c r="E10">
        <f>REVIEW!B10</f>
        <v>1.6109243748081701</v>
      </c>
      <c r="F10">
        <f>CCJ!B10</f>
        <v>2.32525749891599</v>
      </c>
      <c r="G10">
        <f>ALL!B10</f>
        <v>2.3806716597290198</v>
      </c>
      <c r="H10">
        <f>OBS!B10</f>
        <v>0</v>
      </c>
      <c r="I10">
        <f>SYSREV!B10</f>
        <v>0</v>
      </c>
    </row>
    <row r="11" spans="1:48" x14ac:dyDescent="0.2">
      <c r="A11">
        <v>1999</v>
      </c>
      <c r="B11">
        <f>RCT!B11</f>
        <v>2.36478174818886</v>
      </c>
      <c r="C11">
        <f>CT!B11</f>
        <v>2.7011690811963098</v>
      </c>
      <c r="D11">
        <f>META!B11</f>
        <v>1.5228787452803301</v>
      </c>
      <c r="E11">
        <f>REVIEW!B11</f>
        <v>2.8098943791441902</v>
      </c>
      <c r="F11">
        <f>CCJ!B11</f>
        <v>2.50762624842677</v>
      </c>
      <c r="G11">
        <f>ALL!B11</f>
        <v>2.7799548584419802</v>
      </c>
      <c r="H11">
        <f>OBS!B11</f>
        <v>0</v>
      </c>
      <c r="I11">
        <f>SYSREV!B11</f>
        <v>0</v>
      </c>
    </row>
    <row r="12" spans="1:48" x14ac:dyDescent="0.2">
      <c r="A12">
        <v>2000</v>
      </c>
      <c r="B12">
        <f>RCT!B12</f>
        <v>1.9078551363520999</v>
      </c>
      <c r="C12">
        <f>CT!B12</f>
        <v>2.1307196863200799</v>
      </c>
      <c r="D12">
        <f>META!B12</f>
        <v>0</v>
      </c>
      <c r="E12">
        <f>REVIEW!B12</f>
        <v>3.0025010718921501</v>
      </c>
      <c r="F12">
        <f>CCJ!B12</f>
        <v>1.9281060393068301</v>
      </c>
      <c r="G12">
        <f>ALL!B12</f>
        <v>2.31822059044238</v>
      </c>
      <c r="H12">
        <f>OBS!B12</f>
        <v>0</v>
      </c>
      <c r="I12">
        <f>SYSREV!B12</f>
        <v>2.15490195998574</v>
      </c>
    </row>
    <row r="13" spans="1:48" x14ac:dyDescent="0.2">
      <c r="A13">
        <v>2001</v>
      </c>
      <c r="B13">
        <f>RCT!B13</f>
        <v>2.3558791542975102</v>
      </c>
      <c r="C13">
        <f>CT!B13</f>
        <v>2.1682885862162098</v>
      </c>
      <c r="D13">
        <f>META!B13</f>
        <v>3.6666666666666599</v>
      </c>
      <c r="E13">
        <f>REVIEW!B13</f>
        <v>2.7126635532758199</v>
      </c>
      <c r="F13">
        <f>CCJ!B13</f>
        <v>2.8054621874040802</v>
      </c>
      <c r="G13">
        <f>ALL!B13</f>
        <v>2.4638697389425501</v>
      </c>
      <c r="H13">
        <f>OBS!B13</f>
        <v>0</v>
      </c>
      <c r="I13">
        <f>SYSREV!B13</f>
        <v>2.8602059991327899</v>
      </c>
    </row>
    <row r="14" spans="1:48" x14ac:dyDescent="0.2">
      <c r="A14">
        <v>2002</v>
      </c>
      <c r="B14">
        <f>RCT!B14</f>
        <v>2.4683263431101299</v>
      </c>
      <c r="C14">
        <f>CT!B14</f>
        <v>2.5318010210869502</v>
      </c>
      <c r="D14">
        <f>META!B14</f>
        <v>3.8002942844754202</v>
      </c>
      <c r="E14">
        <f>REVIEW!B14</f>
        <v>2.71532105556452</v>
      </c>
      <c r="F14">
        <f>CCJ!B14</f>
        <v>2.6805998701823799</v>
      </c>
      <c r="G14">
        <f>ALL!B14</f>
        <v>2.53793417966294</v>
      </c>
      <c r="H14">
        <f>OBS!B14</f>
        <v>0</v>
      </c>
      <c r="I14">
        <f>SYSREV!B14</f>
        <v>3.1381681158842398</v>
      </c>
    </row>
    <row r="15" spans="1:48" x14ac:dyDescent="0.2">
      <c r="A15">
        <v>2003</v>
      </c>
      <c r="B15">
        <f>RCT!B15</f>
        <v>2.4274548201877</v>
      </c>
      <c r="C15">
        <f>CT!B15</f>
        <v>2.6131971710439599</v>
      </c>
      <c r="D15">
        <f>META!B15</f>
        <v>3.1674215916277002</v>
      </c>
      <c r="E15">
        <f>REVIEW!B15</f>
        <v>2.5280413053622999</v>
      </c>
      <c r="F15">
        <f>CCJ!B15</f>
        <v>2.7072328596542201</v>
      </c>
      <c r="G15">
        <f>ALL!B15</f>
        <v>2.6529733679012999</v>
      </c>
      <c r="H15">
        <f>OBS!B15</f>
        <v>0</v>
      </c>
      <c r="I15">
        <f>SYSREV!B15</f>
        <v>3.11817336818038</v>
      </c>
    </row>
    <row r="16" spans="1:48" x14ac:dyDescent="0.2">
      <c r="A16">
        <v>2004</v>
      </c>
      <c r="B16">
        <f>RCT!B16</f>
        <v>2.42619973327752</v>
      </c>
      <c r="C16">
        <f>CT!B16</f>
        <v>2.6766765470465899</v>
      </c>
      <c r="D16">
        <f>META!B16</f>
        <v>2.62344506812184</v>
      </c>
      <c r="E16">
        <f>REVIEW!B16</f>
        <v>2.6348257130155699</v>
      </c>
      <c r="F16">
        <f>CCJ!B16</f>
        <v>2.7196958296190101</v>
      </c>
      <c r="G16">
        <f>ALL!B16</f>
        <v>2.6373793778930099</v>
      </c>
      <c r="H16">
        <f>OBS!B16</f>
        <v>0</v>
      </c>
      <c r="I16">
        <f>SYSREV!B16</f>
        <v>2.7557108410220099</v>
      </c>
    </row>
    <row r="17" spans="1:9" x14ac:dyDescent="0.2">
      <c r="A17">
        <v>2005</v>
      </c>
      <c r="B17">
        <f>RCT!B17</f>
        <v>2.57897659203091</v>
      </c>
      <c r="C17">
        <f>CT!B17</f>
        <v>2.4536194000584599</v>
      </c>
      <c r="D17">
        <f>META!B17</f>
        <v>4.6936612056529796</v>
      </c>
      <c r="E17">
        <f>REVIEW!B17</f>
        <v>2.6953422339843902</v>
      </c>
      <c r="F17">
        <f>CCJ!B17</f>
        <v>2.6356672516825799</v>
      </c>
      <c r="G17">
        <f>ALL!B17</f>
        <v>2.6751202394890501</v>
      </c>
      <c r="H17">
        <f>OBS!B17</f>
        <v>0</v>
      </c>
      <c r="I17">
        <f>SYSREV!B17</f>
        <v>2.8357420060609502</v>
      </c>
    </row>
    <row r="18" spans="1:9" x14ac:dyDescent="0.2">
      <c r="A18">
        <v>2006</v>
      </c>
      <c r="B18">
        <f>RCT!B18</f>
        <v>2.5934748816786799</v>
      </c>
      <c r="C18">
        <f>CT!B18</f>
        <v>2.62576776609641</v>
      </c>
      <c r="D18">
        <f>META!B18</f>
        <v>2.8874444920755602</v>
      </c>
      <c r="E18">
        <f>REVIEW!B18</f>
        <v>2.8371365459915601</v>
      </c>
      <c r="F18">
        <f>CCJ!B18</f>
        <v>2.7084791857022301</v>
      </c>
      <c r="G18">
        <f>ALL!B18</f>
        <v>3.0143359765133502</v>
      </c>
      <c r="H18">
        <f>OBS!B18</f>
        <v>2.3979400086720299</v>
      </c>
      <c r="I18">
        <f>SYSREV!B18</f>
        <v>3.0593434258544598</v>
      </c>
    </row>
    <row r="19" spans="1:9" x14ac:dyDescent="0.2">
      <c r="A19">
        <v>2007</v>
      </c>
      <c r="B19">
        <f>RCT!B19</f>
        <v>2.55972446350445</v>
      </c>
      <c r="C19">
        <f>CT!B19</f>
        <v>2.7735750175206202</v>
      </c>
      <c r="D19">
        <f>META!B19</f>
        <v>3.4966949344893701</v>
      </c>
      <c r="E19">
        <f>REVIEW!B19</f>
        <v>2.9468257277527599</v>
      </c>
      <c r="F19">
        <f>CCJ!B19</f>
        <v>2.6895643119299102</v>
      </c>
      <c r="G19">
        <f>ALL!B19</f>
        <v>2.96674087695936</v>
      </c>
      <c r="H19">
        <f>OBS!B19</f>
        <v>0</v>
      </c>
      <c r="I19">
        <f>SYSREV!B19</f>
        <v>2.7810449309455398</v>
      </c>
    </row>
    <row r="20" spans="1:9" x14ac:dyDescent="0.2">
      <c r="A20">
        <v>2008</v>
      </c>
      <c r="B20">
        <f>RCT!B20</f>
        <v>2.6520807768891999</v>
      </c>
      <c r="C20">
        <f>CT!B20</f>
        <v>2.8032093844215402</v>
      </c>
      <c r="D20">
        <f>META!B20</f>
        <v>3.23555575065769</v>
      </c>
      <c r="E20">
        <f>REVIEW!B20</f>
        <v>2.8614151556396599</v>
      </c>
      <c r="F20">
        <f>CCJ!B20</f>
        <v>2.7790549033436398</v>
      </c>
      <c r="G20">
        <f>ALL!B20</f>
        <v>2.97919675009262</v>
      </c>
      <c r="H20">
        <f>OBS!B20</f>
        <v>0</v>
      </c>
      <c r="I20">
        <f>SYSREV!B20</f>
        <v>2.8276954193172901</v>
      </c>
    </row>
    <row r="21" spans="1:9" x14ac:dyDescent="0.2">
      <c r="A21">
        <v>2009</v>
      </c>
      <c r="B21">
        <f>RCT!B21</f>
        <v>2.5963564741736098</v>
      </c>
      <c r="C21">
        <f>CT!B21</f>
        <v>2.7652425431638301</v>
      </c>
      <c r="D21">
        <f>META!B21</f>
        <v>2.9661122038442498</v>
      </c>
      <c r="E21">
        <f>REVIEW!B21</f>
        <v>2.95389242026434</v>
      </c>
      <c r="F21">
        <f>CCJ!B21</f>
        <v>2.7817605678580302</v>
      </c>
      <c r="G21">
        <f>ALL!B21</f>
        <v>2.9516506529647</v>
      </c>
      <c r="H21">
        <f>OBS!B21</f>
        <v>0</v>
      </c>
      <c r="I21">
        <f>SYSREV!B21</f>
        <v>2.8110273282404101</v>
      </c>
    </row>
    <row r="22" spans="1:9" x14ac:dyDescent="0.2">
      <c r="A22">
        <v>2010</v>
      </c>
      <c r="B22">
        <f>RCT!B22</f>
        <v>2.65020396663318</v>
      </c>
      <c r="C22">
        <f>CT!B22</f>
        <v>2.7046343459733801</v>
      </c>
      <c r="D22">
        <f>META!B22</f>
        <v>4.4024065826674201</v>
      </c>
      <c r="E22">
        <f>REVIEW!B22</f>
        <v>2.8740664669070899</v>
      </c>
      <c r="F22">
        <f>CCJ!B22</f>
        <v>2.7953936457103001</v>
      </c>
      <c r="G22">
        <f>ALL!B22</f>
        <v>2.9225924217528298</v>
      </c>
      <c r="H22">
        <f>OBS!B22</f>
        <v>0</v>
      </c>
      <c r="I22">
        <f>SYSREV!B22</f>
        <v>2.80351415946547</v>
      </c>
    </row>
    <row r="23" spans="1:9" x14ac:dyDescent="0.2">
      <c r="A23">
        <v>2011</v>
      </c>
      <c r="B23">
        <f>RCT!B23</f>
        <v>2.6467571608244702</v>
      </c>
      <c r="C23">
        <f>CT!B23</f>
        <v>2.89311613638997</v>
      </c>
      <c r="D23">
        <f>META!B23</f>
        <v>3.9520342503723298</v>
      </c>
      <c r="E23">
        <f>REVIEW!B23</f>
        <v>2.9141524045704998</v>
      </c>
      <c r="F23">
        <f>CCJ!B23</f>
        <v>2.80743129351346</v>
      </c>
      <c r="G23">
        <f>ALL!B23</f>
        <v>2.90010645238138</v>
      </c>
      <c r="H23">
        <f>OBS!B23</f>
        <v>2.5228787452803298</v>
      </c>
      <c r="I23">
        <f>SYSREV!B23</f>
        <v>2.7293928569175598</v>
      </c>
    </row>
    <row r="24" spans="1:9" x14ac:dyDescent="0.2">
      <c r="A24">
        <v>2012</v>
      </c>
      <c r="B24">
        <f>RCT!B24</f>
        <v>2.6292681583314099</v>
      </c>
      <c r="C24">
        <f>CT!B24</f>
        <v>2.8374538468844799</v>
      </c>
      <c r="D24">
        <f>META!B24</f>
        <v>3.0920023738507401</v>
      </c>
      <c r="E24">
        <f>REVIEW!B24</f>
        <v>2.9153415976665902</v>
      </c>
      <c r="F24">
        <f>CCJ!B24</f>
        <v>2.7945112345363401</v>
      </c>
      <c r="G24">
        <f>ALL!B24</f>
        <v>2.7793112209919402</v>
      </c>
      <c r="H24">
        <f>OBS!B24</f>
        <v>2.90231777431858</v>
      </c>
      <c r="I24">
        <f>SYSREV!B24</f>
        <v>2.7747190369036598</v>
      </c>
    </row>
    <row r="25" spans="1:9" x14ac:dyDescent="0.2">
      <c r="A25">
        <v>2013</v>
      </c>
      <c r="B25">
        <f>RCT!B25</f>
        <v>2.6205269296235101</v>
      </c>
      <c r="C25">
        <f>CT!B25</f>
        <v>3.12257169161076</v>
      </c>
      <c r="D25">
        <f>META!B25</f>
        <v>2.94282002683972</v>
      </c>
      <c r="E25">
        <f>REVIEW!B25</f>
        <v>2.8547796057711001</v>
      </c>
      <c r="F25">
        <f>CCJ!B25</f>
        <v>2.7677418938588199</v>
      </c>
      <c r="G25">
        <f>ALL!B25</f>
        <v>2.8023064871658301</v>
      </c>
      <c r="H25">
        <f>OBS!B25</f>
        <v>2.7014917961706799</v>
      </c>
      <c r="I25">
        <f>SYSREV!B25</f>
        <v>2.7909404302972201</v>
      </c>
    </row>
    <row r="26" spans="1:9" x14ac:dyDescent="0.2">
      <c r="A26">
        <v>2014</v>
      </c>
      <c r="B26">
        <f>RCT!B26</f>
        <v>2.6296971796051198</v>
      </c>
      <c r="C26">
        <f>CT!B26</f>
        <v>2.93425175375515</v>
      </c>
      <c r="D26">
        <f>META!B26</f>
        <v>2.9295405904029201</v>
      </c>
      <c r="E26">
        <f>REVIEW!B26</f>
        <v>2.8382271433611499</v>
      </c>
      <c r="F26">
        <f>CCJ!B26</f>
        <v>2.76140549078792</v>
      </c>
      <c r="G26">
        <f>ALL!B26</f>
        <v>2.7667632065899399</v>
      </c>
      <c r="H26">
        <f>OBS!B26</f>
        <v>2.8043308514941798</v>
      </c>
      <c r="I26">
        <f>SYSREV!B26</f>
        <v>3.1428620022804901</v>
      </c>
    </row>
    <row r="27" spans="1:9" x14ac:dyDescent="0.2">
      <c r="A27">
        <v>2015</v>
      </c>
      <c r="B27">
        <f>RCT!B27</f>
        <v>2.59777571678582</v>
      </c>
      <c r="C27">
        <f>CT!B27</f>
        <v>2.8887522511599899</v>
      </c>
      <c r="D27">
        <f>META!B27</f>
        <v>3.1091084637012498</v>
      </c>
      <c r="E27">
        <f>REVIEW!B27</f>
        <v>2.8534870227206599</v>
      </c>
      <c r="F27">
        <f>CCJ!B27</f>
        <v>2.86061917142802</v>
      </c>
      <c r="G27">
        <f>ALL!B27</f>
        <v>2.7752577295848702</v>
      </c>
      <c r="H27">
        <f>OBS!B27</f>
        <v>2.9008499957820799</v>
      </c>
      <c r="I27">
        <f>SYSREV!B27</f>
        <v>2.87346033060691</v>
      </c>
    </row>
    <row r="28" spans="1:9" x14ac:dyDescent="0.2">
      <c r="A28">
        <v>2016</v>
      </c>
      <c r="B28">
        <f>RCT!B28</f>
        <v>2.5948417384843401</v>
      </c>
      <c r="C28">
        <f>CT!B28</f>
        <v>2.8860437632991101</v>
      </c>
      <c r="D28">
        <f>META!B28</f>
        <v>3.0285675325817998</v>
      </c>
      <c r="E28">
        <f>REVIEW!B28</f>
        <v>2.86923105077737</v>
      </c>
      <c r="F28">
        <f>CCJ!B28</f>
        <v>2.7508983133531602</v>
      </c>
      <c r="G28">
        <f>ALL!B28</f>
        <v>2.77217999921977</v>
      </c>
      <c r="H28">
        <f>OBS!B28</f>
        <v>2.8555632025143698</v>
      </c>
      <c r="I28">
        <f>SYSREV!B28</f>
        <v>2.8730092912549599</v>
      </c>
    </row>
    <row r="29" spans="1:9" x14ac:dyDescent="0.2">
      <c r="A29">
        <v>2017</v>
      </c>
      <c r="B29">
        <f>RCT!B29</f>
        <v>2.5435003211057201</v>
      </c>
      <c r="C29">
        <f>CT!B29</f>
        <v>2.8011434426436899</v>
      </c>
      <c r="D29">
        <f>META!B29</f>
        <v>3.1936466853607199</v>
      </c>
      <c r="E29">
        <f>REVIEW!B29</f>
        <v>2.87086959563654</v>
      </c>
      <c r="F29">
        <f>CCJ!B29</f>
        <v>2.76856281686206</v>
      </c>
      <c r="G29">
        <f>ALL!B29</f>
        <v>2.7701697375557601</v>
      </c>
      <c r="H29">
        <f>OBS!B29</f>
        <v>2.8916308271772801</v>
      </c>
      <c r="I29">
        <f>SYSREV!B29</f>
        <v>2.9621543630579601</v>
      </c>
    </row>
    <row r="30" spans="1:9" x14ac:dyDescent="0.2">
      <c r="A30">
        <v>2018</v>
      </c>
      <c r="B30">
        <f>RCT!B30</f>
        <v>2.6006466111570998</v>
      </c>
      <c r="C30">
        <f>CT!B30</f>
        <v>2.7947957492920299</v>
      </c>
      <c r="D30">
        <f>META!B30</f>
        <v>3.1689015699210401</v>
      </c>
      <c r="E30">
        <f>REVIEW!B30</f>
        <v>2.9284144354313701</v>
      </c>
      <c r="F30">
        <f>CCJ!B30</f>
        <v>2.75861644540268</v>
      </c>
      <c r="G30">
        <f>ALL!B30</f>
        <v>2.77757812970684</v>
      </c>
      <c r="H30">
        <f>OBS!B30</f>
        <v>2.8708763522060501</v>
      </c>
      <c r="I30">
        <f>SYSREV!B30</f>
        <v>2.97662711036878</v>
      </c>
    </row>
    <row r="31" spans="1:9" x14ac:dyDescent="0.2">
      <c r="A31">
        <v>2019</v>
      </c>
      <c r="B31">
        <f>RCT!B31</f>
        <v>2.6306678765763198</v>
      </c>
      <c r="C31">
        <f>CT!B31</f>
        <v>2.87375832566619</v>
      </c>
      <c r="D31">
        <f>META!B31</f>
        <v>2.9470388896981898</v>
      </c>
      <c r="E31">
        <f>REVIEW!B31</f>
        <v>2.8650927669530901</v>
      </c>
      <c r="F31">
        <f>CCJ!B31</f>
        <v>2.67320856013301</v>
      </c>
      <c r="G31">
        <f>ALL!B31</f>
        <v>2.77067146208441</v>
      </c>
      <c r="H31">
        <f>OBS!B31</f>
        <v>2.9182003748169798</v>
      </c>
      <c r="I31">
        <f>SYSREV!B31</f>
        <v>2.8761336271440099</v>
      </c>
    </row>
    <row r="32" spans="1:9" x14ac:dyDescent="0.2">
      <c r="A32">
        <v>2020</v>
      </c>
      <c r="B32">
        <f>RCT!B32</f>
        <v>2.6353634273181501</v>
      </c>
      <c r="C32">
        <f>CT!B32</f>
        <v>2.7854745057550701</v>
      </c>
      <c r="D32">
        <f>META!B32</f>
        <v>2.9677815388521802</v>
      </c>
      <c r="E32">
        <f>REVIEW!B32</f>
        <v>2.8439293722752201</v>
      </c>
      <c r="F32">
        <f>CCJ!B32</f>
        <v>2.6369212954934098</v>
      </c>
      <c r="G32">
        <f>ALL!B32</f>
        <v>2.74603928730735</v>
      </c>
      <c r="H32">
        <f>OBS!B32</f>
        <v>2.9803570439574201</v>
      </c>
      <c r="I32">
        <f>SYSREV!B32</f>
        <v>2.8754213507061799</v>
      </c>
    </row>
    <row r="33" spans="1:9" x14ac:dyDescent="0.2">
      <c r="A33">
        <v>2021</v>
      </c>
      <c r="B33">
        <f>RCT!B33</f>
        <v>2.6294962123660199</v>
      </c>
      <c r="C33">
        <f>CT!B33</f>
        <v>2.7920520426022599</v>
      </c>
      <c r="D33">
        <f>META!B33</f>
        <v>3.0390762970229201</v>
      </c>
      <c r="E33">
        <f>REVIEW!B33</f>
        <v>2.8889246446367198</v>
      </c>
      <c r="F33">
        <f>CCJ!B33</f>
        <v>2.6707629155090302</v>
      </c>
      <c r="G33">
        <f>ALL!B33</f>
        <v>2.7930104708307901</v>
      </c>
      <c r="H33">
        <f>OBS!B33</f>
        <v>3.0691545560378999</v>
      </c>
      <c r="I33">
        <f>SYSREV!B33</f>
        <v>2.9559754357411001</v>
      </c>
    </row>
    <row r="34" spans="1:9" x14ac:dyDescent="0.2">
      <c r="A34">
        <v>2022</v>
      </c>
      <c r="B34">
        <f>RCT!B34</f>
        <v>2.57075790185436</v>
      </c>
      <c r="C34">
        <f>CT!B34</f>
        <v>2.8250756499215202</v>
      </c>
      <c r="D34">
        <f>META!B34</f>
        <v>2.9602999634457698</v>
      </c>
      <c r="E34">
        <f>REVIEW!B34</f>
        <v>2.8633424229847901</v>
      </c>
      <c r="F34">
        <f>CCJ!B34</f>
        <v>2.8841593560885399</v>
      </c>
      <c r="G34">
        <f>ALL!B34</f>
        <v>2.7857875002406498</v>
      </c>
      <c r="H34">
        <f>OBS!B34</f>
        <v>3.11271001196326</v>
      </c>
      <c r="I34">
        <f>SYSREV!B34</f>
        <v>2.9715511021705101</v>
      </c>
    </row>
    <row r="35" spans="1:9" x14ac:dyDescent="0.2">
      <c r="A35">
        <v>2023</v>
      </c>
      <c r="B35">
        <f>RCT!B35</f>
        <v>2.62751564829439</v>
      </c>
      <c r="C35">
        <f>CT!B35</f>
        <v>2.7034638217376101</v>
      </c>
      <c r="D35">
        <f>META!B35</f>
        <v>3.1999108665316101</v>
      </c>
      <c r="E35">
        <f>REVIEW!B35</f>
        <v>2.86168360385548</v>
      </c>
      <c r="F35">
        <f>CCJ!B35</f>
        <v>2.8531382499542102</v>
      </c>
      <c r="G35">
        <f>ALL!B35</f>
        <v>2.856313601978</v>
      </c>
      <c r="H35">
        <f>OBS!B35</f>
        <v>3.0357776457213101</v>
      </c>
      <c r="I35">
        <f>SYSREV!B35</f>
        <v>2.9226191228385798</v>
      </c>
    </row>
    <row r="36" spans="1:9" x14ac:dyDescent="0.2">
      <c r="A36">
        <v>2024</v>
      </c>
      <c r="B36">
        <f>RCT!B36</f>
        <v>2.61351664444779</v>
      </c>
      <c r="C36">
        <f>CT!B36</f>
        <v>2.6710068982961199</v>
      </c>
      <c r="D36">
        <f>META!B36</f>
        <v>3.26799670899904</v>
      </c>
      <c r="E36">
        <f>REVIEW!B36</f>
        <v>2.8620818873381899</v>
      </c>
      <c r="F36">
        <f>CCJ!B36</f>
        <v>2.98285427322342</v>
      </c>
      <c r="G36">
        <f>ALL!B36</f>
        <v>2.8971472773904301</v>
      </c>
      <c r="H36">
        <f>OBS!B36</f>
        <v>3.05573598886085</v>
      </c>
      <c r="I36">
        <f>SYSREV!B36</f>
        <v>2.9784352120650199</v>
      </c>
    </row>
    <row r="37" spans="1:9" x14ac:dyDescent="0.2">
      <c r="A37">
        <v>2025</v>
      </c>
      <c r="B37">
        <f>RCT!B37</f>
        <v>2.6470909344521298</v>
      </c>
      <c r="C37">
        <f>CT!B37</f>
        <v>2.6699521681477401</v>
      </c>
      <c r="D37">
        <f>META!B37</f>
        <v>3.1220897348558898</v>
      </c>
      <c r="E37">
        <f>REVIEW!B37</f>
        <v>2.86192342287237</v>
      </c>
      <c r="F37">
        <f>CCJ!B37</f>
        <v>2.7589366325130298</v>
      </c>
      <c r="G37">
        <f>ALL!B37</f>
        <v>2.90298570502955</v>
      </c>
      <c r="H37">
        <f>OBS!B37</f>
        <v>2.9203286018485501</v>
      </c>
      <c r="I37">
        <f>SYSREV!B37</f>
        <v>3.0092379580594502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88A80-9C01-4BDF-8E04-8F184902B54F}">
  <dimension ref="A1:AV37"/>
  <sheetViews>
    <sheetView topLeftCell="AA1" workbookViewId="0">
      <selection activeCell="AI6" sqref="AI6"/>
    </sheetView>
  </sheetViews>
  <sheetFormatPr baseColWidth="10" defaultColWidth="8.83203125" defaultRowHeight="16" x14ac:dyDescent="0.2"/>
  <sheetData>
    <row r="1" spans="1:48" x14ac:dyDescent="0.2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L1" t="str" cm="1">
        <f t="array" ref="L1:AV9">TRANSPOSE(A1:I37)</f>
        <v>Year</v>
      </c>
      <c r="M1">
        <v>1990</v>
      </c>
      <c r="N1">
        <v>1991</v>
      </c>
      <c r="O1">
        <v>1992</v>
      </c>
      <c r="P1">
        <v>1993</v>
      </c>
      <c r="Q1">
        <v>1994</v>
      </c>
      <c r="R1">
        <v>1995</v>
      </c>
      <c r="S1">
        <v>1996</v>
      </c>
      <c r="T1">
        <v>1997</v>
      </c>
      <c r="U1">
        <v>1998</v>
      </c>
      <c r="V1">
        <v>1999</v>
      </c>
      <c r="W1">
        <v>2000</v>
      </c>
      <c r="X1">
        <v>2001</v>
      </c>
      <c r="Y1">
        <v>2002</v>
      </c>
      <c r="Z1">
        <v>2003</v>
      </c>
      <c r="AA1">
        <v>2004</v>
      </c>
      <c r="AB1">
        <v>2005</v>
      </c>
      <c r="AC1">
        <v>2006</v>
      </c>
      <c r="AD1">
        <v>2007</v>
      </c>
      <c r="AE1">
        <v>2008</v>
      </c>
      <c r="AF1">
        <v>2009</v>
      </c>
      <c r="AG1">
        <v>2010</v>
      </c>
      <c r="AH1">
        <v>2011</v>
      </c>
      <c r="AI1">
        <v>2012</v>
      </c>
      <c r="AJ1">
        <v>2013</v>
      </c>
      <c r="AK1">
        <v>2014</v>
      </c>
      <c r="AL1">
        <v>2015</v>
      </c>
      <c r="AM1">
        <v>2016</v>
      </c>
      <c r="AN1">
        <v>2017</v>
      </c>
      <c r="AO1">
        <v>2018</v>
      </c>
      <c r="AP1">
        <v>2019</v>
      </c>
      <c r="AQ1">
        <v>2020</v>
      </c>
      <c r="AR1">
        <v>2021</v>
      </c>
      <c r="AS1">
        <v>2022</v>
      </c>
      <c r="AT1">
        <v>2023</v>
      </c>
      <c r="AU1">
        <v>2024</v>
      </c>
      <c r="AV1">
        <v>2025</v>
      </c>
    </row>
    <row r="2" spans="1:48" x14ac:dyDescent="0.2">
      <c r="A2">
        <v>1990</v>
      </c>
      <c r="B2">
        <f>RCT!C2</f>
        <v>0</v>
      </c>
      <c r="C2">
        <f>CT!C2</f>
        <v>1.3010299956639799</v>
      </c>
      <c r="D2">
        <f>META!C2</f>
        <v>0</v>
      </c>
      <c r="E2">
        <f>REVIEW!C2</f>
        <v>0</v>
      </c>
      <c r="F2">
        <f>CCJ!C2</f>
        <v>0</v>
      </c>
      <c r="G2">
        <f>ALL!C2</f>
        <v>1.57314867681059</v>
      </c>
      <c r="H2">
        <f>OBS!C2</f>
        <v>0</v>
      </c>
      <c r="I2">
        <f>SYSREV!C2</f>
        <v>0</v>
      </c>
      <c r="L2" t="str">
        <v>Randomized controlled trial</v>
      </c>
      <c r="M2">
        <v>0</v>
      </c>
      <c r="N2">
        <v>0</v>
      </c>
      <c r="O2">
        <v>0</v>
      </c>
      <c r="P2">
        <v>1.3010299956639799</v>
      </c>
      <c r="Q2">
        <v>1.8010299956639799</v>
      </c>
      <c r="R2">
        <v>1.3010299956639799</v>
      </c>
      <c r="S2">
        <v>0.30102999566398098</v>
      </c>
      <c r="T2">
        <v>0.75027177391030297</v>
      </c>
      <c r="U2">
        <v>0.98721186938815397</v>
      </c>
      <c r="V2">
        <v>0.99249876446166396</v>
      </c>
      <c r="W2">
        <v>1.14918530212981</v>
      </c>
      <c r="X2">
        <v>0.75522878371070001</v>
      </c>
      <c r="Y2">
        <v>0.83374820674070804</v>
      </c>
      <c r="Z2">
        <v>0.936248732734555</v>
      </c>
      <c r="AA2">
        <v>0.85965501892058604</v>
      </c>
      <c r="AB2">
        <v>0.86198690187209703</v>
      </c>
      <c r="AC2">
        <v>0.81384020094245002</v>
      </c>
      <c r="AD2">
        <v>0.86614302870013504</v>
      </c>
      <c r="AE2">
        <v>0.85843762285458403</v>
      </c>
      <c r="AF2">
        <v>0.80437727855621299</v>
      </c>
      <c r="AG2">
        <v>0.81923450158411204</v>
      </c>
      <c r="AH2">
        <v>0.80790138991009897</v>
      </c>
      <c r="AI2">
        <v>0.83351323745067296</v>
      </c>
      <c r="AJ2">
        <v>0.79428390193698395</v>
      </c>
      <c r="AK2">
        <v>0.83614176600731005</v>
      </c>
      <c r="AL2">
        <v>0.78482691388711201</v>
      </c>
      <c r="AM2">
        <v>0.79403546800237501</v>
      </c>
      <c r="AN2">
        <v>0.78509150181373799</v>
      </c>
      <c r="AO2">
        <v>0.77058647993340301</v>
      </c>
      <c r="AP2">
        <v>0.75774585548099704</v>
      </c>
      <c r="AQ2">
        <v>0.75065921737561203</v>
      </c>
      <c r="AR2">
        <v>0.72256841531473104</v>
      </c>
      <c r="AS2">
        <v>0.76400600932419205</v>
      </c>
      <c r="AT2">
        <v>0.74182177307660702</v>
      </c>
      <c r="AU2">
        <v>0.72230176805027901</v>
      </c>
      <c r="AV2">
        <v>0.69149831793009597</v>
      </c>
    </row>
    <row r="3" spans="1:48" x14ac:dyDescent="0.2">
      <c r="A3">
        <v>1991</v>
      </c>
      <c r="B3">
        <f>RCT!C3</f>
        <v>0</v>
      </c>
      <c r="C3">
        <f>CT!C3</f>
        <v>0</v>
      </c>
      <c r="D3">
        <f>META!C3</f>
        <v>0</v>
      </c>
      <c r="E3">
        <f>REVIEW!C3</f>
        <v>0</v>
      </c>
      <c r="F3">
        <f>CCJ!C3</f>
        <v>0</v>
      </c>
      <c r="G3">
        <f>ALL!C3</f>
        <v>1.3428683197598601</v>
      </c>
      <c r="H3">
        <f>OBS!C3</f>
        <v>0</v>
      </c>
      <c r="I3">
        <f>SYSREV!C3</f>
        <v>0</v>
      </c>
      <c r="L3" t="str">
        <v>Clinical trial</v>
      </c>
      <c r="M3">
        <v>1.3010299956639799</v>
      </c>
      <c r="N3">
        <v>0</v>
      </c>
      <c r="O3">
        <v>0</v>
      </c>
      <c r="P3">
        <v>0</v>
      </c>
      <c r="Q3">
        <v>0</v>
      </c>
      <c r="R3">
        <v>1.1109243748081701</v>
      </c>
      <c r="S3">
        <v>1.3010299956639799</v>
      </c>
      <c r="T3">
        <v>1.36123599479677</v>
      </c>
      <c r="U3">
        <v>1.1484035755159301</v>
      </c>
      <c r="V3">
        <v>1.24656882678356</v>
      </c>
      <c r="W3">
        <v>1.1932353127234101</v>
      </c>
      <c r="X3">
        <v>1.06735213723766</v>
      </c>
      <c r="Y3">
        <v>1.26951700284997</v>
      </c>
      <c r="Z3">
        <v>1.1417630493639901</v>
      </c>
      <c r="AA3">
        <v>1.06176702714272</v>
      </c>
      <c r="AB3">
        <v>1.1302253876941499</v>
      </c>
      <c r="AC3">
        <v>0.90819096478955297</v>
      </c>
      <c r="AD3">
        <v>1.08016281285699</v>
      </c>
      <c r="AE3">
        <v>0.95553029735178996</v>
      </c>
      <c r="AF3">
        <v>0.95873713754164103</v>
      </c>
      <c r="AG3">
        <v>0.96839758650316499</v>
      </c>
      <c r="AH3">
        <v>0.86905063102791602</v>
      </c>
      <c r="AI3">
        <v>0.88057983291383901</v>
      </c>
      <c r="AJ3">
        <v>0.934110335139268</v>
      </c>
      <c r="AK3">
        <v>0.91427168236026302</v>
      </c>
      <c r="AL3">
        <v>0.907608228019533</v>
      </c>
      <c r="AM3">
        <v>0.87673622367512904</v>
      </c>
      <c r="AN3">
        <v>0.87607969033971</v>
      </c>
      <c r="AO3">
        <v>0.88567068864161103</v>
      </c>
      <c r="AP3">
        <v>0.89329693112596398</v>
      </c>
      <c r="AQ3">
        <v>0.89504588628444803</v>
      </c>
      <c r="AR3">
        <v>0.83052197180723597</v>
      </c>
      <c r="AS3">
        <v>0.909417977549695</v>
      </c>
      <c r="AT3">
        <v>0.84069944969994903</v>
      </c>
      <c r="AU3">
        <v>0.89055096870626504</v>
      </c>
      <c r="AV3">
        <v>0.86918033156068397</v>
      </c>
    </row>
    <row r="4" spans="1:48" x14ac:dyDescent="0.2">
      <c r="A4">
        <v>1992</v>
      </c>
      <c r="B4">
        <f>RCT!C4</f>
        <v>0</v>
      </c>
      <c r="C4">
        <f>CT!C4</f>
        <v>0</v>
      </c>
      <c r="D4">
        <f>META!C4</f>
        <v>0</v>
      </c>
      <c r="E4">
        <f>REVIEW!C4</f>
        <v>0</v>
      </c>
      <c r="F4">
        <f>CCJ!C4</f>
        <v>0</v>
      </c>
      <c r="G4">
        <f>ALL!C4</f>
        <v>1.1553800764065201</v>
      </c>
      <c r="H4">
        <f>OBS!C4</f>
        <v>0</v>
      </c>
      <c r="I4">
        <f>SYSREV!C4</f>
        <v>0</v>
      </c>
      <c r="L4" t="str">
        <v>Meta-analysis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0.124938736608299</v>
      </c>
      <c r="W4">
        <v>0</v>
      </c>
      <c r="X4">
        <v>1.6695913081025</v>
      </c>
      <c r="Y4">
        <v>0.71293558631447196</v>
      </c>
      <c r="Z4">
        <v>0.62119472334897496</v>
      </c>
      <c r="AA4">
        <v>0.79601272303317405</v>
      </c>
      <c r="AB4">
        <v>1.31215313537356</v>
      </c>
      <c r="AC4">
        <v>0.63174750796963497</v>
      </c>
      <c r="AD4">
        <v>0.88475477429390004</v>
      </c>
      <c r="AE4">
        <v>1.1165171063560799</v>
      </c>
      <c r="AF4">
        <v>0.73197671992809599</v>
      </c>
      <c r="AG4">
        <v>0.72862495089579105</v>
      </c>
      <c r="AH4">
        <v>0.727908906422298</v>
      </c>
      <c r="AI4">
        <v>0.62468064070703799</v>
      </c>
      <c r="AJ4">
        <v>0.57897016127477097</v>
      </c>
      <c r="AK4">
        <v>0.53890867730458403</v>
      </c>
      <c r="AL4">
        <v>0.538140729393907</v>
      </c>
      <c r="AM4">
        <v>0.54743130683194496</v>
      </c>
      <c r="AN4">
        <v>0.54527998948727996</v>
      </c>
      <c r="AO4">
        <v>0.56593260011610802</v>
      </c>
      <c r="AP4">
        <v>0.58991276433615503</v>
      </c>
      <c r="AQ4">
        <v>0.61055449446051402</v>
      </c>
      <c r="AR4">
        <v>0.62971138467511201</v>
      </c>
      <c r="AS4">
        <v>0.59818707712265295</v>
      </c>
      <c r="AT4">
        <v>0.58321605882935901</v>
      </c>
      <c r="AU4">
        <v>0.59136901218831095</v>
      </c>
      <c r="AV4">
        <v>0.58129204711178495</v>
      </c>
    </row>
    <row r="5" spans="1:48" x14ac:dyDescent="0.2">
      <c r="A5">
        <v>1993</v>
      </c>
      <c r="B5">
        <f>RCT!C5</f>
        <v>1.3010299956639799</v>
      </c>
      <c r="C5">
        <f>CT!C5</f>
        <v>0</v>
      </c>
      <c r="D5">
        <f>META!C5</f>
        <v>0</v>
      </c>
      <c r="E5">
        <f>REVIEW!C5</f>
        <v>0</v>
      </c>
      <c r="F5">
        <f>CCJ!C5</f>
        <v>0</v>
      </c>
      <c r="G5">
        <f>ALL!C5</f>
        <v>1.49766473512739</v>
      </c>
      <c r="H5">
        <f>OBS!C5</f>
        <v>0</v>
      </c>
      <c r="I5">
        <f>SYSREV!C5</f>
        <v>0</v>
      </c>
      <c r="L5" t="str">
        <v>Review</v>
      </c>
      <c r="M5">
        <v>0</v>
      </c>
      <c r="N5">
        <v>0</v>
      </c>
      <c r="O5">
        <v>0</v>
      </c>
      <c r="P5">
        <v>0</v>
      </c>
      <c r="Q5">
        <v>1.07394958320545</v>
      </c>
      <c r="R5">
        <v>1.3010299956639799</v>
      </c>
      <c r="S5">
        <v>2.9999999999999898</v>
      </c>
      <c r="T5">
        <v>1.2218487496163499</v>
      </c>
      <c r="U5">
        <v>1.6109243748081701</v>
      </c>
      <c r="V5">
        <v>1.54046095381196</v>
      </c>
      <c r="W5">
        <v>1.66259095744418</v>
      </c>
      <c r="X5">
        <v>1.7429953257386399</v>
      </c>
      <c r="Y5">
        <v>1.54598123053001</v>
      </c>
      <c r="Z5">
        <v>1.49568366526932</v>
      </c>
      <c r="AA5">
        <v>1.56341054350708</v>
      </c>
      <c r="AB5">
        <v>1.5679878022781799</v>
      </c>
      <c r="AC5">
        <v>1.4273441385652801</v>
      </c>
      <c r="AD5">
        <v>1.4681089468759001</v>
      </c>
      <c r="AE5">
        <v>1.4678299794312599</v>
      </c>
      <c r="AF5">
        <v>1.3876484069656001</v>
      </c>
      <c r="AG5">
        <v>1.43637890017974</v>
      </c>
      <c r="AH5">
        <v>1.47010938597318</v>
      </c>
      <c r="AI5">
        <v>1.4184338333789299</v>
      </c>
      <c r="AJ5">
        <v>1.3906495876330001</v>
      </c>
      <c r="AK5">
        <v>1.3282073662651299</v>
      </c>
      <c r="AL5">
        <v>1.3085853687845199</v>
      </c>
      <c r="AM5">
        <v>1.3234921974656999</v>
      </c>
      <c r="AN5">
        <v>1.3116353519855499</v>
      </c>
      <c r="AO5">
        <v>1.2961808291966499</v>
      </c>
      <c r="AP5">
        <v>1.26938465407893</v>
      </c>
      <c r="AQ5">
        <v>1.29772633945143</v>
      </c>
      <c r="AR5">
        <v>1.28228712820957</v>
      </c>
      <c r="AS5">
        <v>1.2268748714111799</v>
      </c>
      <c r="AT5">
        <v>1.19071667592515</v>
      </c>
      <c r="AU5">
        <v>1.2378958394144599</v>
      </c>
      <c r="AV5">
        <v>1.21067998203891</v>
      </c>
    </row>
    <row r="6" spans="1:48" x14ac:dyDescent="0.2">
      <c r="A6">
        <v>1994</v>
      </c>
      <c r="B6">
        <f>RCT!C6</f>
        <v>1.8010299956639799</v>
      </c>
      <c r="C6">
        <f>CT!C6</f>
        <v>0</v>
      </c>
      <c r="D6">
        <f>META!C6</f>
        <v>0</v>
      </c>
      <c r="E6">
        <f>REVIEW!C6</f>
        <v>1.07394958320545</v>
      </c>
      <c r="F6">
        <f>CCJ!C6</f>
        <v>0</v>
      </c>
      <c r="G6">
        <f>ALL!C6</f>
        <v>1.1996794323553499</v>
      </c>
      <c r="H6">
        <f>OBS!C6</f>
        <v>0</v>
      </c>
      <c r="I6">
        <f>SYSREV!C6</f>
        <v>0</v>
      </c>
      <c r="L6" t="str">
        <v>Core clinical journal</v>
      </c>
      <c r="M6">
        <v>0</v>
      </c>
      <c r="N6">
        <v>0</v>
      </c>
      <c r="O6">
        <v>0</v>
      </c>
      <c r="P6">
        <v>0</v>
      </c>
      <c r="Q6">
        <v>0</v>
      </c>
      <c r="R6">
        <v>1.3010299956639799</v>
      </c>
      <c r="S6">
        <v>0</v>
      </c>
      <c r="T6">
        <v>1.3010299956639799</v>
      </c>
      <c r="U6">
        <v>1.2154243254584201</v>
      </c>
      <c r="V6">
        <v>0.82072696830890801</v>
      </c>
      <c r="W6">
        <v>1.46485777244751</v>
      </c>
      <c r="X6">
        <v>0.67583370243461705</v>
      </c>
      <c r="Y6">
        <v>1.1585074738977901</v>
      </c>
      <c r="Z6">
        <v>1.0744968953363601</v>
      </c>
      <c r="AA6">
        <v>1.0927311166767499</v>
      </c>
      <c r="AB6">
        <v>1.11283488739779</v>
      </c>
      <c r="AC6">
        <v>0.96897565712371203</v>
      </c>
      <c r="AD6">
        <v>1.0703419792784901</v>
      </c>
      <c r="AE6">
        <v>0.994606862153539</v>
      </c>
      <c r="AF6">
        <v>0.97051596403857898</v>
      </c>
      <c r="AG6">
        <v>0.98360066135270896</v>
      </c>
      <c r="AH6">
        <v>0.95024386794101601</v>
      </c>
      <c r="AI6">
        <v>0.96573794618140796</v>
      </c>
      <c r="AJ6">
        <v>0.95942876753064998</v>
      </c>
      <c r="AK6">
        <v>0.97513967906569998</v>
      </c>
      <c r="AL6">
        <v>0.90032786356071004</v>
      </c>
      <c r="AM6">
        <v>0.89451792524808504</v>
      </c>
      <c r="AN6">
        <v>0.91067884816929301</v>
      </c>
      <c r="AO6">
        <v>0.92398464368872801</v>
      </c>
      <c r="AP6">
        <v>0.90074159478730598</v>
      </c>
      <c r="AQ6">
        <v>1.00082181799901</v>
      </c>
      <c r="AR6">
        <v>1.0074030080551799</v>
      </c>
      <c r="AS6">
        <v>0.98339750374091095</v>
      </c>
      <c r="AT6">
        <v>0.98308958268800894</v>
      </c>
      <c r="AU6">
        <v>0.95794641170575301</v>
      </c>
      <c r="AV6">
        <v>0.92203730147562901</v>
      </c>
    </row>
    <row r="7" spans="1:48" x14ac:dyDescent="0.2">
      <c r="A7">
        <v>1995</v>
      </c>
      <c r="B7">
        <f>RCT!C7</f>
        <v>1.3010299956639799</v>
      </c>
      <c r="C7">
        <f>CT!C7</f>
        <v>1.1109243748081701</v>
      </c>
      <c r="D7">
        <f>META!C7</f>
        <v>0</v>
      </c>
      <c r="E7">
        <f>REVIEW!C7</f>
        <v>1.3010299956639799</v>
      </c>
      <c r="F7">
        <f>CCJ!C7</f>
        <v>1.3010299956639799</v>
      </c>
      <c r="G7">
        <f>ALL!C7</f>
        <v>1.3391821786695</v>
      </c>
      <c r="H7">
        <f>OBS!C7</f>
        <v>0</v>
      </c>
      <c r="I7">
        <f>SYSREV!C7</f>
        <v>0</v>
      </c>
      <c r="L7" t="str">
        <v>All MEDLINE</v>
      </c>
      <c r="M7">
        <v>1.57314867681059</v>
      </c>
      <c r="N7">
        <v>1.3428683197598601</v>
      </c>
      <c r="O7">
        <v>1.1553800764065201</v>
      </c>
      <c r="P7">
        <v>1.49766473512739</v>
      </c>
      <c r="Q7">
        <v>1.1996794323553499</v>
      </c>
      <c r="R7">
        <v>1.3391821786695</v>
      </c>
      <c r="S7">
        <v>1.4043500867038301</v>
      </c>
      <c r="T7">
        <v>1.4846291817973301</v>
      </c>
      <c r="U7">
        <v>1.5090992436218</v>
      </c>
      <c r="V7">
        <v>1.5194032443457</v>
      </c>
      <c r="W7">
        <v>1.4311419057592401</v>
      </c>
      <c r="X7">
        <v>1.3833856045673301</v>
      </c>
      <c r="Y7">
        <v>1.3236889996386401</v>
      </c>
      <c r="Z7">
        <v>1.3023096036666</v>
      </c>
      <c r="AA7">
        <v>1.27668107778938</v>
      </c>
      <c r="AB7">
        <v>1.2699973945446299</v>
      </c>
      <c r="AC7">
        <v>1.24381853430377</v>
      </c>
      <c r="AD7">
        <v>1.2204955496355601</v>
      </c>
      <c r="AE7">
        <v>1.2113251015173001</v>
      </c>
      <c r="AF7">
        <v>1.1995560860627199</v>
      </c>
      <c r="AG7">
        <v>1.1999333993548</v>
      </c>
      <c r="AH7">
        <v>1.1546602056008</v>
      </c>
      <c r="AI7">
        <v>1.1421349544069299</v>
      </c>
      <c r="AJ7">
        <v>1.11342344819697</v>
      </c>
      <c r="AK7">
        <v>1.1034753571061799</v>
      </c>
      <c r="AL7">
        <v>1.0937623812699699</v>
      </c>
      <c r="AM7">
        <v>1.07155284258539</v>
      </c>
      <c r="AN7">
        <v>1.07675094798292</v>
      </c>
      <c r="AO7">
        <v>1.07314856444615</v>
      </c>
      <c r="AP7">
        <v>1.0713977657084099</v>
      </c>
      <c r="AQ7">
        <v>1.07189982682547</v>
      </c>
      <c r="AR7">
        <v>1.0608267271126299</v>
      </c>
      <c r="AS7">
        <v>1.0607255329287399</v>
      </c>
      <c r="AT7">
        <v>1.06230172305009</v>
      </c>
      <c r="AU7">
        <v>1.05856476949524</v>
      </c>
      <c r="AV7">
        <v>1.03593152321801</v>
      </c>
    </row>
    <row r="8" spans="1:48" x14ac:dyDescent="0.2">
      <c r="A8">
        <v>1996</v>
      </c>
      <c r="B8">
        <f>RCT!C8</f>
        <v>0.30102999566398098</v>
      </c>
      <c r="C8">
        <f>CT!C8</f>
        <v>1.3010299956639799</v>
      </c>
      <c r="D8">
        <f>META!C8</f>
        <v>0</v>
      </c>
      <c r="E8">
        <f>REVIEW!C8</f>
        <v>2.9999999999999898</v>
      </c>
      <c r="F8">
        <f>CCJ!C8</f>
        <v>0</v>
      </c>
      <c r="G8">
        <f>ALL!C8</f>
        <v>1.4043500867038301</v>
      </c>
      <c r="H8">
        <f>OBS!C8</f>
        <v>0</v>
      </c>
      <c r="I8">
        <f>SYSREV!C8</f>
        <v>0</v>
      </c>
      <c r="L8" t="str">
        <v>Observational_Study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1.5228787452803301</v>
      </c>
      <c r="AD8">
        <v>0</v>
      </c>
      <c r="AE8">
        <v>0</v>
      </c>
      <c r="AF8">
        <v>0</v>
      </c>
      <c r="AG8">
        <v>0</v>
      </c>
      <c r="AH8">
        <v>7.0581074285707202E-2</v>
      </c>
      <c r="AI8">
        <v>0.674465228320141</v>
      </c>
      <c r="AJ8">
        <v>0.88527875744129902</v>
      </c>
      <c r="AK8">
        <v>0.879282373321008</v>
      </c>
      <c r="AL8">
        <v>0.91051377536600597</v>
      </c>
      <c r="AM8">
        <v>0.87576699768720301</v>
      </c>
      <c r="AN8">
        <v>0.88460971146025902</v>
      </c>
      <c r="AO8">
        <v>0.90576469533926596</v>
      </c>
      <c r="AP8">
        <v>0.917769655849208</v>
      </c>
      <c r="AQ8">
        <v>0.88598353160662102</v>
      </c>
      <c r="AR8">
        <v>0.88952482465629501</v>
      </c>
      <c r="AS8">
        <v>0.89723425968511095</v>
      </c>
      <c r="AT8">
        <v>0.890900116746417</v>
      </c>
      <c r="AU8">
        <v>0.888565692990128</v>
      </c>
      <c r="AV8">
        <v>0.85824185319435597</v>
      </c>
    </row>
    <row r="9" spans="1:48" x14ac:dyDescent="0.2">
      <c r="A9">
        <v>1997</v>
      </c>
      <c r="B9">
        <f>RCT!C9</f>
        <v>0.75027177391030297</v>
      </c>
      <c r="C9">
        <f>CT!C9</f>
        <v>1.36123599479677</v>
      </c>
      <c r="D9">
        <f>META!C9</f>
        <v>0</v>
      </c>
      <c r="E9">
        <f>REVIEW!C9</f>
        <v>1.2218487496163499</v>
      </c>
      <c r="F9">
        <f>CCJ!C9</f>
        <v>1.3010299956639799</v>
      </c>
      <c r="G9">
        <f>ALL!C9</f>
        <v>1.4846291817973301</v>
      </c>
      <c r="H9">
        <f>OBS!C9</f>
        <v>0</v>
      </c>
      <c r="I9">
        <f>SYSREV!C9</f>
        <v>0</v>
      </c>
      <c r="L9" t="str">
        <v>Systematical_review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0.376750709602099</v>
      </c>
      <c r="X9">
        <v>2.12041199826559</v>
      </c>
      <c r="Y9">
        <v>1.0368468482448401</v>
      </c>
      <c r="Z9">
        <v>0.51573754793196303</v>
      </c>
      <c r="AA9">
        <v>0.77111243840644506</v>
      </c>
      <c r="AB9">
        <v>1.17854026299491</v>
      </c>
      <c r="AC9">
        <v>0.94705604175755398</v>
      </c>
      <c r="AD9">
        <v>1.1353189373502299</v>
      </c>
      <c r="AE9">
        <v>0.84053609580203803</v>
      </c>
      <c r="AF9">
        <v>0.80882632724218595</v>
      </c>
      <c r="AG9">
        <v>0.70097546759738405</v>
      </c>
      <c r="AH9">
        <v>0.79671279444354504</v>
      </c>
      <c r="AI9">
        <v>0.77573578952341604</v>
      </c>
      <c r="AJ9">
        <v>0.75813340209237501</v>
      </c>
      <c r="AK9">
        <v>0.71709550752409801</v>
      </c>
      <c r="AL9">
        <v>0.71702430069092904</v>
      </c>
      <c r="AM9">
        <v>0.68623623449811</v>
      </c>
      <c r="AN9">
        <v>0.66680198141123304</v>
      </c>
      <c r="AO9">
        <v>0.68879136838184496</v>
      </c>
      <c r="AP9">
        <v>0.68383572362558498</v>
      </c>
      <c r="AQ9">
        <v>0.67393270264912297</v>
      </c>
      <c r="AR9">
        <v>0.70313709022382698</v>
      </c>
      <c r="AS9">
        <v>0.65861580865428704</v>
      </c>
      <c r="AT9">
        <v>0.66520686524147199</v>
      </c>
      <c r="AU9">
        <v>0.66960606783959997</v>
      </c>
      <c r="AV9">
        <v>0.65835729789222297</v>
      </c>
    </row>
    <row r="10" spans="1:48" x14ac:dyDescent="0.2">
      <c r="A10">
        <v>1998</v>
      </c>
      <c r="B10">
        <f>RCT!C10</f>
        <v>0.98721186938815397</v>
      </c>
      <c r="C10">
        <f>CT!C10</f>
        <v>1.1484035755159301</v>
      </c>
      <c r="D10">
        <f>META!C10</f>
        <v>0</v>
      </c>
      <c r="E10">
        <f>REVIEW!C10</f>
        <v>1.6109243748081701</v>
      </c>
      <c r="F10">
        <f>CCJ!C10</f>
        <v>1.2154243254584201</v>
      </c>
      <c r="G10">
        <f>ALL!C10</f>
        <v>1.5090992436218</v>
      </c>
      <c r="H10">
        <f>OBS!C10</f>
        <v>0</v>
      </c>
      <c r="I10">
        <f>SYSREV!C10</f>
        <v>0</v>
      </c>
    </row>
    <row r="11" spans="1:48" x14ac:dyDescent="0.2">
      <c r="A11">
        <v>1999</v>
      </c>
      <c r="B11">
        <f>RCT!C11</f>
        <v>0.99249876446166396</v>
      </c>
      <c r="C11">
        <f>CT!C11</f>
        <v>1.24656882678356</v>
      </c>
      <c r="D11">
        <f>META!C11</f>
        <v>0.124938736608299</v>
      </c>
      <c r="E11">
        <f>REVIEW!C11</f>
        <v>1.54046095381196</v>
      </c>
      <c r="F11">
        <f>CCJ!C11</f>
        <v>0.82072696830890801</v>
      </c>
      <c r="G11">
        <f>ALL!C11</f>
        <v>1.5194032443457</v>
      </c>
      <c r="H11">
        <f>OBS!C11</f>
        <v>0</v>
      </c>
      <c r="I11">
        <f>SYSREV!C11</f>
        <v>0</v>
      </c>
    </row>
    <row r="12" spans="1:48" x14ac:dyDescent="0.2">
      <c r="A12">
        <v>2000</v>
      </c>
      <c r="B12">
        <f>RCT!C12</f>
        <v>1.14918530212981</v>
      </c>
      <c r="C12">
        <f>CT!C12</f>
        <v>1.1932353127234101</v>
      </c>
      <c r="D12">
        <f>META!C12</f>
        <v>0</v>
      </c>
      <c r="E12">
        <f>REVIEW!C12</f>
        <v>1.66259095744418</v>
      </c>
      <c r="F12">
        <f>CCJ!C12</f>
        <v>1.46485777244751</v>
      </c>
      <c r="G12">
        <f>ALL!C12</f>
        <v>1.4311419057592401</v>
      </c>
      <c r="H12">
        <f>OBS!C12</f>
        <v>0</v>
      </c>
      <c r="I12">
        <f>SYSREV!C12</f>
        <v>0.376750709602099</v>
      </c>
    </row>
    <row r="13" spans="1:48" x14ac:dyDescent="0.2">
      <c r="A13">
        <v>2001</v>
      </c>
      <c r="B13">
        <f>RCT!C13</f>
        <v>0.75522878371070001</v>
      </c>
      <c r="C13">
        <f>CT!C13</f>
        <v>1.06735213723766</v>
      </c>
      <c r="D13">
        <f>META!C13</f>
        <v>1.6695913081025</v>
      </c>
      <c r="E13">
        <f>REVIEW!C13</f>
        <v>1.7429953257386399</v>
      </c>
      <c r="F13">
        <f>CCJ!C13</f>
        <v>0.67583370243461705</v>
      </c>
      <c r="G13">
        <f>ALL!C13</f>
        <v>1.3833856045673301</v>
      </c>
      <c r="H13">
        <f>OBS!C13</f>
        <v>0</v>
      </c>
      <c r="I13">
        <f>SYSREV!C13</f>
        <v>2.12041199826559</v>
      </c>
    </row>
    <row r="14" spans="1:48" x14ac:dyDescent="0.2">
      <c r="A14">
        <v>2002</v>
      </c>
      <c r="B14">
        <f>RCT!C14</f>
        <v>0.83374820674070804</v>
      </c>
      <c r="C14">
        <f>CT!C14</f>
        <v>1.26951700284997</v>
      </c>
      <c r="D14">
        <f>META!C14</f>
        <v>0.71293558631447196</v>
      </c>
      <c r="E14">
        <f>REVIEW!C14</f>
        <v>1.54598123053001</v>
      </c>
      <c r="F14">
        <f>CCJ!C14</f>
        <v>1.1585074738977901</v>
      </c>
      <c r="G14">
        <f>ALL!C14</f>
        <v>1.3236889996386401</v>
      </c>
      <c r="H14">
        <f>OBS!C14</f>
        <v>0</v>
      </c>
      <c r="I14">
        <f>SYSREV!C14</f>
        <v>1.0368468482448401</v>
      </c>
    </row>
    <row r="15" spans="1:48" x14ac:dyDescent="0.2">
      <c r="A15">
        <v>2003</v>
      </c>
      <c r="B15">
        <f>RCT!C15</f>
        <v>0.936248732734555</v>
      </c>
      <c r="C15">
        <f>CT!C15</f>
        <v>1.1417630493639901</v>
      </c>
      <c r="D15">
        <f>META!C15</f>
        <v>0.62119472334897496</v>
      </c>
      <c r="E15">
        <f>REVIEW!C15</f>
        <v>1.49568366526932</v>
      </c>
      <c r="F15">
        <f>CCJ!C15</f>
        <v>1.0744968953363601</v>
      </c>
      <c r="G15">
        <f>ALL!C15</f>
        <v>1.3023096036666</v>
      </c>
      <c r="H15">
        <f>OBS!C15</f>
        <v>0</v>
      </c>
      <c r="I15">
        <f>SYSREV!C15</f>
        <v>0.51573754793196303</v>
      </c>
    </row>
    <row r="16" spans="1:48" x14ac:dyDescent="0.2">
      <c r="A16">
        <v>2004</v>
      </c>
      <c r="B16">
        <f>RCT!C16</f>
        <v>0.85965501892058604</v>
      </c>
      <c r="C16">
        <f>CT!C16</f>
        <v>1.06176702714272</v>
      </c>
      <c r="D16">
        <f>META!C16</f>
        <v>0.79601272303317405</v>
      </c>
      <c r="E16">
        <f>REVIEW!C16</f>
        <v>1.56341054350708</v>
      </c>
      <c r="F16">
        <f>CCJ!C16</f>
        <v>1.0927311166767499</v>
      </c>
      <c r="G16">
        <f>ALL!C16</f>
        <v>1.27668107778938</v>
      </c>
      <c r="H16">
        <f>OBS!C16</f>
        <v>0</v>
      </c>
      <c r="I16">
        <f>SYSREV!C16</f>
        <v>0.77111243840644506</v>
      </c>
    </row>
    <row r="17" spans="1:9" x14ac:dyDescent="0.2">
      <c r="A17">
        <v>2005</v>
      </c>
      <c r="B17">
        <f>RCT!C17</f>
        <v>0.86198690187209703</v>
      </c>
      <c r="C17">
        <f>CT!C17</f>
        <v>1.1302253876941499</v>
      </c>
      <c r="D17">
        <f>META!C17</f>
        <v>1.31215313537356</v>
      </c>
      <c r="E17">
        <f>REVIEW!C17</f>
        <v>1.5679878022781799</v>
      </c>
      <c r="F17">
        <f>CCJ!C17</f>
        <v>1.11283488739779</v>
      </c>
      <c r="G17">
        <f>ALL!C17</f>
        <v>1.2699973945446299</v>
      </c>
      <c r="H17">
        <f>OBS!C17</f>
        <v>0</v>
      </c>
      <c r="I17">
        <f>SYSREV!C17</f>
        <v>1.17854026299491</v>
      </c>
    </row>
    <row r="18" spans="1:9" x14ac:dyDescent="0.2">
      <c r="A18">
        <v>2006</v>
      </c>
      <c r="B18">
        <f>RCT!C18</f>
        <v>0.81384020094245002</v>
      </c>
      <c r="C18">
        <f>CT!C18</f>
        <v>0.90819096478955297</v>
      </c>
      <c r="D18">
        <f>META!C18</f>
        <v>0.63174750796963497</v>
      </c>
      <c r="E18">
        <f>REVIEW!C18</f>
        <v>1.4273441385652801</v>
      </c>
      <c r="F18">
        <f>CCJ!C18</f>
        <v>0.96897565712371203</v>
      </c>
      <c r="G18">
        <f>ALL!C18</f>
        <v>1.24381853430377</v>
      </c>
      <c r="H18">
        <f>OBS!C18</f>
        <v>1.5228787452803301</v>
      </c>
      <c r="I18">
        <f>SYSREV!C18</f>
        <v>0.94705604175755398</v>
      </c>
    </row>
    <row r="19" spans="1:9" x14ac:dyDescent="0.2">
      <c r="A19">
        <v>2007</v>
      </c>
      <c r="B19">
        <f>RCT!C19</f>
        <v>0.86614302870013504</v>
      </c>
      <c r="C19">
        <f>CT!C19</f>
        <v>1.08016281285699</v>
      </c>
      <c r="D19">
        <f>META!C19</f>
        <v>0.88475477429390004</v>
      </c>
      <c r="E19">
        <f>REVIEW!C19</f>
        <v>1.4681089468759001</v>
      </c>
      <c r="F19">
        <f>CCJ!C19</f>
        <v>1.0703419792784901</v>
      </c>
      <c r="G19">
        <f>ALL!C19</f>
        <v>1.2204955496355601</v>
      </c>
      <c r="H19">
        <f>OBS!C19</f>
        <v>0</v>
      </c>
      <c r="I19">
        <f>SYSREV!C19</f>
        <v>1.1353189373502299</v>
      </c>
    </row>
    <row r="20" spans="1:9" x14ac:dyDescent="0.2">
      <c r="A20">
        <v>2008</v>
      </c>
      <c r="B20">
        <f>RCT!C20</f>
        <v>0.85843762285458403</v>
      </c>
      <c r="C20">
        <f>CT!C20</f>
        <v>0.95553029735178996</v>
      </c>
      <c r="D20">
        <f>META!C20</f>
        <v>1.1165171063560799</v>
      </c>
      <c r="E20">
        <f>REVIEW!C20</f>
        <v>1.4678299794312599</v>
      </c>
      <c r="F20">
        <f>CCJ!C20</f>
        <v>0.994606862153539</v>
      </c>
      <c r="G20">
        <f>ALL!C20</f>
        <v>1.2113251015173001</v>
      </c>
      <c r="H20">
        <f>OBS!C20</f>
        <v>0</v>
      </c>
      <c r="I20">
        <f>SYSREV!C20</f>
        <v>0.84053609580203803</v>
      </c>
    </row>
    <row r="21" spans="1:9" x14ac:dyDescent="0.2">
      <c r="A21">
        <v>2009</v>
      </c>
      <c r="B21">
        <f>RCT!C21</f>
        <v>0.80437727855621299</v>
      </c>
      <c r="C21">
        <f>CT!C21</f>
        <v>0.95873713754164103</v>
      </c>
      <c r="D21">
        <f>META!C21</f>
        <v>0.73197671992809599</v>
      </c>
      <c r="E21">
        <f>REVIEW!C21</f>
        <v>1.3876484069656001</v>
      </c>
      <c r="F21">
        <f>CCJ!C21</f>
        <v>0.97051596403857898</v>
      </c>
      <c r="G21">
        <f>ALL!C21</f>
        <v>1.1995560860627199</v>
      </c>
      <c r="H21">
        <f>OBS!C21</f>
        <v>0</v>
      </c>
      <c r="I21">
        <f>SYSREV!C21</f>
        <v>0.80882632724218595</v>
      </c>
    </row>
    <row r="22" spans="1:9" x14ac:dyDescent="0.2">
      <c r="A22">
        <v>2010</v>
      </c>
      <c r="B22">
        <f>RCT!C22</f>
        <v>0.81923450158411204</v>
      </c>
      <c r="C22">
        <f>CT!C22</f>
        <v>0.96839758650316499</v>
      </c>
      <c r="D22">
        <f>META!C22</f>
        <v>0.72862495089579105</v>
      </c>
      <c r="E22">
        <f>REVIEW!C22</f>
        <v>1.43637890017974</v>
      </c>
      <c r="F22">
        <f>CCJ!C22</f>
        <v>0.98360066135270896</v>
      </c>
      <c r="G22">
        <f>ALL!C22</f>
        <v>1.1999333993548</v>
      </c>
      <c r="H22">
        <f>OBS!C22</f>
        <v>0</v>
      </c>
      <c r="I22">
        <f>SYSREV!C22</f>
        <v>0.70097546759738405</v>
      </c>
    </row>
    <row r="23" spans="1:9" x14ac:dyDescent="0.2">
      <c r="A23">
        <v>2011</v>
      </c>
      <c r="B23">
        <f>RCT!C23</f>
        <v>0.80790138991009897</v>
      </c>
      <c r="C23">
        <f>CT!C23</f>
        <v>0.86905063102791602</v>
      </c>
      <c r="D23">
        <f>META!C23</f>
        <v>0.727908906422298</v>
      </c>
      <c r="E23">
        <f>REVIEW!C23</f>
        <v>1.47010938597318</v>
      </c>
      <c r="F23">
        <f>CCJ!C23</f>
        <v>0.95024386794101601</v>
      </c>
      <c r="G23">
        <f>ALL!C23</f>
        <v>1.1546602056008</v>
      </c>
      <c r="H23">
        <f>OBS!C23</f>
        <v>7.0581074285707202E-2</v>
      </c>
      <c r="I23">
        <f>SYSREV!C23</f>
        <v>0.79671279444354504</v>
      </c>
    </row>
    <row r="24" spans="1:9" x14ac:dyDescent="0.2">
      <c r="A24">
        <v>2012</v>
      </c>
      <c r="B24">
        <f>RCT!C24</f>
        <v>0.83351323745067296</v>
      </c>
      <c r="C24">
        <f>CT!C24</f>
        <v>0.88057983291383901</v>
      </c>
      <c r="D24">
        <f>META!C24</f>
        <v>0.62468064070703799</v>
      </c>
      <c r="E24">
        <f>REVIEW!C24</f>
        <v>1.4184338333789299</v>
      </c>
      <c r="F24">
        <f>CCJ!C24</f>
        <v>0.96573794618140796</v>
      </c>
      <c r="G24">
        <f>ALL!C24</f>
        <v>1.1421349544069299</v>
      </c>
      <c r="H24">
        <f>OBS!C24</f>
        <v>0.674465228320141</v>
      </c>
      <c r="I24">
        <f>SYSREV!C24</f>
        <v>0.77573578952341604</v>
      </c>
    </row>
    <row r="25" spans="1:9" x14ac:dyDescent="0.2">
      <c r="A25">
        <v>2013</v>
      </c>
      <c r="B25">
        <f>RCT!C25</f>
        <v>0.79428390193698395</v>
      </c>
      <c r="C25">
        <f>CT!C25</f>
        <v>0.934110335139268</v>
      </c>
      <c r="D25">
        <f>META!C25</f>
        <v>0.57897016127477097</v>
      </c>
      <c r="E25">
        <f>REVIEW!C25</f>
        <v>1.3906495876330001</v>
      </c>
      <c r="F25">
        <f>CCJ!C25</f>
        <v>0.95942876753064998</v>
      </c>
      <c r="G25">
        <f>ALL!C25</f>
        <v>1.11342344819697</v>
      </c>
      <c r="H25">
        <f>OBS!C25</f>
        <v>0.88527875744129902</v>
      </c>
      <c r="I25">
        <f>SYSREV!C25</f>
        <v>0.75813340209237501</v>
      </c>
    </row>
    <row r="26" spans="1:9" x14ac:dyDescent="0.2">
      <c r="A26">
        <v>2014</v>
      </c>
      <c r="B26">
        <f>RCT!C26</f>
        <v>0.83614176600731005</v>
      </c>
      <c r="C26">
        <f>CT!C26</f>
        <v>0.91427168236026302</v>
      </c>
      <c r="D26">
        <f>META!C26</f>
        <v>0.53890867730458403</v>
      </c>
      <c r="E26">
        <f>REVIEW!C26</f>
        <v>1.3282073662651299</v>
      </c>
      <c r="F26">
        <f>CCJ!C26</f>
        <v>0.97513967906569998</v>
      </c>
      <c r="G26">
        <f>ALL!C26</f>
        <v>1.1034753571061799</v>
      </c>
      <c r="H26">
        <f>OBS!C26</f>
        <v>0.879282373321008</v>
      </c>
      <c r="I26">
        <f>SYSREV!C26</f>
        <v>0.71709550752409801</v>
      </c>
    </row>
    <row r="27" spans="1:9" x14ac:dyDescent="0.2">
      <c r="A27">
        <v>2015</v>
      </c>
      <c r="B27">
        <f>RCT!C27</f>
        <v>0.78482691388711201</v>
      </c>
      <c r="C27">
        <f>CT!C27</f>
        <v>0.907608228019533</v>
      </c>
      <c r="D27">
        <f>META!C27</f>
        <v>0.538140729393907</v>
      </c>
      <c r="E27">
        <f>REVIEW!C27</f>
        <v>1.3085853687845199</v>
      </c>
      <c r="F27">
        <f>CCJ!C27</f>
        <v>0.90032786356071004</v>
      </c>
      <c r="G27">
        <f>ALL!C27</f>
        <v>1.0937623812699699</v>
      </c>
      <c r="H27">
        <f>OBS!C27</f>
        <v>0.91051377536600597</v>
      </c>
      <c r="I27">
        <f>SYSREV!C27</f>
        <v>0.71702430069092904</v>
      </c>
    </row>
    <row r="28" spans="1:9" x14ac:dyDescent="0.2">
      <c r="A28">
        <v>2016</v>
      </c>
      <c r="B28">
        <f>RCT!C28</f>
        <v>0.79403546800237501</v>
      </c>
      <c r="C28">
        <f>CT!C28</f>
        <v>0.87673622367512904</v>
      </c>
      <c r="D28">
        <f>META!C28</f>
        <v>0.54743130683194496</v>
      </c>
      <c r="E28">
        <f>REVIEW!C28</f>
        <v>1.3234921974656999</v>
      </c>
      <c r="F28">
        <f>CCJ!C28</f>
        <v>0.89451792524808504</v>
      </c>
      <c r="G28">
        <f>ALL!C28</f>
        <v>1.07155284258539</v>
      </c>
      <c r="H28">
        <f>OBS!C28</f>
        <v>0.87576699768720301</v>
      </c>
      <c r="I28">
        <f>SYSREV!C28</f>
        <v>0.68623623449811</v>
      </c>
    </row>
    <row r="29" spans="1:9" x14ac:dyDescent="0.2">
      <c r="A29">
        <v>2017</v>
      </c>
      <c r="B29">
        <f>RCT!C29</f>
        <v>0.78509150181373799</v>
      </c>
      <c r="C29">
        <f>CT!C29</f>
        <v>0.87607969033971</v>
      </c>
      <c r="D29">
        <f>META!C29</f>
        <v>0.54527998948727996</v>
      </c>
      <c r="E29">
        <f>REVIEW!C29</f>
        <v>1.3116353519855499</v>
      </c>
      <c r="F29">
        <f>CCJ!C29</f>
        <v>0.91067884816929301</v>
      </c>
      <c r="G29">
        <f>ALL!C29</f>
        <v>1.07675094798292</v>
      </c>
      <c r="H29">
        <f>OBS!C29</f>
        <v>0.88460971146025902</v>
      </c>
      <c r="I29">
        <f>SYSREV!C29</f>
        <v>0.66680198141123304</v>
      </c>
    </row>
    <row r="30" spans="1:9" x14ac:dyDescent="0.2">
      <c r="A30">
        <v>2018</v>
      </c>
      <c r="B30">
        <f>RCT!C30</f>
        <v>0.77058647993340301</v>
      </c>
      <c r="C30">
        <f>CT!C30</f>
        <v>0.88567068864161103</v>
      </c>
      <c r="D30">
        <f>META!C30</f>
        <v>0.56593260011610802</v>
      </c>
      <c r="E30">
        <f>REVIEW!C30</f>
        <v>1.2961808291966499</v>
      </c>
      <c r="F30">
        <f>CCJ!C30</f>
        <v>0.92398464368872801</v>
      </c>
      <c r="G30">
        <f>ALL!C30</f>
        <v>1.07314856444615</v>
      </c>
      <c r="H30">
        <f>OBS!C30</f>
        <v>0.90576469533926596</v>
      </c>
      <c r="I30">
        <f>SYSREV!C30</f>
        <v>0.68879136838184496</v>
      </c>
    </row>
    <row r="31" spans="1:9" x14ac:dyDescent="0.2">
      <c r="A31">
        <v>2019</v>
      </c>
      <c r="B31">
        <f>RCT!C31</f>
        <v>0.75774585548099704</v>
      </c>
      <c r="C31">
        <f>CT!C31</f>
        <v>0.89329693112596398</v>
      </c>
      <c r="D31">
        <f>META!C31</f>
        <v>0.58991276433615503</v>
      </c>
      <c r="E31">
        <f>REVIEW!C31</f>
        <v>1.26938465407893</v>
      </c>
      <c r="F31">
        <f>CCJ!C31</f>
        <v>0.90074159478730598</v>
      </c>
      <c r="G31">
        <f>ALL!C31</f>
        <v>1.0713977657084099</v>
      </c>
      <c r="H31">
        <f>OBS!C31</f>
        <v>0.917769655849208</v>
      </c>
      <c r="I31">
        <f>SYSREV!C31</f>
        <v>0.68383572362558498</v>
      </c>
    </row>
    <row r="32" spans="1:9" x14ac:dyDescent="0.2">
      <c r="A32">
        <v>2020</v>
      </c>
      <c r="B32">
        <f>RCT!C32</f>
        <v>0.75065921737561203</v>
      </c>
      <c r="C32">
        <f>CT!C32</f>
        <v>0.89504588628444803</v>
      </c>
      <c r="D32">
        <f>META!C32</f>
        <v>0.61055449446051402</v>
      </c>
      <c r="E32">
        <f>REVIEW!C32</f>
        <v>1.29772633945143</v>
      </c>
      <c r="F32">
        <f>CCJ!C32</f>
        <v>1.00082181799901</v>
      </c>
      <c r="G32">
        <f>ALL!C32</f>
        <v>1.07189982682547</v>
      </c>
      <c r="H32">
        <f>OBS!C32</f>
        <v>0.88598353160662102</v>
      </c>
      <c r="I32">
        <f>SYSREV!C32</f>
        <v>0.67393270264912297</v>
      </c>
    </row>
    <row r="33" spans="1:9" x14ac:dyDescent="0.2">
      <c r="A33">
        <v>2021</v>
      </c>
      <c r="B33">
        <f>RCT!C33</f>
        <v>0.72256841531473104</v>
      </c>
      <c r="C33">
        <f>CT!C33</f>
        <v>0.83052197180723597</v>
      </c>
      <c r="D33">
        <f>META!C33</f>
        <v>0.62971138467511201</v>
      </c>
      <c r="E33">
        <f>REVIEW!C33</f>
        <v>1.28228712820957</v>
      </c>
      <c r="F33">
        <f>CCJ!C33</f>
        <v>1.0074030080551799</v>
      </c>
      <c r="G33">
        <f>ALL!C33</f>
        <v>1.0608267271126299</v>
      </c>
      <c r="H33">
        <f>OBS!C33</f>
        <v>0.88952482465629501</v>
      </c>
      <c r="I33">
        <f>SYSREV!C33</f>
        <v>0.70313709022382698</v>
      </c>
    </row>
    <row r="34" spans="1:9" x14ac:dyDescent="0.2">
      <c r="A34">
        <v>2022</v>
      </c>
      <c r="B34">
        <f>RCT!C34</f>
        <v>0.76400600932419205</v>
      </c>
      <c r="C34">
        <f>CT!C34</f>
        <v>0.909417977549695</v>
      </c>
      <c r="D34">
        <f>META!C34</f>
        <v>0.59818707712265295</v>
      </c>
      <c r="E34">
        <f>REVIEW!C34</f>
        <v>1.2268748714111799</v>
      </c>
      <c r="F34">
        <f>CCJ!C34</f>
        <v>0.98339750374091095</v>
      </c>
      <c r="G34">
        <f>ALL!C34</f>
        <v>1.0607255329287399</v>
      </c>
      <c r="H34">
        <f>OBS!C34</f>
        <v>0.89723425968511095</v>
      </c>
      <c r="I34">
        <f>SYSREV!C34</f>
        <v>0.65861580865428704</v>
      </c>
    </row>
    <row r="35" spans="1:9" x14ac:dyDescent="0.2">
      <c r="A35">
        <v>2023</v>
      </c>
      <c r="B35">
        <f>RCT!C35</f>
        <v>0.74182177307660702</v>
      </c>
      <c r="C35">
        <f>CT!C35</f>
        <v>0.84069944969994903</v>
      </c>
      <c r="D35">
        <f>META!C35</f>
        <v>0.58321605882935901</v>
      </c>
      <c r="E35">
        <f>REVIEW!C35</f>
        <v>1.19071667592515</v>
      </c>
      <c r="F35">
        <f>CCJ!C35</f>
        <v>0.98308958268800894</v>
      </c>
      <c r="G35">
        <f>ALL!C35</f>
        <v>1.06230172305009</v>
      </c>
      <c r="H35">
        <f>OBS!C35</f>
        <v>0.890900116746417</v>
      </c>
      <c r="I35">
        <f>SYSREV!C35</f>
        <v>0.66520686524147199</v>
      </c>
    </row>
    <row r="36" spans="1:9" x14ac:dyDescent="0.2">
      <c r="A36">
        <v>2024</v>
      </c>
      <c r="B36">
        <f>RCT!C36</f>
        <v>0.72230176805027901</v>
      </c>
      <c r="C36">
        <f>CT!C36</f>
        <v>0.89055096870626504</v>
      </c>
      <c r="D36">
        <f>META!C36</f>
        <v>0.59136901218831095</v>
      </c>
      <c r="E36">
        <f>REVIEW!C36</f>
        <v>1.2378958394144599</v>
      </c>
      <c r="F36">
        <f>CCJ!C36</f>
        <v>0.95794641170575301</v>
      </c>
      <c r="G36">
        <f>ALL!C36</f>
        <v>1.05856476949524</v>
      </c>
      <c r="H36">
        <f>OBS!C36</f>
        <v>0.888565692990128</v>
      </c>
      <c r="I36">
        <f>SYSREV!C36</f>
        <v>0.66960606783959997</v>
      </c>
    </row>
    <row r="37" spans="1:9" x14ac:dyDescent="0.2">
      <c r="A37">
        <v>2025</v>
      </c>
      <c r="B37">
        <f>RCT!C37</f>
        <v>0.69149831793009597</v>
      </c>
      <c r="C37">
        <f>CT!C37</f>
        <v>0.86918033156068397</v>
      </c>
      <c r="D37">
        <f>META!C37</f>
        <v>0.58129204711178495</v>
      </c>
      <c r="E37">
        <f>REVIEW!C37</f>
        <v>1.21067998203891</v>
      </c>
      <c r="F37">
        <f>CCJ!C37</f>
        <v>0.92203730147562901</v>
      </c>
      <c r="G37">
        <f>ALL!C37</f>
        <v>1.03593152321801</v>
      </c>
      <c r="H37">
        <f>OBS!C37</f>
        <v>0.85824185319435597</v>
      </c>
      <c r="I37">
        <f>SYSREV!C37</f>
        <v>0.65835729789222297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RCT</vt:lpstr>
      <vt:lpstr>CT</vt:lpstr>
      <vt:lpstr>META</vt:lpstr>
      <vt:lpstr>REVIEW</vt:lpstr>
      <vt:lpstr>CCJ</vt:lpstr>
      <vt:lpstr>ALL</vt:lpstr>
      <vt:lpstr>OBS</vt:lpstr>
      <vt:lpstr>SYSREV</vt:lpstr>
      <vt:lpstr>minp</vt:lpstr>
      <vt:lpstr>maxp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진혁 최</cp:lastModifiedBy>
  <dcterms:created xsi:type="dcterms:W3CDTF">2025-09-20T09:37:29Z</dcterms:created>
  <dcterms:modified xsi:type="dcterms:W3CDTF">2025-12-09T20:53:40Z</dcterms:modified>
</cp:coreProperties>
</file>