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4/"/>
    </mc:Choice>
  </mc:AlternateContent>
  <xr:revisionPtr revIDLastSave="0" documentId="13_ncr:1_{790D0A9B-A6B9-F64A-80BC-3706128C906F}" xr6:coauthVersionLast="47" xr6:coauthVersionMax="47" xr10:uidLastSave="{00000000-0000-0000-0000-000000000000}"/>
  <bookViews>
    <workbookView xWindow="0" yWindow="760" windowWidth="30240" windowHeight="17820" activeTab="9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7" r:id="rId7"/>
    <sheet name="SYSREV" sheetId="8" r:id="rId8"/>
    <sheet name="minp" sheetId="9" r:id="rId9"/>
    <sheet name="maxp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0" l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I2" i="10"/>
  <c r="H2" i="10"/>
  <c r="G2" i="10"/>
  <c r="F2" i="10"/>
  <c r="E2" i="10"/>
  <c r="D2" i="10"/>
  <c r="C2" i="10"/>
  <c r="B2" i="10"/>
  <c r="A5" i="10"/>
  <c r="A7" i="10" s="1"/>
  <c r="A9" i="10" s="1"/>
  <c r="A11" i="10" s="1"/>
  <c r="A13" i="10" s="1"/>
  <c r="A15" i="10" s="1"/>
  <c r="A17" i="10" s="1"/>
  <c r="A19" i="10" s="1"/>
  <c r="A21" i="10" s="1"/>
  <c r="A23" i="10" s="1"/>
  <c r="A25" i="10" s="1"/>
  <c r="A27" i="10" s="1"/>
  <c r="A29" i="10" s="1"/>
  <c r="A31" i="10" s="1"/>
  <c r="A33" i="10" s="1"/>
  <c r="A35" i="10" s="1"/>
  <c r="A4" i="10"/>
  <c r="A6" i="10" s="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I2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G2" i="9"/>
  <c r="F2" i="9"/>
  <c r="E2" i="9"/>
  <c r="D2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2" i="9"/>
  <c r="A5" i="9"/>
  <c r="A7" i="9" s="1"/>
  <c r="A9" i="9" s="1"/>
  <c r="A11" i="9" s="1"/>
  <c r="A13" i="9" s="1"/>
  <c r="A15" i="9" s="1"/>
  <c r="A17" i="9" s="1"/>
  <c r="A19" i="9" s="1"/>
  <c r="A21" i="9" s="1"/>
  <c r="A23" i="9" s="1"/>
  <c r="A25" i="9" s="1"/>
  <c r="A27" i="9" s="1"/>
  <c r="A29" i="9" s="1"/>
  <c r="A31" i="9" s="1"/>
  <c r="A33" i="9" s="1"/>
  <c r="A35" i="9" s="1"/>
  <c r="A4" i="9"/>
  <c r="A6" i="9" s="1"/>
  <c r="A8" i="9" s="1"/>
  <c r="A10" i="9" s="1"/>
  <c r="A12" i="9" s="1"/>
  <c r="A14" i="9" s="1"/>
  <c r="A16" i="9" s="1"/>
  <c r="A18" i="9" s="1"/>
  <c r="A20" i="9" s="1"/>
  <c r="A22" i="9" s="1"/>
  <c r="A24" i="9" s="1"/>
  <c r="A26" i="9" s="1"/>
  <c r="A28" i="9" s="1"/>
  <c r="A30" i="9" s="1"/>
  <c r="A32" i="9" s="1"/>
  <c r="A34" i="9" s="1"/>
  <c r="A36" i="9" s="1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C40" i="1"/>
  <c r="D40" i="1"/>
  <c r="E40" i="1"/>
  <c r="F40" i="1"/>
  <c r="G40" i="1"/>
  <c r="B40" i="1"/>
  <c r="C39" i="1"/>
  <c r="D39" i="1"/>
  <c r="E39" i="1"/>
  <c r="F39" i="1"/>
  <c r="G39" i="1"/>
  <c r="B39" i="1"/>
  <c r="C38" i="1"/>
  <c r="D38" i="1"/>
  <c r="E38" i="1"/>
  <c r="F38" i="1"/>
  <c r="G38" i="1"/>
  <c r="B38" i="1"/>
  <c r="K1" i="9" l="1" a="1"/>
  <c r="K1" i="9" s="1"/>
  <c r="A8" i="10"/>
  <c r="A10" i="10" s="1"/>
  <c r="A12" i="10" s="1"/>
  <c r="A14" i="10" s="1"/>
  <c r="A16" i="10" s="1"/>
  <c r="A18" i="10" s="1"/>
  <c r="A20" i="10" s="1"/>
  <c r="A22" i="10" s="1"/>
  <c r="A24" i="10" s="1"/>
  <c r="A26" i="10" s="1"/>
  <c r="A28" i="10" s="1"/>
  <c r="A30" i="10" s="1"/>
  <c r="A32" i="10" s="1"/>
  <c r="A34" i="10" s="1"/>
  <c r="A36" i="10" s="1"/>
  <c r="K1" i="10" a="1"/>
  <c r="K1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<sst xmlns="http://schemas.openxmlformats.org/spreadsheetml/2006/main" count="94" uniqueCount="20">
  <si>
    <t>Year</t>
    <phoneticPr fontId="1" type="noConversion"/>
  </si>
  <si>
    <t>SUM</t>
    <phoneticPr fontId="1" type="noConversion"/>
  </si>
  <si>
    <t>MAX</t>
    <phoneticPr fontId="1" type="noConversion"/>
  </si>
  <si>
    <t>MIN</t>
    <phoneticPr fontId="1" type="noConversion"/>
  </si>
  <si>
    <t>min_log_avg</t>
  </si>
  <si>
    <t>max_log_avy</t>
  </si>
  <si>
    <t>article_n</t>
  </si>
  <si>
    <t>abs_has_p</t>
  </si>
  <si>
    <t>min_count</t>
  </si>
  <si>
    <t>max_count</t>
  </si>
  <si>
    <t>Randomized controlled trial</t>
    <phoneticPr fontId="1" type="noConversion"/>
  </si>
  <si>
    <t>Clinical trial</t>
    <phoneticPr fontId="1" type="noConversion"/>
  </si>
  <si>
    <t>Meta-analysis</t>
    <phoneticPr fontId="1" type="noConversion"/>
  </si>
  <si>
    <t>Review</t>
    <phoneticPr fontId="1" type="noConversion"/>
  </si>
  <si>
    <t>Core clinical journal</t>
    <phoneticPr fontId="1" type="noConversion"/>
  </si>
  <si>
    <t>All MEDLINE</t>
    <phoneticPr fontId="1" type="noConversion"/>
  </si>
  <si>
    <t>min_p</t>
  </si>
  <si>
    <t>Observational_Study</t>
  </si>
  <si>
    <t>Systematical_review</t>
  </si>
  <si>
    <t>max_p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</si>
</sst>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G40"/>
  <sheetViews>
    <sheetView workbookViewId="0">
      <selection activeCell="A2" sqref="A2:G37"/>
    </sheetView>
  </sheetViews>
  <sheetFormatPr baseColWidth="10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2.2224208737315601</v>
      </c>
      <c r="C2">
        <v>1.65201864415115</v>
      </c>
      <c r="D2">
        <v>6146</v>
      </c>
      <c r="E2">
        <v>2091</v>
      </c>
      <c r="F2">
        <v>2091</v>
      </c>
      <c r="G2">
        <v>2091</v>
      </c>
    </row>
    <row r="3" spans="1:7" x14ac:dyDescent="0.2">
      <c r="A3">
        <v>1991</v>
      </c>
      <c r="B3">
        <v>2.2453785350452198</v>
      </c>
      <c r="C3">
        <v>1.6545194937719301</v>
      </c>
      <c r="D3">
        <v>6643</v>
      </c>
      <c r="E3">
        <v>2478</v>
      </c>
      <c r="F3">
        <v>2478</v>
      </c>
      <c r="G3">
        <v>2478</v>
      </c>
    </row>
    <row r="4" spans="1:7" x14ac:dyDescent="0.2">
      <c r="A4">
        <v>1992</v>
      </c>
      <c r="B4">
        <v>2.2494759346355799</v>
      </c>
      <c r="C4">
        <v>1.64820122352267</v>
      </c>
      <c r="D4">
        <v>7131</v>
      </c>
      <c r="E4">
        <v>2721</v>
      </c>
      <c r="F4">
        <v>2721</v>
      </c>
      <c r="G4">
        <v>2721</v>
      </c>
    </row>
    <row r="5" spans="1:7" x14ac:dyDescent="0.2">
      <c r="A5">
        <v>1993</v>
      </c>
      <c r="B5">
        <v>2.2571081775274799</v>
      </c>
      <c r="C5">
        <v>1.5809367944025701</v>
      </c>
      <c r="D5">
        <v>7747</v>
      </c>
      <c r="E5">
        <v>3054</v>
      </c>
      <c r="F5">
        <v>3054</v>
      </c>
      <c r="G5">
        <v>3054</v>
      </c>
    </row>
    <row r="6" spans="1:7" x14ac:dyDescent="0.2">
      <c r="A6">
        <v>1994</v>
      </c>
      <c r="B6">
        <v>2.2196394026200501</v>
      </c>
      <c r="C6">
        <v>1.5630536708429399</v>
      </c>
      <c r="D6">
        <v>8930</v>
      </c>
      <c r="E6">
        <v>3609</v>
      </c>
      <c r="F6">
        <v>3609</v>
      </c>
      <c r="G6">
        <v>3609</v>
      </c>
    </row>
    <row r="7" spans="1:7" x14ac:dyDescent="0.2">
      <c r="A7">
        <v>1995</v>
      </c>
      <c r="B7">
        <v>2.2640796081468002</v>
      </c>
      <c r="C7">
        <v>1.5578466590156601</v>
      </c>
      <c r="D7">
        <v>9770</v>
      </c>
      <c r="E7">
        <v>4066</v>
      </c>
      <c r="F7">
        <v>4066</v>
      </c>
      <c r="G7">
        <v>4066</v>
      </c>
    </row>
    <row r="8" spans="1:7" x14ac:dyDescent="0.2">
      <c r="A8">
        <v>1996</v>
      </c>
      <c r="B8">
        <v>2.3158244841069</v>
      </c>
      <c r="C8">
        <v>1.5784713430481001</v>
      </c>
      <c r="D8">
        <v>9611</v>
      </c>
      <c r="E8">
        <v>4165</v>
      </c>
      <c r="F8">
        <v>4165</v>
      </c>
      <c r="G8">
        <v>4165</v>
      </c>
    </row>
    <row r="9" spans="1:7" x14ac:dyDescent="0.2">
      <c r="A9">
        <v>1997</v>
      </c>
      <c r="B9">
        <v>2.2969221867693199</v>
      </c>
      <c r="C9">
        <v>1.5624182798638999</v>
      </c>
      <c r="D9">
        <v>9844</v>
      </c>
      <c r="E9">
        <v>4454</v>
      </c>
      <c r="F9">
        <v>4454</v>
      </c>
      <c r="G9">
        <v>4454</v>
      </c>
    </row>
    <row r="10" spans="1:7" x14ac:dyDescent="0.2">
      <c r="A10">
        <v>1998</v>
      </c>
      <c r="B10">
        <v>2.3041962600505301</v>
      </c>
      <c r="C10">
        <v>1.55236299536412</v>
      </c>
      <c r="D10">
        <v>10236</v>
      </c>
      <c r="E10">
        <v>4745</v>
      </c>
      <c r="F10">
        <v>4745</v>
      </c>
      <c r="G10">
        <v>4745</v>
      </c>
    </row>
    <row r="11" spans="1:7" x14ac:dyDescent="0.2">
      <c r="A11">
        <v>1999</v>
      </c>
      <c r="B11">
        <v>2.3271824118014099</v>
      </c>
      <c r="C11">
        <v>1.55673489625286</v>
      </c>
      <c r="D11">
        <v>10976</v>
      </c>
      <c r="E11">
        <v>5240</v>
      </c>
      <c r="F11">
        <v>5240</v>
      </c>
      <c r="G11">
        <v>5240</v>
      </c>
    </row>
    <row r="12" spans="1:7" x14ac:dyDescent="0.2">
      <c r="A12">
        <v>2000</v>
      </c>
      <c r="B12">
        <v>2.3091947808961599</v>
      </c>
      <c r="C12">
        <v>1.5266340291082501</v>
      </c>
      <c r="D12">
        <v>10684</v>
      </c>
      <c r="E12">
        <v>5102</v>
      </c>
      <c r="F12">
        <v>5102</v>
      </c>
      <c r="G12">
        <v>5102</v>
      </c>
    </row>
    <row r="13" spans="1:7" x14ac:dyDescent="0.2">
      <c r="A13">
        <v>2001</v>
      </c>
      <c r="B13">
        <v>2.3103623073684099</v>
      </c>
      <c r="C13">
        <v>1.5425208779484201</v>
      </c>
      <c r="D13">
        <v>11580</v>
      </c>
      <c r="E13">
        <v>5603</v>
      </c>
      <c r="F13">
        <v>5603</v>
      </c>
      <c r="G13">
        <v>5603</v>
      </c>
    </row>
    <row r="14" spans="1:7" x14ac:dyDescent="0.2">
      <c r="A14">
        <v>2002</v>
      </c>
      <c r="B14">
        <v>2.3112440530771901</v>
      </c>
      <c r="C14">
        <v>1.4894749331785999</v>
      </c>
      <c r="D14">
        <v>11717</v>
      </c>
      <c r="E14">
        <v>5900</v>
      </c>
      <c r="F14">
        <v>5900</v>
      </c>
      <c r="G14">
        <v>5900</v>
      </c>
    </row>
    <row r="15" spans="1:7" x14ac:dyDescent="0.2">
      <c r="A15">
        <v>2003</v>
      </c>
      <c r="B15">
        <v>2.3034117541996602</v>
      </c>
      <c r="C15">
        <v>1.50846512836709</v>
      </c>
      <c r="D15">
        <v>12990</v>
      </c>
      <c r="E15">
        <v>6740</v>
      </c>
      <c r="F15">
        <v>6740</v>
      </c>
      <c r="G15">
        <v>6740</v>
      </c>
    </row>
    <row r="16" spans="1:7" x14ac:dyDescent="0.2">
      <c r="A16">
        <v>2004</v>
      </c>
      <c r="B16">
        <v>2.29681478933573</v>
      </c>
      <c r="C16">
        <v>1.4840678147445601</v>
      </c>
      <c r="D16">
        <v>14793</v>
      </c>
      <c r="E16">
        <v>7545</v>
      </c>
      <c r="F16">
        <v>7545</v>
      </c>
      <c r="G16">
        <v>7545</v>
      </c>
    </row>
    <row r="17" spans="1:7" x14ac:dyDescent="0.2">
      <c r="A17">
        <v>2005</v>
      </c>
      <c r="B17">
        <v>2.30516404155768</v>
      </c>
      <c r="C17">
        <v>1.4751213517989401</v>
      </c>
      <c r="D17">
        <v>15867</v>
      </c>
      <c r="E17">
        <v>8411</v>
      </c>
      <c r="F17">
        <v>8411</v>
      </c>
      <c r="G17">
        <v>8411</v>
      </c>
    </row>
    <row r="18" spans="1:7" x14ac:dyDescent="0.2">
      <c r="A18">
        <v>2006</v>
      </c>
      <c r="B18">
        <v>2.2800748728288802</v>
      </c>
      <c r="C18">
        <v>1.46867908976943</v>
      </c>
      <c r="D18">
        <v>16986</v>
      </c>
      <c r="E18">
        <v>8957</v>
      </c>
      <c r="F18">
        <v>8957</v>
      </c>
      <c r="G18">
        <v>8957</v>
      </c>
    </row>
    <row r="19" spans="1:7" x14ac:dyDescent="0.2">
      <c r="A19">
        <v>2007</v>
      </c>
      <c r="B19">
        <v>2.2985661279452501</v>
      </c>
      <c r="C19">
        <v>1.4841411926899399</v>
      </c>
      <c r="D19">
        <v>18676</v>
      </c>
      <c r="E19">
        <v>9806</v>
      </c>
      <c r="F19">
        <v>9806</v>
      </c>
      <c r="G19">
        <v>9806</v>
      </c>
    </row>
    <row r="20" spans="1:7" x14ac:dyDescent="0.2">
      <c r="A20">
        <v>2008</v>
      </c>
      <c r="B20">
        <v>2.3058557160601501</v>
      </c>
      <c r="C20">
        <v>1.46491321409815</v>
      </c>
      <c r="D20">
        <v>19216</v>
      </c>
      <c r="E20">
        <v>10197</v>
      </c>
      <c r="F20">
        <v>10197</v>
      </c>
      <c r="G20">
        <v>10197</v>
      </c>
    </row>
    <row r="21" spans="1:7" x14ac:dyDescent="0.2">
      <c r="A21">
        <v>2009</v>
      </c>
      <c r="B21">
        <v>2.2963289764381201</v>
      </c>
      <c r="C21">
        <v>1.4434643923128201</v>
      </c>
      <c r="D21">
        <v>20310</v>
      </c>
      <c r="E21">
        <v>10924</v>
      </c>
      <c r="F21">
        <v>10924</v>
      </c>
      <c r="G21">
        <v>10924</v>
      </c>
    </row>
    <row r="22" spans="1:7" x14ac:dyDescent="0.2">
      <c r="A22">
        <v>2010</v>
      </c>
      <c r="B22">
        <v>2.2689466815873498</v>
      </c>
      <c r="C22">
        <v>1.4277570713561001</v>
      </c>
      <c r="D22">
        <v>22206</v>
      </c>
      <c r="E22">
        <v>11731</v>
      </c>
      <c r="F22">
        <v>11731</v>
      </c>
      <c r="G22">
        <v>11731</v>
      </c>
    </row>
    <row r="23" spans="1:7" x14ac:dyDescent="0.2">
      <c r="A23">
        <v>2011</v>
      </c>
      <c r="B23">
        <v>2.2939257077559199</v>
      </c>
      <c r="C23">
        <v>1.4258092549069801</v>
      </c>
      <c r="D23">
        <v>24998</v>
      </c>
      <c r="E23">
        <v>12904</v>
      </c>
      <c r="F23">
        <v>12904</v>
      </c>
      <c r="G23">
        <v>12904</v>
      </c>
    </row>
    <row r="24" spans="1:7" x14ac:dyDescent="0.2">
      <c r="A24">
        <v>2012</v>
      </c>
      <c r="B24">
        <v>2.3018726342552598</v>
      </c>
      <c r="C24">
        <v>1.4074998811571</v>
      </c>
      <c r="D24">
        <v>27142</v>
      </c>
      <c r="E24">
        <v>14212</v>
      </c>
      <c r="F24">
        <v>14212</v>
      </c>
      <c r="G24">
        <v>14212</v>
      </c>
    </row>
    <row r="25" spans="1:7" x14ac:dyDescent="0.2">
      <c r="A25">
        <v>2013</v>
      </c>
      <c r="B25">
        <v>2.2861360602907501</v>
      </c>
      <c r="C25">
        <v>1.40217533711261</v>
      </c>
      <c r="D25">
        <v>29398</v>
      </c>
      <c r="E25">
        <v>15050</v>
      </c>
      <c r="F25">
        <v>15050</v>
      </c>
      <c r="G25">
        <v>15050</v>
      </c>
    </row>
    <row r="26" spans="1:7" x14ac:dyDescent="0.2">
      <c r="A26">
        <v>2014</v>
      </c>
      <c r="B26">
        <v>2.2823257210519601</v>
      </c>
      <c r="C26">
        <v>1.3788168991327601</v>
      </c>
      <c r="D26">
        <v>29674</v>
      </c>
      <c r="E26">
        <v>15445</v>
      </c>
      <c r="F26">
        <v>15445</v>
      </c>
      <c r="G26">
        <v>15445</v>
      </c>
    </row>
    <row r="27" spans="1:7" x14ac:dyDescent="0.2">
      <c r="A27">
        <v>2015</v>
      </c>
      <c r="B27">
        <v>2.2670348820862598</v>
      </c>
      <c r="C27">
        <v>1.3722965283291999</v>
      </c>
      <c r="D27">
        <v>29395</v>
      </c>
      <c r="E27">
        <v>15469</v>
      </c>
      <c r="F27">
        <v>15469</v>
      </c>
      <c r="G27">
        <v>15469</v>
      </c>
    </row>
    <row r="28" spans="1:7" x14ac:dyDescent="0.2">
      <c r="A28">
        <v>2016</v>
      </c>
      <c r="B28">
        <v>2.2642549415000599</v>
      </c>
      <c r="C28">
        <v>1.35087387760838</v>
      </c>
      <c r="D28">
        <v>28269</v>
      </c>
      <c r="E28">
        <v>14963</v>
      </c>
      <c r="F28">
        <v>14963</v>
      </c>
      <c r="G28">
        <v>14963</v>
      </c>
    </row>
    <row r="29" spans="1:7" x14ac:dyDescent="0.2">
      <c r="A29">
        <v>2017</v>
      </c>
      <c r="B29">
        <v>2.2452328474379701</v>
      </c>
      <c r="C29">
        <v>1.3413110816218701</v>
      </c>
      <c r="D29">
        <v>28112</v>
      </c>
      <c r="E29">
        <v>15028</v>
      </c>
      <c r="F29">
        <v>15028</v>
      </c>
      <c r="G29">
        <v>15028</v>
      </c>
    </row>
    <row r="30" spans="1:7" x14ac:dyDescent="0.2">
      <c r="A30">
        <v>2018</v>
      </c>
      <c r="B30">
        <v>2.24740001713075</v>
      </c>
      <c r="C30">
        <v>1.3531967621579299</v>
      </c>
      <c r="D30">
        <v>26683</v>
      </c>
      <c r="E30">
        <v>14714</v>
      </c>
      <c r="F30">
        <v>14714</v>
      </c>
      <c r="G30">
        <v>14714</v>
      </c>
    </row>
    <row r="31" spans="1:7" x14ac:dyDescent="0.2">
      <c r="A31">
        <v>2019</v>
      </c>
      <c r="B31">
        <v>2.2554744719356998</v>
      </c>
      <c r="C31">
        <v>1.35108910243665</v>
      </c>
      <c r="D31">
        <v>26493</v>
      </c>
      <c r="E31">
        <v>14642</v>
      </c>
      <c r="F31">
        <v>14642</v>
      </c>
      <c r="G31">
        <v>14642</v>
      </c>
    </row>
    <row r="32" spans="1:7" x14ac:dyDescent="0.2">
      <c r="A32">
        <v>2020</v>
      </c>
      <c r="B32">
        <v>2.23476260925794</v>
      </c>
      <c r="C32">
        <v>1.3368378649286301</v>
      </c>
      <c r="D32">
        <v>28524</v>
      </c>
      <c r="E32">
        <v>15990</v>
      </c>
      <c r="F32">
        <v>15990</v>
      </c>
      <c r="G32">
        <v>15990</v>
      </c>
    </row>
    <row r="33" spans="1:7" x14ac:dyDescent="0.2">
      <c r="A33">
        <v>2021</v>
      </c>
      <c r="B33">
        <v>2.2257171576125301</v>
      </c>
      <c r="C33">
        <v>1.3266230183533201</v>
      </c>
      <c r="D33">
        <v>29569</v>
      </c>
      <c r="E33">
        <v>16539</v>
      </c>
      <c r="F33">
        <v>16539</v>
      </c>
      <c r="G33">
        <v>16539</v>
      </c>
    </row>
    <row r="34" spans="1:7" x14ac:dyDescent="0.2">
      <c r="A34">
        <v>2022</v>
      </c>
      <c r="B34">
        <v>2.2208663148059999</v>
      </c>
      <c r="C34">
        <v>1.34405054412652</v>
      </c>
      <c r="D34">
        <v>28591</v>
      </c>
      <c r="E34">
        <v>15884</v>
      </c>
      <c r="F34">
        <v>15884</v>
      </c>
      <c r="G34">
        <v>15884</v>
      </c>
    </row>
    <row r="35" spans="1:7" x14ac:dyDescent="0.2">
      <c r="A35">
        <v>2023</v>
      </c>
      <c r="B35">
        <v>2.2216179783240899</v>
      </c>
      <c r="C35">
        <v>1.32393111877785</v>
      </c>
      <c r="D35">
        <v>25344</v>
      </c>
      <c r="E35">
        <v>14066</v>
      </c>
      <c r="F35">
        <v>14066</v>
      </c>
      <c r="G35">
        <v>14066</v>
      </c>
    </row>
    <row r="36" spans="1:7" x14ac:dyDescent="0.2">
      <c r="A36">
        <v>2024</v>
      </c>
      <c r="B36">
        <v>2.2425942939014898</v>
      </c>
      <c r="C36">
        <v>1.3520616480751699</v>
      </c>
      <c r="D36">
        <v>27230</v>
      </c>
      <c r="E36">
        <v>15733</v>
      </c>
      <c r="F36">
        <v>15733</v>
      </c>
      <c r="G36">
        <v>15733</v>
      </c>
    </row>
    <row r="37" spans="1:7" x14ac:dyDescent="0.2">
      <c r="A37">
        <v>2025</v>
      </c>
      <c r="B37">
        <v>2.2464155302096902</v>
      </c>
      <c r="C37">
        <v>1.3491475332191101</v>
      </c>
      <c r="D37">
        <v>17160</v>
      </c>
      <c r="E37">
        <v>10002</v>
      </c>
      <c r="F37">
        <v>10002</v>
      </c>
      <c r="G37">
        <v>10002</v>
      </c>
    </row>
    <row r="38" spans="1:7" x14ac:dyDescent="0.2">
      <c r="A38" t="s">
        <v>1</v>
      </c>
      <c r="B38">
        <f t="shared" ref="B38:G38" si="0">SUM(B2:B37)</f>
        <v>81.823823143285807</v>
      </c>
      <c r="C38">
        <f t="shared" si="0"/>
        <v>52.63752354755227</v>
      </c>
      <c r="D38">
        <f t="shared" si="0"/>
        <v>668641</v>
      </c>
      <c r="E38">
        <f t="shared" si="0"/>
        <v>348180</v>
      </c>
      <c r="F38">
        <f t="shared" si="0"/>
        <v>348180</v>
      </c>
      <c r="G38">
        <f t="shared" si="0"/>
        <v>348180</v>
      </c>
    </row>
    <row r="39" spans="1:7" x14ac:dyDescent="0.2">
      <c r="A39" t="s">
        <v>2</v>
      </c>
      <c r="B39">
        <f>MAX(B2:B37)</f>
        <v>2.3271824118014099</v>
      </c>
      <c r="C39">
        <f t="shared" ref="C39:G39" si="1">MAX(C2:C37)</f>
        <v>1.6545194937719301</v>
      </c>
      <c r="D39">
        <f t="shared" si="1"/>
        <v>29674</v>
      </c>
      <c r="E39">
        <f t="shared" si="1"/>
        <v>16539</v>
      </c>
      <c r="F39">
        <f t="shared" si="1"/>
        <v>16539</v>
      </c>
      <c r="G39">
        <f t="shared" si="1"/>
        <v>16539</v>
      </c>
    </row>
    <row r="40" spans="1:7" x14ac:dyDescent="0.2">
      <c r="A40" t="s">
        <v>3</v>
      </c>
      <c r="B40">
        <f>MIN(B2:B37)</f>
        <v>2.2196394026200501</v>
      </c>
      <c r="C40">
        <f t="shared" ref="C40:G40" si="2">MIN(C2:C37)</f>
        <v>1.32393111877785</v>
      </c>
      <c r="D40">
        <f t="shared" si="2"/>
        <v>6146</v>
      </c>
      <c r="E40">
        <f t="shared" si="2"/>
        <v>2091</v>
      </c>
      <c r="F40">
        <f t="shared" si="2"/>
        <v>2091</v>
      </c>
      <c r="G40">
        <f t="shared" si="2"/>
        <v>2091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G40"/>
  <sheetViews>
    <sheetView workbookViewId="0">
      <selection activeCell="A2" sqref="A2:G37"/>
    </sheetView>
  </sheetViews>
  <sheetFormatPr baseColWidth="10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2.3327823639949501</v>
      </c>
      <c r="C2">
        <v>1.73095944257703</v>
      </c>
      <c r="D2">
        <v>4068</v>
      </c>
      <c r="E2">
        <v>746</v>
      </c>
      <c r="F2">
        <v>746</v>
      </c>
      <c r="G2">
        <v>746</v>
      </c>
    </row>
    <row r="3" spans="1:7" x14ac:dyDescent="0.2">
      <c r="A3">
        <v>1991</v>
      </c>
      <c r="B3">
        <v>2.4221504868872299</v>
      </c>
      <c r="C3">
        <v>1.81921997732185</v>
      </c>
      <c r="D3">
        <v>4160</v>
      </c>
      <c r="E3">
        <v>857</v>
      </c>
      <c r="F3">
        <v>857</v>
      </c>
      <c r="G3">
        <v>857</v>
      </c>
    </row>
    <row r="4" spans="1:7" x14ac:dyDescent="0.2">
      <c r="A4">
        <v>1992</v>
      </c>
      <c r="B4">
        <v>2.3655092458042102</v>
      </c>
      <c r="C4">
        <v>1.77503389442875</v>
      </c>
      <c r="D4">
        <v>3780</v>
      </c>
      <c r="E4">
        <v>783</v>
      </c>
      <c r="F4">
        <v>783</v>
      </c>
      <c r="G4">
        <v>783</v>
      </c>
    </row>
    <row r="5" spans="1:7" x14ac:dyDescent="0.2">
      <c r="A5">
        <v>1993</v>
      </c>
      <c r="B5">
        <v>2.3606551825969602</v>
      </c>
      <c r="C5">
        <v>1.77678132562663</v>
      </c>
      <c r="D5">
        <v>3701</v>
      </c>
      <c r="E5">
        <v>864</v>
      </c>
      <c r="F5">
        <v>864</v>
      </c>
      <c r="G5">
        <v>864</v>
      </c>
    </row>
    <row r="6" spans="1:7" x14ac:dyDescent="0.2">
      <c r="A6">
        <v>1994</v>
      </c>
      <c r="B6">
        <v>2.3908214776244199</v>
      </c>
      <c r="C6">
        <v>1.7515506730933199</v>
      </c>
      <c r="D6">
        <v>8513</v>
      </c>
      <c r="E6">
        <v>2145</v>
      </c>
      <c r="F6">
        <v>2145</v>
      </c>
      <c r="G6">
        <v>2145</v>
      </c>
    </row>
    <row r="7" spans="1:7" x14ac:dyDescent="0.2">
      <c r="A7">
        <v>1995</v>
      </c>
      <c r="B7">
        <v>2.4253481230735101</v>
      </c>
      <c r="C7">
        <v>1.78540626340757</v>
      </c>
      <c r="D7">
        <v>9318</v>
      </c>
      <c r="E7">
        <v>2290</v>
      </c>
      <c r="F7">
        <v>2290</v>
      </c>
      <c r="G7">
        <v>2290</v>
      </c>
    </row>
    <row r="8" spans="1:7" x14ac:dyDescent="0.2">
      <c r="A8">
        <v>1996</v>
      </c>
      <c r="B8">
        <v>2.4024740940790599</v>
      </c>
      <c r="C8">
        <v>1.7232857819785801</v>
      </c>
      <c r="D8">
        <v>8830</v>
      </c>
      <c r="E8">
        <v>2245</v>
      </c>
      <c r="F8">
        <v>2245</v>
      </c>
      <c r="G8">
        <v>2245</v>
      </c>
    </row>
    <row r="9" spans="1:7" x14ac:dyDescent="0.2">
      <c r="A9">
        <v>1997</v>
      </c>
      <c r="B9">
        <v>2.4485167403214998</v>
      </c>
      <c r="C9">
        <v>1.75468936908809</v>
      </c>
      <c r="D9">
        <v>10309</v>
      </c>
      <c r="E9">
        <v>2581</v>
      </c>
      <c r="F9">
        <v>2581</v>
      </c>
      <c r="G9">
        <v>2581</v>
      </c>
    </row>
    <row r="10" spans="1:7" x14ac:dyDescent="0.2">
      <c r="A10">
        <v>1998</v>
      </c>
      <c r="B10">
        <v>2.4434122259577302</v>
      </c>
      <c r="C10">
        <v>1.72579792301086</v>
      </c>
      <c r="D10">
        <v>10351</v>
      </c>
      <c r="E10">
        <v>2676</v>
      </c>
      <c r="F10">
        <v>2676</v>
      </c>
      <c r="G10">
        <v>2676</v>
      </c>
    </row>
    <row r="11" spans="1:7" x14ac:dyDescent="0.2">
      <c r="A11">
        <v>1999</v>
      </c>
      <c r="B11">
        <v>2.4668822442402099</v>
      </c>
      <c r="C11">
        <v>1.73472175537674</v>
      </c>
      <c r="D11">
        <v>11277</v>
      </c>
      <c r="E11">
        <v>3059</v>
      </c>
      <c r="F11">
        <v>3059</v>
      </c>
      <c r="G11">
        <v>3059</v>
      </c>
    </row>
    <row r="12" spans="1:7" x14ac:dyDescent="0.2">
      <c r="A12">
        <v>2000</v>
      </c>
      <c r="B12">
        <v>2.4663423008461098</v>
      </c>
      <c r="C12">
        <v>1.75266578569016</v>
      </c>
      <c r="D12">
        <v>10709</v>
      </c>
      <c r="E12">
        <v>3132</v>
      </c>
      <c r="F12">
        <v>3132</v>
      </c>
      <c r="G12">
        <v>3132</v>
      </c>
    </row>
    <row r="13" spans="1:7" x14ac:dyDescent="0.2">
      <c r="A13">
        <v>2001</v>
      </c>
      <c r="B13">
        <v>2.4819766101019902</v>
      </c>
      <c r="C13">
        <v>1.6997159093928</v>
      </c>
      <c r="D13">
        <v>8921</v>
      </c>
      <c r="E13">
        <v>2620</v>
      </c>
      <c r="F13">
        <v>2620</v>
      </c>
      <c r="G13">
        <v>2620</v>
      </c>
    </row>
    <row r="14" spans="1:7" x14ac:dyDescent="0.2">
      <c r="A14">
        <v>2002</v>
      </c>
      <c r="B14">
        <v>2.4467881874595601</v>
      </c>
      <c r="C14">
        <v>1.71596019305071</v>
      </c>
      <c r="D14">
        <v>9296</v>
      </c>
      <c r="E14">
        <v>2826</v>
      </c>
      <c r="F14">
        <v>2826</v>
      </c>
      <c r="G14">
        <v>2826</v>
      </c>
    </row>
    <row r="15" spans="1:7" x14ac:dyDescent="0.2">
      <c r="A15">
        <v>2003</v>
      </c>
      <c r="B15">
        <v>2.4874081597365998</v>
      </c>
      <c r="C15">
        <v>1.7273440896385399</v>
      </c>
      <c r="D15">
        <v>11233</v>
      </c>
      <c r="E15">
        <v>3577</v>
      </c>
      <c r="F15">
        <v>3577</v>
      </c>
      <c r="G15">
        <v>3577</v>
      </c>
    </row>
    <row r="16" spans="1:7" x14ac:dyDescent="0.2">
      <c r="A16">
        <v>2004</v>
      </c>
      <c r="B16">
        <v>2.4625686940384099</v>
      </c>
      <c r="C16">
        <v>1.70270693763523</v>
      </c>
      <c r="D16">
        <v>12339</v>
      </c>
      <c r="E16">
        <v>3841</v>
      </c>
      <c r="F16">
        <v>3841</v>
      </c>
      <c r="G16">
        <v>3841</v>
      </c>
    </row>
    <row r="17" spans="1:7" x14ac:dyDescent="0.2">
      <c r="A17">
        <v>2005</v>
      </c>
      <c r="B17">
        <v>2.4449493889702998</v>
      </c>
      <c r="C17">
        <v>1.69777073600344</v>
      </c>
      <c r="D17">
        <v>13858</v>
      </c>
      <c r="E17">
        <v>4328</v>
      </c>
      <c r="F17">
        <v>4328</v>
      </c>
      <c r="G17">
        <v>4328</v>
      </c>
    </row>
    <row r="18" spans="1:7" x14ac:dyDescent="0.2">
      <c r="A18">
        <v>2006</v>
      </c>
      <c r="B18">
        <v>2.4492606896812998</v>
      </c>
      <c r="C18">
        <v>1.6723195269892701</v>
      </c>
      <c r="D18">
        <v>12375</v>
      </c>
      <c r="E18">
        <v>4111</v>
      </c>
      <c r="F18">
        <v>4111</v>
      </c>
      <c r="G18">
        <v>4111</v>
      </c>
    </row>
    <row r="19" spans="1:7" x14ac:dyDescent="0.2">
      <c r="A19">
        <v>2007</v>
      </c>
      <c r="B19">
        <v>2.42027756132397</v>
      </c>
      <c r="C19">
        <v>1.6512834935229901</v>
      </c>
      <c r="D19">
        <v>11756</v>
      </c>
      <c r="E19">
        <v>4113</v>
      </c>
      <c r="F19">
        <v>4113</v>
      </c>
      <c r="G19">
        <v>4113</v>
      </c>
    </row>
    <row r="20" spans="1:7" x14ac:dyDescent="0.2">
      <c r="A20">
        <v>2008</v>
      </c>
      <c r="B20">
        <v>2.4289556108752</v>
      </c>
      <c r="C20">
        <v>1.6694082967988599</v>
      </c>
      <c r="D20">
        <v>10830</v>
      </c>
      <c r="E20">
        <v>3866</v>
      </c>
      <c r="F20">
        <v>3866</v>
      </c>
      <c r="G20">
        <v>3866</v>
      </c>
    </row>
    <row r="21" spans="1:7" x14ac:dyDescent="0.2">
      <c r="A21">
        <v>2009</v>
      </c>
      <c r="B21">
        <v>2.4330374148201002</v>
      </c>
      <c r="C21">
        <v>1.6657230250236501</v>
      </c>
      <c r="D21">
        <v>10579</v>
      </c>
      <c r="E21">
        <v>3724</v>
      </c>
      <c r="F21">
        <v>3724</v>
      </c>
      <c r="G21">
        <v>3724</v>
      </c>
    </row>
    <row r="22" spans="1:7" x14ac:dyDescent="0.2">
      <c r="A22">
        <v>2010</v>
      </c>
      <c r="B22">
        <v>2.4458474114664801</v>
      </c>
      <c r="C22">
        <v>1.6681969684268001</v>
      </c>
      <c r="D22">
        <v>10737</v>
      </c>
      <c r="E22">
        <v>3910</v>
      </c>
      <c r="F22">
        <v>3910</v>
      </c>
      <c r="G22">
        <v>3910</v>
      </c>
    </row>
    <row r="23" spans="1:7" x14ac:dyDescent="0.2">
      <c r="A23">
        <v>2011</v>
      </c>
      <c r="B23">
        <v>2.45221428938151</v>
      </c>
      <c r="C23">
        <v>1.6353070693151599</v>
      </c>
      <c r="D23">
        <v>12198</v>
      </c>
      <c r="E23">
        <v>4521</v>
      </c>
      <c r="F23">
        <v>4521</v>
      </c>
      <c r="G23">
        <v>4521</v>
      </c>
    </row>
    <row r="24" spans="1:7" x14ac:dyDescent="0.2">
      <c r="A24">
        <v>2012</v>
      </c>
      <c r="B24">
        <v>2.4413596026910098</v>
      </c>
      <c r="C24">
        <v>1.62056160997603</v>
      </c>
      <c r="D24">
        <v>13483</v>
      </c>
      <c r="E24">
        <v>5008</v>
      </c>
      <c r="F24">
        <v>5008</v>
      </c>
      <c r="G24">
        <v>5008</v>
      </c>
    </row>
    <row r="25" spans="1:7" x14ac:dyDescent="0.2">
      <c r="A25">
        <v>2013</v>
      </c>
      <c r="B25">
        <v>2.4734351841061599</v>
      </c>
      <c r="C25">
        <v>1.6390481614861501</v>
      </c>
      <c r="D25">
        <v>13984</v>
      </c>
      <c r="E25">
        <v>5380</v>
      </c>
      <c r="F25">
        <v>5380</v>
      </c>
      <c r="G25">
        <v>5380</v>
      </c>
    </row>
    <row r="26" spans="1:7" x14ac:dyDescent="0.2">
      <c r="A26">
        <v>2014</v>
      </c>
      <c r="B26">
        <v>2.4986951341136199</v>
      </c>
      <c r="C26">
        <v>1.6219905733429401</v>
      </c>
      <c r="D26">
        <v>12927</v>
      </c>
      <c r="E26">
        <v>4993</v>
      </c>
      <c r="F26">
        <v>4993</v>
      </c>
      <c r="G26">
        <v>4993</v>
      </c>
    </row>
    <row r="27" spans="1:7" x14ac:dyDescent="0.2">
      <c r="A27">
        <v>2015</v>
      </c>
      <c r="B27">
        <v>2.54776253795779</v>
      </c>
      <c r="C27">
        <v>1.6425270347557199</v>
      </c>
      <c r="D27">
        <v>11502</v>
      </c>
      <c r="E27">
        <v>4590</v>
      </c>
      <c r="F27">
        <v>4590</v>
      </c>
      <c r="G27">
        <v>4590</v>
      </c>
    </row>
    <row r="28" spans="1:7" x14ac:dyDescent="0.2">
      <c r="A28">
        <v>2016</v>
      </c>
      <c r="B28">
        <v>2.5216822563320802</v>
      </c>
      <c r="C28">
        <v>1.6191795455434801</v>
      </c>
      <c r="D28">
        <v>9988</v>
      </c>
      <c r="E28">
        <v>4000</v>
      </c>
      <c r="F28">
        <v>4000</v>
      </c>
      <c r="G28">
        <v>4000</v>
      </c>
    </row>
    <row r="29" spans="1:7" x14ac:dyDescent="0.2">
      <c r="A29">
        <v>2017</v>
      </c>
      <c r="B29">
        <v>2.43757031105614</v>
      </c>
      <c r="C29">
        <v>1.5690405136344201</v>
      </c>
      <c r="D29">
        <v>9482</v>
      </c>
      <c r="E29">
        <v>3747</v>
      </c>
      <c r="F29">
        <v>3747</v>
      </c>
      <c r="G29">
        <v>3747</v>
      </c>
    </row>
    <row r="30" spans="1:7" x14ac:dyDescent="0.2">
      <c r="A30">
        <v>2018</v>
      </c>
      <c r="B30">
        <v>2.4701827978958599</v>
      </c>
      <c r="C30">
        <v>1.6296919346104</v>
      </c>
      <c r="D30">
        <v>9557</v>
      </c>
      <c r="E30">
        <v>3708</v>
      </c>
      <c r="F30">
        <v>3708</v>
      </c>
      <c r="G30">
        <v>3708</v>
      </c>
    </row>
    <row r="31" spans="1:7" x14ac:dyDescent="0.2">
      <c r="A31">
        <v>2019</v>
      </c>
      <c r="B31">
        <v>2.4614211914894399</v>
      </c>
      <c r="C31">
        <v>1.6239592302233601</v>
      </c>
      <c r="D31">
        <v>9701</v>
      </c>
      <c r="E31">
        <v>3660</v>
      </c>
      <c r="F31">
        <v>3660</v>
      </c>
      <c r="G31">
        <v>3660</v>
      </c>
    </row>
    <row r="32" spans="1:7" x14ac:dyDescent="0.2">
      <c r="A32">
        <v>2020</v>
      </c>
      <c r="B32">
        <v>2.48383386746174</v>
      </c>
      <c r="C32">
        <v>1.6065405089873199</v>
      </c>
      <c r="D32">
        <v>8039</v>
      </c>
      <c r="E32">
        <v>2855</v>
      </c>
      <c r="F32">
        <v>2855</v>
      </c>
      <c r="G32">
        <v>2855</v>
      </c>
    </row>
    <row r="33" spans="1:7" x14ac:dyDescent="0.2">
      <c r="A33">
        <v>2021</v>
      </c>
      <c r="B33">
        <v>2.48011324988896</v>
      </c>
      <c r="C33">
        <v>1.59725533396302</v>
      </c>
      <c r="D33">
        <v>7713</v>
      </c>
      <c r="E33">
        <v>2678</v>
      </c>
      <c r="F33">
        <v>2678</v>
      </c>
      <c r="G33">
        <v>2678</v>
      </c>
    </row>
    <row r="34" spans="1:7" x14ac:dyDescent="0.2">
      <c r="A34">
        <v>2022</v>
      </c>
      <c r="B34">
        <v>2.4794931755261498</v>
      </c>
      <c r="C34">
        <v>1.6124834959023699</v>
      </c>
      <c r="D34">
        <v>5699</v>
      </c>
      <c r="E34">
        <v>2016</v>
      </c>
      <c r="F34">
        <v>2016</v>
      </c>
      <c r="G34">
        <v>2016</v>
      </c>
    </row>
    <row r="35" spans="1:7" x14ac:dyDescent="0.2">
      <c r="A35">
        <v>2023</v>
      </c>
      <c r="B35">
        <v>2.45762401668398</v>
      </c>
      <c r="C35">
        <v>1.59327178831671</v>
      </c>
      <c r="D35">
        <v>4691</v>
      </c>
      <c r="E35">
        <v>1640</v>
      </c>
      <c r="F35">
        <v>1640</v>
      </c>
      <c r="G35">
        <v>1640</v>
      </c>
    </row>
    <row r="36" spans="1:7" x14ac:dyDescent="0.2">
      <c r="A36">
        <v>2024</v>
      </c>
      <c r="B36">
        <v>2.4181170754827099</v>
      </c>
      <c r="C36">
        <v>1.6141666318308701</v>
      </c>
      <c r="D36">
        <v>4351</v>
      </c>
      <c r="E36">
        <v>1351</v>
      </c>
      <c r="F36">
        <v>1351</v>
      </c>
      <c r="G36">
        <v>1351</v>
      </c>
    </row>
    <row r="37" spans="1:7" x14ac:dyDescent="0.2">
      <c r="A37">
        <v>2025</v>
      </c>
      <c r="B37">
        <v>2.4906608367077401</v>
      </c>
      <c r="C37">
        <v>1.69409218571474</v>
      </c>
      <c r="D37">
        <v>2848</v>
      </c>
      <c r="E37">
        <v>869</v>
      </c>
      <c r="F37">
        <v>869</v>
      </c>
      <c r="G37">
        <v>869</v>
      </c>
    </row>
    <row r="38" spans="1:7" x14ac:dyDescent="0.2">
      <c r="A38" t="s">
        <v>1</v>
      </c>
      <c r="B38">
        <f t="shared" ref="B38:G38" si="0">SUM(B2:B37)</f>
        <v>88.140129740674681</v>
      </c>
      <c r="C38">
        <f t="shared" si="0"/>
        <v>60.51965698568457</v>
      </c>
      <c r="D38">
        <f t="shared" si="0"/>
        <v>333103</v>
      </c>
      <c r="E38">
        <f t="shared" si="0"/>
        <v>109310</v>
      </c>
      <c r="F38">
        <f t="shared" si="0"/>
        <v>109310</v>
      </c>
      <c r="G38">
        <f t="shared" si="0"/>
        <v>109310</v>
      </c>
    </row>
    <row r="39" spans="1:7" x14ac:dyDescent="0.2">
      <c r="A39" t="s">
        <v>2</v>
      </c>
      <c r="B39">
        <f>MAX(B2:B37)</f>
        <v>2.54776253795779</v>
      </c>
      <c r="C39">
        <f t="shared" ref="C39:G39" si="1">MAX(C2:C37)</f>
        <v>1.81921997732185</v>
      </c>
      <c r="D39">
        <f t="shared" si="1"/>
        <v>13984</v>
      </c>
      <c r="E39">
        <f t="shared" si="1"/>
        <v>5380</v>
      </c>
      <c r="F39">
        <f t="shared" si="1"/>
        <v>5380</v>
      </c>
      <c r="G39">
        <f t="shared" si="1"/>
        <v>5380</v>
      </c>
    </row>
    <row r="40" spans="1:7" x14ac:dyDescent="0.2">
      <c r="A40" t="s">
        <v>3</v>
      </c>
      <c r="B40">
        <f>MIN(B2:B37)</f>
        <v>2.3327823639949501</v>
      </c>
      <c r="C40">
        <f t="shared" ref="C40:G40" si="2">MIN(C2:C37)</f>
        <v>1.5690405136344201</v>
      </c>
      <c r="D40">
        <f t="shared" si="2"/>
        <v>2848</v>
      </c>
      <c r="E40">
        <f t="shared" si="2"/>
        <v>746</v>
      </c>
      <c r="F40">
        <f t="shared" si="2"/>
        <v>746</v>
      </c>
      <c r="G40">
        <f t="shared" si="2"/>
        <v>746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G40"/>
  <sheetViews>
    <sheetView workbookViewId="0">
      <selection activeCell="A2" sqref="A2:G37"/>
    </sheetView>
  </sheetViews>
  <sheetFormatPr baseColWidth="10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2.4630978288188698</v>
      </c>
      <c r="C2">
        <v>1.82768938284393</v>
      </c>
      <c r="D2">
        <v>214</v>
      </c>
      <c r="E2">
        <v>30</v>
      </c>
      <c r="F2">
        <v>30</v>
      </c>
      <c r="G2">
        <v>30</v>
      </c>
    </row>
    <row r="3" spans="1:7" x14ac:dyDescent="0.2">
      <c r="A3">
        <v>1991</v>
      </c>
      <c r="B3">
        <v>2.5130426920395701</v>
      </c>
      <c r="C3">
        <v>1.74336296827397</v>
      </c>
      <c r="D3">
        <v>268</v>
      </c>
      <c r="E3">
        <v>35</v>
      </c>
      <c r="F3">
        <v>35</v>
      </c>
      <c r="G3">
        <v>35</v>
      </c>
    </row>
    <row r="4" spans="1:7" x14ac:dyDescent="0.2">
      <c r="A4">
        <v>1992</v>
      </c>
      <c r="B4">
        <v>2.6114583366964301</v>
      </c>
      <c r="C4">
        <v>1.7688476033315199</v>
      </c>
      <c r="D4">
        <v>304</v>
      </c>
      <c r="E4">
        <v>41</v>
      </c>
      <c r="F4">
        <v>41</v>
      </c>
      <c r="G4">
        <v>41</v>
      </c>
    </row>
    <row r="5" spans="1:7" x14ac:dyDescent="0.2">
      <c r="A5">
        <v>1993</v>
      </c>
      <c r="B5">
        <v>2.7393964262842898</v>
      </c>
      <c r="C5">
        <v>1.7648855246027699</v>
      </c>
      <c r="D5">
        <v>274</v>
      </c>
      <c r="E5">
        <v>59</v>
      </c>
      <c r="F5">
        <v>59</v>
      </c>
      <c r="G5">
        <v>59</v>
      </c>
    </row>
    <row r="6" spans="1:7" x14ac:dyDescent="0.2">
      <c r="A6">
        <v>1994</v>
      </c>
      <c r="B6">
        <v>3.0798812096810799</v>
      </c>
      <c r="C6">
        <v>1.77097949143313</v>
      </c>
      <c r="D6">
        <v>348</v>
      </c>
      <c r="E6">
        <v>62</v>
      </c>
      <c r="F6">
        <v>62</v>
      </c>
      <c r="G6">
        <v>62</v>
      </c>
    </row>
    <row r="7" spans="1:7" x14ac:dyDescent="0.2">
      <c r="A7">
        <v>1995</v>
      </c>
      <c r="B7">
        <v>2.45109412781252</v>
      </c>
      <c r="C7">
        <v>1.6729574174981201</v>
      </c>
      <c r="D7">
        <v>395</v>
      </c>
      <c r="E7">
        <v>87</v>
      </c>
      <c r="F7">
        <v>87</v>
      </c>
      <c r="G7">
        <v>87</v>
      </c>
    </row>
    <row r="8" spans="1:7" x14ac:dyDescent="0.2">
      <c r="A8">
        <v>1996</v>
      </c>
      <c r="B8">
        <v>2.4848160118765299</v>
      </c>
      <c r="C8">
        <v>1.5817484553595</v>
      </c>
      <c r="D8">
        <v>445</v>
      </c>
      <c r="E8">
        <v>93</v>
      </c>
      <c r="F8">
        <v>93</v>
      </c>
      <c r="G8">
        <v>93</v>
      </c>
    </row>
    <row r="9" spans="1:7" x14ac:dyDescent="0.2">
      <c r="A9">
        <v>1997</v>
      </c>
      <c r="B9">
        <v>2.6337512703675299</v>
      </c>
      <c r="C9">
        <v>1.65089912660802</v>
      </c>
      <c r="D9">
        <v>548</v>
      </c>
      <c r="E9">
        <v>116</v>
      </c>
      <c r="F9">
        <v>116</v>
      </c>
      <c r="G9">
        <v>116</v>
      </c>
    </row>
    <row r="10" spans="1:7" x14ac:dyDescent="0.2">
      <c r="A10">
        <v>1998</v>
      </c>
      <c r="B10">
        <v>2.4929384474407499</v>
      </c>
      <c r="C10">
        <v>1.61245057691571</v>
      </c>
      <c r="D10">
        <v>588</v>
      </c>
      <c r="E10">
        <v>108</v>
      </c>
      <c r="F10">
        <v>108</v>
      </c>
      <c r="G10">
        <v>108</v>
      </c>
    </row>
    <row r="11" spans="1:7" x14ac:dyDescent="0.2">
      <c r="A11">
        <v>1999</v>
      </c>
      <c r="B11">
        <v>2.79904495765786</v>
      </c>
      <c r="C11">
        <v>1.81222210364213</v>
      </c>
      <c r="D11">
        <v>681</v>
      </c>
      <c r="E11">
        <v>124</v>
      </c>
      <c r="F11">
        <v>124</v>
      </c>
      <c r="G11">
        <v>124</v>
      </c>
    </row>
    <row r="12" spans="1:7" x14ac:dyDescent="0.2">
      <c r="A12">
        <v>2000</v>
      </c>
      <c r="B12">
        <v>2.6860478326481401</v>
      </c>
      <c r="C12">
        <v>1.7222481167116199</v>
      </c>
      <c r="D12">
        <v>793</v>
      </c>
      <c r="E12">
        <v>173</v>
      </c>
      <c r="F12">
        <v>173</v>
      </c>
      <c r="G12">
        <v>173</v>
      </c>
    </row>
    <row r="13" spans="1:7" x14ac:dyDescent="0.2">
      <c r="A13">
        <v>2001</v>
      </c>
      <c r="B13">
        <v>2.5285331653859302</v>
      </c>
      <c r="C13">
        <v>1.6413965207913299</v>
      </c>
      <c r="D13">
        <v>861</v>
      </c>
      <c r="E13">
        <v>163</v>
      </c>
      <c r="F13">
        <v>163</v>
      </c>
      <c r="G13">
        <v>163</v>
      </c>
    </row>
    <row r="14" spans="1:7" x14ac:dyDescent="0.2">
      <c r="A14">
        <v>2002</v>
      </c>
      <c r="B14">
        <v>2.6210244550320199</v>
      </c>
      <c r="C14">
        <v>1.7190514347933601</v>
      </c>
      <c r="D14">
        <v>1011</v>
      </c>
      <c r="E14">
        <v>209</v>
      </c>
      <c r="F14">
        <v>209</v>
      </c>
      <c r="G14">
        <v>209</v>
      </c>
    </row>
    <row r="15" spans="1:7" x14ac:dyDescent="0.2">
      <c r="A15">
        <v>2003</v>
      </c>
      <c r="B15">
        <v>2.53660917272303</v>
      </c>
      <c r="C15">
        <v>1.5405694301223001</v>
      </c>
      <c r="D15">
        <v>1234</v>
      </c>
      <c r="E15">
        <v>310</v>
      </c>
      <c r="F15">
        <v>310</v>
      </c>
      <c r="G15">
        <v>310</v>
      </c>
    </row>
    <row r="16" spans="1:7" x14ac:dyDescent="0.2">
      <c r="A16">
        <v>2004</v>
      </c>
      <c r="B16">
        <v>2.4898835905605101</v>
      </c>
      <c r="C16">
        <v>1.4855554620423499</v>
      </c>
      <c r="D16">
        <v>1533</v>
      </c>
      <c r="E16">
        <v>340</v>
      </c>
      <c r="F16">
        <v>340</v>
      </c>
      <c r="G16">
        <v>340</v>
      </c>
    </row>
    <row r="17" spans="1:7" x14ac:dyDescent="0.2">
      <c r="A17">
        <v>2005</v>
      </c>
      <c r="B17">
        <v>2.69315754116053</v>
      </c>
      <c r="C17">
        <v>1.5620854947312399</v>
      </c>
      <c r="D17">
        <v>2041</v>
      </c>
      <c r="E17">
        <v>485</v>
      </c>
      <c r="F17">
        <v>485</v>
      </c>
      <c r="G17">
        <v>485</v>
      </c>
    </row>
    <row r="18" spans="1:7" x14ac:dyDescent="0.2">
      <c r="A18">
        <v>2006</v>
      </c>
      <c r="B18">
        <v>2.6961712882801998</v>
      </c>
      <c r="C18">
        <v>1.5834560365663599</v>
      </c>
      <c r="D18">
        <v>2432</v>
      </c>
      <c r="E18">
        <v>573</v>
      </c>
      <c r="F18">
        <v>573</v>
      </c>
      <c r="G18">
        <v>573</v>
      </c>
    </row>
    <row r="19" spans="1:7" x14ac:dyDescent="0.2">
      <c r="A19">
        <v>2007</v>
      </c>
      <c r="B19">
        <v>3.0040451340844099</v>
      </c>
      <c r="C19">
        <v>1.4803677044155099</v>
      </c>
      <c r="D19">
        <v>2742</v>
      </c>
      <c r="E19">
        <v>736</v>
      </c>
      <c r="F19">
        <v>736</v>
      </c>
      <c r="G19">
        <v>736</v>
      </c>
    </row>
    <row r="20" spans="1:7" x14ac:dyDescent="0.2">
      <c r="A20">
        <v>2008</v>
      </c>
      <c r="B20">
        <v>2.9135989352829399</v>
      </c>
      <c r="C20">
        <v>1.5664992781140501</v>
      </c>
      <c r="D20">
        <v>3057</v>
      </c>
      <c r="E20">
        <v>855</v>
      </c>
      <c r="F20">
        <v>855</v>
      </c>
      <c r="G20">
        <v>855</v>
      </c>
    </row>
    <row r="21" spans="1:7" x14ac:dyDescent="0.2">
      <c r="A21">
        <v>2009</v>
      </c>
      <c r="B21">
        <v>3.18894623685823</v>
      </c>
      <c r="C21">
        <v>1.5423267251156101</v>
      </c>
      <c r="D21">
        <v>3648</v>
      </c>
      <c r="E21">
        <v>1091</v>
      </c>
      <c r="F21">
        <v>1091</v>
      </c>
      <c r="G21">
        <v>1091</v>
      </c>
    </row>
    <row r="22" spans="1:7" x14ac:dyDescent="0.2">
      <c r="A22">
        <v>2010</v>
      </c>
      <c r="B22">
        <v>3.3970325428562398</v>
      </c>
      <c r="C22">
        <v>1.63096371559839</v>
      </c>
      <c r="D22">
        <v>4510</v>
      </c>
      <c r="E22">
        <v>1430</v>
      </c>
      <c r="F22">
        <v>1430</v>
      </c>
      <c r="G22">
        <v>1430</v>
      </c>
    </row>
    <row r="23" spans="1:7" x14ac:dyDescent="0.2">
      <c r="A23">
        <v>2011</v>
      </c>
      <c r="B23">
        <v>3.36695460073578</v>
      </c>
      <c r="C23">
        <v>1.60627614066985</v>
      </c>
      <c r="D23">
        <v>5800</v>
      </c>
      <c r="E23">
        <v>1902</v>
      </c>
      <c r="F23">
        <v>1902</v>
      </c>
      <c r="G23">
        <v>1902</v>
      </c>
    </row>
    <row r="24" spans="1:7" x14ac:dyDescent="0.2">
      <c r="A24">
        <v>2012</v>
      </c>
      <c r="B24">
        <v>3.3949960892575999</v>
      </c>
      <c r="C24">
        <v>1.6093256648346701</v>
      </c>
      <c r="D24">
        <v>7729</v>
      </c>
      <c r="E24">
        <v>2628</v>
      </c>
      <c r="F24">
        <v>2628</v>
      </c>
      <c r="G24">
        <v>2628</v>
      </c>
    </row>
    <row r="25" spans="1:7" x14ac:dyDescent="0.2">
      <c r="A25">
        <v>2013</v>
      </c>
      <c r="B25">
        <v>3.2535126285760998</v>
      </c>
      <c r="C25">
        <v>1.55882379211954</v>
      </c>
      <c r="D25">
        <v>9546</v>
      </c>
      <c r="E25">
        <v>3439</v>
      </c>
      <c r="F25">
        <v>3439</v>
      </c>
      <c r="G25">
        <v>3439</v>
      </c>
    </row>
    <row r="26" spans="1:7" x14ac:dyDescent="0.2">
      <c r="A26">
        <v>2014</v>
      </c>
      <c r="B26">
        <v>3.1024846407302298</v>
      </c>
      <c r="C26">
        <v>1.53717879784558</v>
      </c>
      <c r="D26">
        <v>11132</v>
      </c>
      <c r="E26">
        <v>4122</v>
      </c>
      <c r="F26">
        <v>4122</v>
      </c>
      <c r="G26">
        <v>4122</v>
      </c>
    </row>
    <row r="27" spans="1:7" x14ac:dyDescent="0.2">
      <c r="A27">
        <v>2015</v>
      </c>
      <c r="B27">
        <v>3.0931985987769299</v>
      </c>
      <c r="C27">
        <v>1.55735134954246</v>
      </c>
      <c r="D27">
        <v>12379</v>
      </c>
      <c r="E27">
        <v>4709</v>
      </c>
      <c r="F27">
        <v>4709</v>
      </c>
      <c r="G27">
        <v>4709</v>
      </c>
    </row>
    <row r="28" spans="1:7" x14ac:dyDescent="0.2">
      <c r="A28">
        <v>2016</v>
      </c>
      <c r="B28">
        <v>3.0795696784048001</v>
      </c>
      <c r="C28">
        <v>1.54999079201724</v>
      </c>
      <c r="D28">
        <v>12998</v>
      </c>
      <c r="E28">
        <v>4834</v>
      </c>
      <c r="F28">
        <v>4834</v>
      </c>
      <c r="G28">
        <v>4834</v>
      </c>
    </row>
    <row r="29" spans="1:7" x14ac:dyDescent="0.2">
      <c r="A29">
        <v>2017</v>
      </c>
      <c r="B29">
        <v>2.8761493046064799</v>
      </c>
      <c r="C29">
        <v>1.42157096357589</v>
      </c>
      <c r="D29">
        <v>13709</v>
      </c>
      <c r="E29">
        <v>5184</v>
      </c>
      <c r="F29">
        <v>5184</v>
      </c>
      <c r="G29">
        <v>5184</v>
      </c>
    </row>
    <row r="30" spans="1:7" x14ac:dyDescent="0.2">
      <c r="A30">
        <v>2018</v>
      </c>
      <c r="B30">
        <v>2.7723994470471398</v>
      </c>
      <c r="C30">
        <v>1.3812704262366999</v>
      </c>
      <c r="D30">
        <v>14548</v>
      </c>
      <c r="E30">
        <v>5559</v>
      </c>
      <c r="F30">
        <v>5559</v>
      </c>
      <c r="G30">
        <v>5559</v>
      </c>
    </row>
    <row r="31" spans="1:7" x14ac:dyDescent="0.2">
      <c r="A31">
        <v>2019</v>
      </c>
      <c r="B31">
        <v>2.7770318514329402</v>
      </c>
      <c r="C31">
        <v>1.4290021587703801</v>
      </c>
      <c r="D31">
        <v>16283</v>
      </c>
      <c r="E31">
        <v>6204</v>
      </c>
      <c r="F31">
        <v>6204</v>
      </c>
      <c r="G31">
        <v>6204</v>
      </c>
    </row>
    <row r="32" spans="1:7" x14ac:dyDescent="0.2">
      <c r="A32">
        <v>2020</v>
      </c>
      <c r="B32">
        <v>2.7332050045668499</v>
      </c>
      <c r="C32">
        <v>1.3985715914197701</v>
      </c>
      <c r="D32">
        <v>19660</v>
      </c>
      <c r="E32">
        <v>7517</v>
      </c>
      <c r="F32">
        <v>7517</v>
      </c>
      <c r="G32">
        <v>7517</v>
      </c>
    </row>
    <row r="33" spans="1:7" x14ac:dyDescent="0.2">
      <c r="A33">
        <v>2021</v>
      </c>
      <c r="B33">
        <v>2.74041287815685</v>
      </c>
      <c r="C33">
        <v>1.4037096967010401</v>
      </c>
      <c r="D33">
        <v>22723</v>
      </c>
      <c r="E33">
        <v>8675</v>
      </c>
      <c r="F33">
        <v>8675</v>
      </c>
      <c r="G33">
        <v>8675</v>
      </c>
    </row>
    <row r="34" spans="1:7" x14ac:dyDescent="0.2">
      <c r="A34">
        <v>2022</v>
      </c>
      <c r="B34">
        <v>2.7955441122428102</v>
      </c>
      <c r="C34">
        <v>1.45089580821646</v>
      </c>
      <c r="D34">
        <v>23300</v>
      </c>
      <c r="E34">
        <v>9009</v>
      </c>
      <c r="F34">
        <v>9009</v>
      </c>
      <c r="G34">
        <v>9009</v>
      </c>
    </row>
    <row r="35" spans="1:7" x14ac:dyDescent="0.2">
      <c r="A35">
        <v>2023</v>
      </c>
      <c r="B35">
        <v>2.8246896257548402</v>
      </c>
      <c r="C35">
        <v>1.4325881950424799</v>
      </c>
      <c r="D35">
        <v>22483</v>
      </c>
      <c r="E35">
        <v>8737</v>
      </c>
      <c r="F35">
        <v>8737</v>
      </c>
      <c r="G35">
        <v>8737</v>
      </c>
    </row>
    <row r="36" spans="1:7" x14ac:dyDescent="0.2">
      <c r="A36">
        <v>2024</v>
      </c>
      <c r="B36">
        <v>2.7727068854361501</v>
      </c>
      <c r="C36">
        <v>1.4395595921536599</v>
      </c>
      <c r="D36">
        <v>23544</v>
      </c>
      <c r="E36">
        <v>9418</v>
      </c>
      <c r="F36">
        <v>9418</v>
      </c>
      <c r="G36">
        <v>9418</v>
      </c>
    </row>
    <row r="37" spans="1:7" x14ac:dyDescent="0.2">
      <c r="A37">
        <v>2025</v>
      </c>
      <c r="B37">
        <v>2.7211054334943601</v>
      </c>
      <c r="C37">
        <v>1.4164581963992799</v>
      </c>
      <c r="D37">
        <v>14518</v>
      </c>
      <c r="E37">
        <v>5955</v>
      </c>
      <c r="F37">
        <v>5955</v>
      </c>
      <c r="G37">
        <v>5955</v>
      </c>
    </row>
    <row r="38" spans="1:7" x14ac:dyDescent="0.2">
      <c r="A38" t="s">
        <v>1</v>
      </c>
      <c r="B38">
        <f t="shared" ref="B38:G38" si="0">SUM(B2:B37)</f>
        <v>101.32753198276747</v>
      </c>
      <c r="C38">
        <f t="shared" si="0"/>
        <v>56.873135735055904</v>
      </c>
      <c r="D38">
        <f t="shared" si="0"/>
        <v>258279</v>
      </c>
      <c r="E38">
        <f t="shared" si="0"/>
        <v>95012</v>
      </c>
      <c r="F38">
        <f t="shared" si="0"/>
        <v>95012</v>
      </c>
      <c r="G38">
        <f t="shared" si="0"/>
        <v>95012</v>
      </c>
    </row>
    <row r="39" spans="1:7" x14ac:dyDescent="0.2">
      <c r="A39" t="s">
        <v>2</v>
      </c>
      <c r="B39">
        <f>MAX(B2:B37)</f>
        <v>3.3970325428562398</v>
      </c>
      <c r="C39">
        <f t="shared" ref="C39:G39" si="1">MAX(C2:C37)</f>
        <v>1.82768938284393</v>
      </c>
      <c r="D39">
        <f t="shared" si="1"/>
        <v>23544</v>
      </c>
      <c r="E39">
        <f t="shared" si="1"/>
        <v>9418</v>
      </c>
      <c r="F39">
        <f t="shared" si="1"/>
        <v>9418</v>
      </c>
      <c r="G39">
        <f t="shared" si="1"/>
        <v>9418</v>
      </c>
    </row>
    <row r="40" spans="1:7" x14ac:dyDescent="0.2">
      <c r="A40" t="s">
        <v>3</v>
      </c>
      <c r="B40">
        <f>MIN(B2:B37)</f>
        <v>2.45109412781252</v>
      </c>
      <c r="C40">
        <f t="shared" ref="C40:G40" si="2">MIN(C2:C37)</f>
        <v>1.3812704262366999</v>
      </c>
      <c r="D40">
        <f t="shared" si="2"/>
        <v>214</v>
      </c>
      <c r="E40">
        <f t="shared" si="2"/>
        <v>30</v>
      </c>
      <c r="F40">
        <f t="shared" si="2"/>
        <v>30</v>
      </c>
      <c r="G40">
        <f t="shared" si="2"/>
        <v>30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G40"/>
  <sheetViews>
    <sheetView workbookViewId="0">
      <selection activeCell="A2" sqref="A2:G37"/>
    </sheetView>
  </sheetViews>
  <sheetFormatPr baseColWidth="10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2.3970687901907799</v>
      </c>
      <c r="C2">
        <v>1.86182920087328</v>
      </c>
      <c r="D2">
        <v>24277</v>
      </c>
      <c r="E2">
        <v>181</v>
      </c>
      <c r="F2">
        <v>181</v>
      </c>
      <c r="G2">
        <v>181</v>
      </c>
    </row>
    <row r="3" spans="1:7" x14ac:dyDescent="0.2">
      <c r="A3">
        <v>1991</v>
      </c>
      <c r="B3">
        <v>2.4339631281886098</v>
      </c>
      <c r="C3">
        <v>1.9176887579536099</v>
      </c>
      <c r="D3">
        <v>26350</v>
      </c>
      <c r="E3">
        <v>197</v>
      </c>
      <c r="F3">
        <v>197</v>
      </c>
      <c r="G3">
        <v>197</v>
      </c>
    </row>
    <row r="4" spans="1:7" x14ac:dyDescent="0.2">
      <c r="A4">
        <v>1992</v>
      </c>
      <c r="B4">
        <v>2.4357301371785698</v>
      </c>
      <c r="C4">
        <v>1.8505475858299301</v>
      </c>
      <c r="D4">
        <v>27779</v>
      </c>
      <c r="E4">
        <v>220</v>
      </c>
      <c r="F4">
        <v>220</v>
      </c>
      <c r="G4">
        <v>220</v>
      </c>
    </row>
    <row r="5" spans="1:7" x14ac:dyDescent="0.2">
      <c r="A5">
        <v>1993</v>
      </c>
      <c r="B5">
        <v>2.3359213040111202</v>
      </c>
      <c r="C5">
        <v>1.8014412537084199</v>
      </c>
      <c r="D5">
        <v>29002</v>
      </c>
      <c r="E5">
        <v>207</v>
      </c>
      <c r="F5">
        <v>207</v>
      </c>
      <c r="G5">
        <v>207</v>
      </c>
    </row>
    <row r="6" spans="1:7" x14ac:dyDescent="0.2">
      <c r="A6">
        <v>1994</v>
      </c>
      <c r="B6">
        <v>2.4860006922847302</v>
      </c>
      <c r="C6">
        <v>1.91874745051829</v>
      </c>
      <c r="D6">
        <v>30760</v>
      </c>
      <c r="E6">
        <v>208</v>
      </c>
      <c r="F6">
        <v>208</v>
      </c>
      <c r="G6">
        <v>208</v>
      </c>
    </row>
    <row r="7" spans="1:7" x14ac:dyDescent="0.2">
      <c r="A7">
        <v>1995</v>
      </c>
      <c r="B7">
        <v>2.4327454903744798</v>
      </c>
      <c r="C7">
        <v>1.83953780441541</v>
      </c>
      <c r="D7">
        <v>33077</v>
      </c>
      <c r="E7">
        <v>258</v>
      </c>
      <c r="F7">
        <v>258</v>
      </c>
      <c r="G7">
        <v>258</v>
      </c>
    </row>
    <row r="8" spans="1:7" x14ac:dyDescent="0.2">
      <c r="A8">
        <v>1996</v>
      </c>
      <c r="B8">
        <v>2.4866222310561898</v>
      </c>
      <c r="C8">
        <v>1.8377115992955</v>
      </c>
      <c r="D8">
        <v>35582</v>
      </c>
      <c r="E8">
        <v>309</v>
      </c>
      <c r="F8">
        <v>309</v>
      </c>
      <c r="G8">
        <v>309</v>
      </c>
    </row>
    <row r="9" spans="1:7" x14ac:dyDescent="0.2">
      <c r="A9">
        <v>1997</v>
      </c>
      <c r="B9">
        <v>2.4089308780818599</v>
      </c>
      <c r="C9">
        <v>1.81444639976421</v>
      </c>
      <c r="D9">
        <v>37858</v>
      </c>
      <c r="E9">
        <v>306</v>
      </c>
      <c r="F9">
        <v>306</v>
      </c>
      <c r="G9">
        <v>306</v>
      </c>
    </row>
    <row r="10" spans="1:7" x14ac:dyDescent="0.2">
      <c r="A10">
        <v>1998</v>
      </c>
      <c r="B10">
        <v>2.5460111631909701</v>
      </c>
      <c r="C10">
        <v>1.8532507871150199</v>
      </c>
      <c r="D10">
        <v>41132</v>
      </c>
      <c r="E10">
        <v>299</v>
      </c>
      <c r="F10">
        <v>299</v>
      </c>
      <c r="G10">
        <v>299</v>
      </c>
    </row>
    <row r="11" spans="1:7" x14ac:dyDescent="0.2">
      <c r="A11">
        <v>1999</v>
      </c>
      <c r="B11">
        <v>2.47514731328573</v>
      </c>
      <c r="C11">
        <v>1.86365561782457</v>
      </c>
      <c r="D11">
        <v>42494</v>
      </c>
      <c r="E11">
        <v>246</v>
      </c>
      <c r="F11">
        <v>246</v>
      </c>
      <c r="G11">
        <v>246</v>
      </c>
    </row>
    <row r="12" spans="1:7" x14ac:dyDescent="0.2">
      <c r="A12">
        <v>2000</v>
      </c>
      <c r="B12">
        <v>2.3990531312149002</v>
      </c>
      <c r="C12">
        <v>1.8470373493035499</v>
      </c>
      <c r="D12">
        <v>48551</v>
      </c>
      <c r="E12">
        <v>286</v>
      </c>
      <c r="F12">
        <v>286</v>
      </c>
      <c r="G12">
        <v>286</v>
      </c>
    </row>
    <row r="13" spans="1:7" x14ac:dyDescent="0.2">
      <c r="A13">
        <v>2001</v>
      </c>
      <c r="B13">
        <v>2.4813286568269599</v>
      </c>
      <c r="C13">
        <v>1.8435096591442299</v>
      </c>
      <c r="D13">
        <v>50445</v>
      </c>
      <c r="E13">
        <v>309</v>
      </c>
      <c r="F13">
        <v>309</v>
      </c>
      <c r="G13">
        <v>309</v>
      </c>
    </row>
    <row r="14" spans="1:7" x14ac:dyDescent="0.2">
      <c r="A14">
        <v>2002</v>
      </c>
      <c r="B14">
        <v>2.3783250415762298</v>
      </c>
      <c r="C14">
        <v>1.80403773422589</v>
      </c>
      <c r="D14">
        <v>55064</v>
      </c>
      <c r="E14">
        <v>335</v>
      </c>
      <c r="F14">
        <v>335</v>
      </c>
      <c r="G14">
        <v>335</v>
      </c>
    </row>
    <row r="15" spans="1:7" x14ac:dyDescent="0.2">
      <c r="A15">
        <v>2003</v>
      </c>
      <c r="B15">
        <v>2.4212056221927098</v>
      </c>
      <c r="C15">
        <v>1.79767833642307</v>
      </c>
      <c r="D15">
        <v>59729</v>
      </c>
      <c r="E15">
        <v>495</v>
      </c>
      <c r="F15">
        <v>495</v>
      </c>
      <c r="G15">
        <v>495</v>
      </c>
    </row>
    <row r="16" spans="1:7" x14ac:dyDescent="0.2">
      <c r="A16">
        <v>2004</v>
      </c>
      <c r="B16">
        <v>2.47877820418601</v>
      </c>
      <c r="C16">
        <v>1.77560321593658</v>
      </c>
      <c r="D16">
        <v>64980</v>
      </c>
      <c r="E16">
        <v>553</v>
      </c>
      <c r="F16">
        <v>553</v>
      </c>
      <c r="G16">
        <v>553</v>
      </c>
    </row>
    <row r="17" spans="1:7" x14ac:dyDescent="0.2">
      <c r="A17">
        <v>2005</v>
      </c>
      <c r="B17">
        <v>2.5158843744830501</v>
      </c>
      <c r="C17">
        <v>1.7867176483468099</v>
      </c>
      <c r="D17">
        <v>68723</v>
      </c>
      <c r="E17">
        <v>454</v>
      </c>
      <c r="F17">
        <v>454</v>
      </c>
      <c r="G17">
        <v>454</v>
      </c>
    </row>
    <row r="18" spans="1:7" x14ac:dyDescent="0.2">
      <c r="A18">
        <v>2006</v>
      </c>
      <c r="B18">
        <v>2.4785780405316098</v>
      </c>
      <c r="C18">
        <v>1.7878337063240499</v>
      </c>
      <c r="D18">
        <v>73521</v>
      </c>
      <c r="E18">
        <v>424</v>
      </c>
      <c r="F18">
        <v>424</v>
      </c>
      <c r="G18">
        <v>424</v>
      </c>
    </row>
    <row r="19" spans="1:7" x14ac:dyDescent="0.2">
      <c r="A19">
        <v>2007</v>
      </c>
      <c r="B19">
        <v>2.48289363223049</v>
      </c>
      <c r="C19">
        <v>1.76232438205453</v>
      </c>
      <c r="D19">
        <v>76879</v>
      </c>
      <c r="E19">
        <v>487</v>
      </c>
      <c r="F19">
        <v>487</v>
      </c>
      <c r="G19">
        <v>487</v>
      </c>
    </row>
    <row r="20" spans="1:7" x14ac:dyDescent="0.2">
      <c r="A20">
        <v>2008</v>
      </c>
      <c r="B20">
        <v>2.5705436709546499</v>
      </c>
      <c r="C20">
        <v>1.7410308632998199</v>
      </c>
      <c r="D20">
        <v>78184</v>
      </c>
      <c r="E20">
        <v>472</v>
      </c>
      <c r="F20">
        <v>472</v>
      </c>
      <c r="G20">
        <v>472</v>
      </c>
    </row>
    <row r="21" spans="1:7" x14ac:dyDescent="0.2">
      <c r="A21">
        <v>2009</v>
      </c>
      <c r="B21">
        <v>2.50764519362412</v>
      </c>
      <c r="C21">
        <v>1.76978565386235</v>
      </c>
      <c r="D21">
        <v>79782</v>
      </c>
      <c r="E21">
        <v>528</v>
      </c>
      <c r="F21">
        <v>528</v>
      </c>
      <c r="G21">
        <v>528</v>
      </c>
    </row>
    <row r="22" spans="1:7" x14ac:dyDescent="0.2">
      <c r="A22">
        <v>2010</v>
      </c>
      <c r="B22">
        <v>2.5801039203557901</v>
      </c>
      <c r="C22">
        <v>1.7370603109929901</v>
      </c>
      <c r="D22">
        <v>84163</v>
      </c>
      <c r="E22">
        <v>616</v>
      </c>
      <c r="F22">
        <v>616</v>
      </c>
      <c r="G22">
        <v>616</v>
      </c>
    </row>
    <row r="23" spans="1:7" x14ac:dyDescent="0.2">
      <c r="A23">
        <v>2011</v>
      </c>
      <c r="B23">
        <v>2.6309460850815301</v>
      </c>
      <c r="C23">
        <v>1.8239480197285201</v>
      </c>
      <c r="D23">
        <v>89325</v>
      </c>
      <c r="E23">
        <v>698</v>
      </c>
      <c r="F23">
        <v>698</v>
      </c>
      <c r="G23">
        <v>698</v>
      </c>
    </row>
    <row r="24" spans="1:7" x14ac:dyDescent="0.2">
      <c r="A24">
        <v>2012</v>
      </c>
      <c r="B24">
        <v>2.5424233883293001</v>
      </c>
      <c r="C24">
        <v>1.76046974153817</v>
      </c>
      <c r="D24">
        <v>94776</v>
      </c>
      <c r="E24">
        <v>809</v>
      </c>
      <c r="F24">
        <v>809</v>
      </c>
      <c r="G24">
        <v>809</v>
      </c>
    </row>
    <row r="25" spans="1:7" x14ac:dyDescent="0.2">
      <c r="A25">
        <v>2013</v>
      </c>
      <c r="B25">
        <v>2.4635972445228398</v>
      </c>
      <c r="C25">
        <v>1.6695247797238599</v>
      </c>
      <c r="D25">
        <v>99025</v>
      </c>
      <c r="E25">
        <v>939</v>
      </c>
      <c r="F25">
        <v>939</v>
      </c>
      <c r="G25">
        <v>939</v>
      </c>
    </row>
    <row r="26" spans="1:7" x14ac:dyDescent="0.2">
      <c r="A26">
        <v>2014</v>
      </c>
      <c r="B26">
        <v>2.4691932056611301</v>
      </c>
      <c r="C26">
        <v>1.6577360851752601</v>
      </c>
      <c r="D26">
        <v>103221</v>
      </c>
      <c r="E26">
        <v>1001</v>
      </c>
      <c r="F26">
        <v>1001</v>
      </c>
      <c r="G26">
        <v>1001</v>
      </c>
    </row>
    <row r="27" spans="1:7" x14ac:dyDescent="0.2">
      <c r="A27">
        <v>2015</v>
      </c>
      <c r="B27">
        <v>2.4992177125959998</v>
      </c>
      <c r="C27">
        <v>1.70596008519293</v>
      </c>
      <c r="D27">
        <v>105352</v>
      </c>
      <c r="E27">
        <v>1092</v>
      </c>
      <c r="F27">
        <v>1092</v>
      </c>
      <c r="G27">
        <v>1092</v>
      </c>
    </row>
    <row r="28" spans="1:7" x14ac:dyDescent="0.2">
      <c r="A28">
        <v>2016</v>
      </c>
      <c r="B28">
        <v>2.5160070480135901</v>
      </c>
      <c r="C28">
        <v>1.6489453442463899</v>
      </c>
      <c r="D28">
        <v>108365</v>
      </c>
      <c r="E28">
        <v>1198</v>
      </c>
      <c r="F28">
        <v>1198</v>
      </c>
      <c r="G28">
        <v>1198</v>
      </c>
    </row>
    <row r="29" spans="1:7" x14ac:dyDescent="0.2">
      <c r="A29">
        <v>2017</v>
      </c>
      <c r="B29">
        <v>2.6026584593271802</v>
      </c>
      <c r="C29">
        <v>1.60302409702529</v>
      </c>
      <c r="D29">
        <v>109867</v>
      </c>
      <c r="E29">
        <v>1204</v>
      </c>
      <c r="F29">
        <v>1204</v>
      </c>
      <c r="G29">
        <v>1204</v>
      </c>
    </row>
    <row r="30" spans="1:7" x14ac:dyDescent="0.2">
      <c r="A30">
        <v>2018</v>
      </c>
      <c r="B30">
        <v>2.3827398328528901</v>
      </c>
      <c r="C30">
        <v>1.5761497819914101</v>
      </c>
      <c r="D30">
        <v>111873</v>
      </c>
      <c r="E30">
        <v>1212</v>
      </c>
      <c r="F30">
        <v>1212</v>
      </c>
      <c r="G30">
        <v>1212</v>
      </c>
    </row>
    <row r="31" spans="1:7" x14ac:dyDescent="0.2">
      <c r="A31">
        <v>2019</v>
      </c>
      <c r="B31">
        <v>2.4513091995890099</v>
      </c>
      <c r="C31">
        <v>1.6224023546958499</v>
      </c>
      <c r="D31">
        <v>114998</v>
      </c>
      <c r="E31">
        <v>1275</v>
      </c>
      <c r="F31">
        <v>1275</v>
      </c>
      <c r="G31">
        <v>1275</v>
      </c>
    </row>
    <row r="32" spans="1:7" x14ac:dyDescent="0.2">
      <c r="A32">
        <v>2020</v>
      </c>
      <c r="B32">
        <v>2.4208833946958199</v>
      </c>
      <c r="C32">
        <v>1.60017662159602</v>
      </c>
      <c r="D32">
        <v>131987</v>
      </c>
      <c r="E32">
        <v>1552</v>
      </c>
      <c r="F32">
        <v>1552</v>
      </c>
      <c r="G32">
        <v>1552</v>
      </c>
    </row>
    <row r="33" spans="1:7" x14ac:dyDescent="0.2">
      <c r="A33">
        <v>2021</v>
      </c>
      <c r="B33">
        <v>2.3690154832598598</v>
      </c>
      <c r="C33">
        <v>1.6234875054567399</v>
      </c>
      <c r="D33">
        <v>142452</v>
      </c>
      <c r="E33">
        <v>1971</v>
      </c>
      <c r="F33">
        <v>1971</v>
      </c>
      <c r="G33">
        <v>1971</v>
      </c>
    </row>
    <row r="34" spans="1:7" x14ac:dyDescent="0.2">
      <c r="A34">
        <v>2022</v>
      </c>
      <c r="B34">
        <v>2.42187144705446</v>
      </c>
      <c r="C34">
        <v>1.62929897078981</v>
      </c>
      <c r="D34">
        <v>136747</v>
      </c>
      <c r="E34">
        <v>2504</v>
      </c>
      <c r="F34">
        <v>2504</v>
      </c>
      <c r="G34">
        <v>2504</v>
      </c>
    </row>
    <row r="35" spans="1:7" x14ac:dyDescent="0.2">
      <c r="A35">
        <v>2023</v>
      </c>
      <c r="B35">
        <v>2.4424292023290399</v>
      </c>
      <c r="C35">
        <v>1.62568102979082</v>
      </c>
      <c r="D35">
        <v>128108</v>
      </c>
      <c r="E35">
        <v>2402</v>
      </c>
      <c r="F35">
        <v>2402</v>
      </c>
      <c r="G35">
        <v>2402</v>
      </c>
    </row>
    <row r="36" spans="1:7" x14ac:dyDescent="0.2">
      <c r="A36">
        <v>2024</v>
      </c>
      <c r="B36">
        <v>2.4341527002130001</v>
      </c>
      <c r="C36">
        <v>1.63586739024646</v>
      </c>
      <c r="D36">
        <v>137297</v>
      </c>
      <c r="E36">
        <v>1713</v>
      </c>
      <c r="F36">
        <v>1713</v>
      </c>
      <c r="G36">
        <v>1713</v>
      </c>
    </row>
    <row r="37" spans="1:7" x14ac:dyDescent="0.2">
      <c r="A37">
        <v>2025</v>
      </c>
      <c r="B37">
        <v>2.3617375248897399</v>
      </c>
      <c r="C37">
        <v>1.6350828606457399</v>
      </c>
      <c r="D37">
        <v>84526</v>
      </c>
      <c r="E37">
        <v>835</v>
      </c>
      <c r="F37">
        <v>835</v>
      </c>
      <c r="G37">
        <v>835</v>
      </c>
    </row>
    <row r="38" spans="1:7" x14ac:dyDescent="0.2">
      <c r="A38" t="s">
        <v>1</v>
      </c>
      <c r="B38">
        <f t="shared" ref="B38:G38" si="0">SUM(B2:B37)</f>
        <v>88.740662544434926</v>
      </c>
      <c r="C38">
        <f t="shared" si="0"/>
        <v>63.029229985055373</v>
      </c>
      <c r="D38">
        <f t="shared" si="0"/>
        <v>2766251</v>
      </c>
      <c r="E38">
        <f t="shared" si="0"/>
        <v>27795</v>
      </c>
      <c r="F38">
        <f t="shared" si="0"/>
        <v>27795</v>
      </c>
      <c r="G38">
        <f t="shared" si="0"/>
        <v>27795</v>
      </c>
    </row>
    <row r="39" spans="1:7" x14ac:dyDescent="0.2">
      <c r="A39" t="s">
        <v>2</v>
      </c>
      <c r="B39">
        <f>MAX(B2:B37)</f>
        <v>2.6309460850815301</v>
      </c>
      <c r="C39">
        <f t="shared" ref="C39:G39" si="1">MAX(C2:C37)</f>
        <v>1.91874745051829</v>
      </c>
      <c r="D39">
        <f t="shared" si="1"/>
        <v>142452</v>
      </c>
      <c r="E39">
        <f t="shared" si="1"/>
        <v>2504</v>
      </c>
      <c r="F39">
        <f t="shared" si="1"/>
        <v>2504</v>
      </c>
      <c r="G39">
        <f t="shared" si="1"/>
        <v>2504</v>
      </c>
    </row>
    <row r="40" spans="1:7" x14ac:dyDescent="0.2">
      <c r="A40" t="s">
        <v>3</v>
      </c>
      <c r="B40">
        <f>MIN(B2:B37)</f>
        <v>2.3359213040111202</v>
      </c>
      <c r="C40">
        <f t="shared" ref="C40:G40" si="2">MIN(C2:C37)</f>
        <v>1.5761497819914101</v>
      </c>
      <c r="D40">
        <f t="shared" si="2"/>
        <v>24277</v>
      </c>
      <c r="E40">
        <f t="shared" si="2"/>
        <v>181</v>
      </c>
      <c r="F40">
        <f t="shared" si="2"/>
        <v>181</v>
      </c>
      <c r="G40">
        <f t="shared" si="2"/>
        <v>181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G40"/>
  <sheetViews>
    <sheetView workbookViewId="0">
      <selection activeCell="A2" sqref="A2:G37"/>
    </sheetView>
  </sheetViews>
  <sheetFormatPr baseColWidth="10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2.4457705521530202</v>
      </c>
      <c r="C2">
        <v>1.8153620206090799</v>
      </c>
      <c r="D2">
        <v>31431</v>
      </c>
      <c r="E2">
        <v>5369</v>
      </c>
      <c r="F2">
        <v>5369</v>
      </c>
      <c r="G2">
        <v>5369</v>
      </c>
    </row>
    <row r="3" spans="1:7" x14ac:dyDescent="0.2">
      <c r="A3">
        <v>1991</v>
      </c>
      <c r="B3">
        <v>2.4545771356188202</v>
      </c>
      <c r="C3">
        <v>1.8125897184312401</v>
      </c>
      <c r="D3">
        <v>32930</v>
      </c>
      <c r="E3">
        <v>6086</v>
      </c>
      <c r="F3">
        <v>6086</v>
      </c>
      <c r="G3">
        <v>6086</v>
      </c>
    </row>
    <row r="4" spans="1:7" x14ac:dyDescent="0.2">
      <c r="A4">
        <v>1992</v>
      </c>
      <c r="B4">
        <v>2.46623593226782</v>
      </c>
      <c r="C4">
        <v>1.8022501945673</v>
      </c>
      <c r="D4">
        <v>34868</v>
      </c>
      <c r="E4">
        <v>6945</v>
      </c>
      <c r="F4">
        <v>6945</v>
      </c>
      <c r="G4">
        <v>6945</v>
      </c>
    </row>
    <row r="5" spans="1:7" x14ac:dyDescent="0.2">
      <c r="A5">
        <v>1993</v>
      </c>
      <c r="B5">
        <v>2.47160152067128</v>
      </c>
      <c r="C5">
        <v>1.77374749094937</v>
      </c>
      <c r="D5">
        <v>36976</v>
      </c>
      <c r="E5">
        <v>7542</v>
      </c>
      <c r="F5">
        <v>7542</v>
      </c>
      <c r="G5">
        <v>7542</v>
      </c>
    </row>
    <row r="6" spans="1:7" x14ac:dyDescent="0.2">
      <c r="A6">
        <v>1994</v>
      </c>
      <c r="B6">
        <v>2.4749342831050698</v>
      </c>
      <c r="C6">
        <v>1.7582094474044001</v>
      </c>
      <c r="D6">
        <v>38717</v>
      </c>
      <c r="E6">
        <v>8529</v>
      </c>
      <c r="F6">
        <v>8529</v>
      </c>
      <c r="G6">
        <v>8529</v>
      </c>
    </row>
    <row r="7" spans="1:7" x14ac:dyDescent="0.2">
      <c r="A7">
        <v>1995</v>
      </c>
      <c r="B7">
        <v>2.4880058372596401</v>
      </c>
      <c r="C7">
        <v>1.73595450486864</v>
      </c>
      <c r="D7">
        <v>40660</v>
      </c>
      <c r="E7">
        <v>9266</v>
      </c>
      <c r="F7">
        <v>9266</v>
      </c>
      <c r="G7">
        <v>9266</v>
      </c>
    </row>
    <row r="8" spans="1:7" x14ac:dyDescent="0.2">
      <c r="A8">
        <v>1996</v>
      </c>
      <c r="B8">
        <v>2.5146785670813299</v>
      </c>
      <c r="C8">
        <v>1.7414607080214899</v>
      </c>
      <c r="D8">
        <v>41001</v>
      </c>
      <c r="E8">
        <v>9631</v>
      </c>
      <c r="F8">
        <v>9631</v>
      </c>
      <c r="G8">
        <v>9631</v>
      </c>
    </row>
    <row r="9" spans="1:7" x14ac:dyDescent="0.2">
      <c r="A9">
        <v>1997</v>
      </c>
      <c r="B9">
        <v>2.5357706500544199</v>
      </c>
      <c r="C9">
        <v>1.7610278960371799</v>
      </c>
      <c r="D9">
        <v>42522</v>
      </c>
      <c r="E9">
        <v>10353</v>
      </c>
      <c r="F9">
        <v>10353</v>
      </c>
      <c r="G9">
        <v>10353</v>
      </c>
    </row>
    <row r="10" spans="1:7" x14ac:dyDescent="0.2">
      <c r="A10">
        <v>1998</v>
      </c>
      <c r="B10">
        <v>2.5442607285231298</v>
      </c>
      <c r="C10">
        <v>1.73521742888055</v>
      </c>
      <c r="D10">
        <v>43762</v>
      </c>
      <c r="E10">
        <v>10832</v>
      </c>
      <c r="F10">
        <v>10832</v>
      </c>
      <c r="G10">
        <v>10832</v>
      </c>
    </row>
    <row r="11" spans="1:7" x14ac:dyDescent="0.2">
      <c r="A11">
        <v>1999</v>
      </c>
      <c r="B11">
        <v>2.5425646180809802</v>
      </c>
      <c r="C11">
        <v>1.7281537652669201</v>
      </c>
      <c r="D11">
        <v>45760</v>
      </c>
      <c r="E11">
        <v>11497</v>
      </c>
      <c r="F11">
        <v>11497</v>
      </c>
      <c r="G11">
        <v>11497</v>
      </c>
    </row>
    <row r="12" spans="1:7" x14ac:dyDescent="0.2">
      <c r="A12">
        <v>2000</v>
      </c>
      <c r="B12">
        <v>2.5303336177335001</v>
      </c>
      <c r="C12">
        <v>1.72688933489987</v>
      </c>
      <c r="D12">
        <v>47381</v>
      </c>
      <c r="E12">
        <v>11678</v>
      </c>
      <c r="F12">
        <v>11678</v>
      </c>
      <c r="G12">
        <v>11678</v>
      </c>
    </row>
    <row r="13" spans="1:7" x14ac:dyDescent="0.2">
      <c r="A13">
        <v>2001</v>
      </c>
      <c r="B13">
        <v>2.54852990511568</v>
      </c>
      <c r="C13">
        <v>1.7081775027803401</v>
      </c>
      <c r="D13">
        <v>47703</v>
      </c>
      <c r="E13">
        <v>12573</v>
      </c>
      <c r="F13">
        <v>12573</v>
      </c>
      <c r="G13">
        <v>12573</v>
      </c>
    </row>
    <row r="14" spans="1:7" x14ac:dyDescent="0.2">
      <c r="A14">
        <v>2002</v>
      </c>
      <c r="B14">
        <v>2.5499712305095201</v>
      </c>
      <c r="C14">
        <v>1.7096839828125101</v>
      </c>
      <c r="D14">
        <v>48987</v>
      </c>
      <c r="E14">
        <v>12945</v>
      </c>
      <c r="F14">
        <v>12945</v>
      </c>
      <c r="G14">
        <v>12945</v>
      </c>
    </row>
    <row r="15" spans="1:7" x14ac:dyDescent="0.2">
      <c r="A15">
        <v>2003</v>
      </c>
      <c r="B15">
        <v>2.5430193787026298</v>
      </c>
      <c r="C15">
        <v>1.70607332098646</v>
      </c>
      <c r="D15">
        <v>52486</v>
      </c>
      <c r="E15">
        <v>14028</v>
      </c>
      <c r="F15">
        <v>14028</v>
      </c>
      <c r="G15">
        <v>14028</v>
      </c>
    </row>
    <row r="16" spans="1:7" x14ac:dyDescent="0.2">
      <c r="A16">
        <v>2004</v>
      </c>
      <c r="B16">
        <v>2.5672518008679601</v>
      </c>
      <c r="C16">
        <v>1.69701242716662</v>
      </c>
      <c r="D16">
        <v>55694</v>
      </c>
      <c r="E16">
        <v>15339</v>
      </c>
      <c r="F16">
        <v>15339</v>
      </c>
      <c r="G16">
        <v>15339</v>
      </c>
    </row>
    <row r="17" spans="1:7" x14ac:dyDescent="0.2">
      <c r="A17">
        <v>2005</v>
      </c>
      <c r="B17">
        <v>2.5641229493652</v>
      </c>
      <c r="C17">
        <v>1.68815442025736</v>
      </c>
      <c r="D17">
        <v>61604</v>
      </c>
      <c r="E17">
        <v>17287</v>
      </c>
      <c r="F17">
        <v>17287</v>
      </c>
      <c r="G17">
        <v>17287</v>
      </c>
    </row>
    <row r="18" spans="1:7" x14ac:dyDescent="0.2">
      <c r="A18">
        <v>2006</v>
      </c>
      <c r="B18">
        <v>2.5577440578675499</v>
      </c>
      <c r="C18">
        <v>1.70278047758102</v>
      </c>
      <c r="D18">
        <v>64262</v>
      </c>
      <c r="E18">
        <v>17802</v>
      </c>
      <c r="F18">
        <v>17802</v>
      </c>
      <c r="G18">
        <v>17802</v>
      </c>
    </row>
    <row r="19" spans="1:7" x14ac:dyDescent="0.2">
      <c r="A19">
        <v>2007</v>
      </c>
      <c r="B19">
        <v>2.5960562792227702</v>
      </c>
      <c r="C19">
        <v>1.69932941153294</v>
      </c>
      <c r="D19">
        <v>66637</v>
      </c>
      <c r="E19">
        <v>18661</v>
      </c>
      <c r="F19">
        <v>18661</v>
      </c>
      <c r="G19">
        <v>18661</v>
      </c>
    </row>
    <row r="20" spans="1:7" x14ac:dyDescent="0.2">
      <c r="A20">
        <v>2008</v>
      </c>
      <c r="B20">
        <v>2.6163044086796199</v>
      </c>
      <c r="C20">
        <v>1.7005440524981601</v>
      </c>
      <c r="D20">
        <v>68330</v>
      </c>
      <c r="E20">
        <v>19384</v>
      </c>
      <c r="F20">
        <v>19384</v>
      </c>
      <c r="G20">
        <v>19384</v>
      </c>
    </row>
    <row r="21" spans="1:7" x14ac:dyDescent="0.2">
      <c r="A21">
        <v>2009</v>
      </c>
      <c r="B21">
        <v>2.60902862873046</v>
      </c>
      <c r="C21">
        <v>1.6804864449758901</v>
      </c>
      <c r="D21">
        <v>68450</v>
      </c>
      <c r="E21">
        <v>20022</v>
      </c>
      <c r="F21">
        <v>20022</v>
      </c>
      <c r="G21">
        <v>20022</v>
      </c>
    </row>
    <row r="22" spans="1:7" x14ac:dyDescent="0.2">
      <c r="A22">
        <v>2010</v>
      </c>
      <c r="B22">
        <v>2.6318121389882299</v>
      </c>
      <c r="C22">
        <v>1.67433060705207</v>
      </c>
      <c r="D22">
        <v>70953</v>
      </c>
      <c r="E22">
        <v>21194</v>
      </c>
      <c r="F22">
        <v>21194</v>
      </c>
      <c r="G22">
        <v>21194</v>
      </c>
    </row>
    <row r="23" spans="1:7" x14ac:dyDescent="0.2">
      <c r="A23">
        <v>2011</v>
      </c>
      <c r="B23">
        <v>2.6367648695094501</v>
      </c>
      <c r="C23">
        <v>1.66602515147858</v>
      </c>
      <c r="D23">
        <v>74380</v>
      </c>
      <c r="E23">
        <v>22946</v>
      </c>
      <c r="F23">
        <v>22946</v>
      </c>
      <c r="G23">
        <v>22946</v>
      </c>
    </row>
    <row r="24" spans="1:7" x14ac:dyDescent="0.2">
      <c r="A24">
        <v>2012</v>
      </c>
      <c r="B24">
        <v>2.6705141503758001</v>
      </c>
      <c r="C24">
        <v>1.6541342756661399</v>
      </c>
      <c r="D24">
        <v>74534</v>
      </c>
      <c r="E24">
        <v>23327</v>
      </c>
      <c r="F24">
        <v>23327</v>
      </c>
      <c r="G24">
        <v>23327</v>
      </c>
    </row>
    <row r="25" spans="1:7" x14ac:dyDescent="0.2">
      <c r="A25">
        <v>2013</v>
      </c>
      <c r="B25">
        <v>2.6785486289932501</v>
      </c>
      <c r="C25">
        <v>1.64609697844818</v>
      </c>
      <c r="D25">
        <v>75326</v>
      </c>
      <c r="E25">
        <v>24328</v>
      </c>
      <c r="F25">
        <v>24328</v>
      </c>
      <c r="G25">
        <v>24328</v>
      </c>
    </row>
    <row r="26" spans="1:7" x14ac:dyDescent="0.2">
      <c r="A26">
        <v>2014</v>
      </c>
      <c r="B26">
        <v>2.6490954392644599</v>
      </c>
      <c r="C26">
        <v>1.62923104579758</v>
      </c>
      <c r="D26">
        <v>72771</v>
      </c>
      <c r="E26">
        <v>23606</v>
      </c>
      <c r="F26">
        <v>23606</v>
      </c>
      <c r="G26">
        <v>23606</v>
      </c>
    </row>
    <row r="27" spans="1:7" x14ac:dyDescent="0.2">
      <c r="A27">
        <v>2015</v>
      </c>
      <c r="B27">
        <v>2.6726693903384402</v>
      </c>
      <c r="C27">
        <v>1.6231826235362801</v>
      </c>
      <c r="D27">
        <v>73088</v>
      </c>
      <c r="E27">
        <v>24205</v>
      </c>
      <c r="F27">
        <v>24205</v>
      </c>
      <c r="G27">
        <v>24205</v>
      </c>
    </row>
    <row r="28" spans="1:7" x14ac:dyDescent="0.2">
      <c r="A28">
        <v>2016</v>
      </c>
      <c r="B28">
        <v>2.6347738495709199</v>
      </c>
      <c r="C28">
        <v>1.6021564915241899</v>
      </c>
      <c r="D28">
        <v>73888</v>
      </c>
      <c r="E28">
        <v>24735</v>
      </c>
      <c r="F28">
        <v>24735</v>
      </c>
      <c r="G28">
        <v>24735</v>
      </c>
    </row>
    <row r="29" spans="1:7" x14ac:dyDescent="0.2">
      <c r="A29">
        <v>2017</v>
      </c>
      <c r="B29">
        <v>2.5718004752955399</v>
      </c>
      <c r="C29">
        <v>1.5908686058503101</v>
      </c>
      <c r="D29">
        <v>73771</v>
      </c>
      <c r="E29">
        <v>23964</v>
      </c>
      <c r="F29">
        <v>23964</v>
      </c>
      <c r="G29">
        <v>23964</v>
      </c>
    </row>
    <row r="30" spans="1:7" x14ac:dyDescent="0.2">
      <c r="A30">
        <v>2018</v>
      </c>
      <c r="B30">
        <v>2.5831040809186399</v>
      </c>
      <c r="C30">
        <v>1.5976741161246799</v>
      </c>
      <c r="D30">
        <v>74580</v>
      </c>
      <c r="E30">
        <v>24167</v>
      </c>
      <c r="F30">
        <v>24167</v>
      </c>
      <c r="G30">
        <v>24167</v>
      </c>
    </row>
    <row r="31" spans="1:7" x14ac:dyDescent="0.2">
      <c r="A31">
        <v>2019</v>
      </c>
      <c r="B31">
        <v>2.55713220230083</v>
      </c>
      <c r="C31">
        <v>1.5873643165064699</v>
      </c>
      <c r="D31">
        <v>74905</v>
      </c>
      <c r="E31">
        <v>24210</v>
      </c>
      <c r="F31">
        <v>24210</v>
      </c>
      <c r="G31">
        <v>24210</v>
      </c>
    </row>
    <row r="32" spans="1:7" x14ac:dyDescent="0.2">
      <c r="A32">
        <v>2020</v>
      </c>
      <c r="B32">
        <v>2.57108776442628</v>
      </c>
      <c r="C32">
        <v>1.58295215263877</v>
      </c>
      <c r="D32">
        <v>82212</v>
      </c>
      <c r="E32">
        <v>26155</v>
      </c>
      <c r="F32">
        <v>26155</v>
      </c>
      <c r="G32">
        <v>26155</v>
      </c>
    </row>
    <row r="33" spans="1:7" x14ac:dyDescent="0.2">
      <c r="A33">
        <v>2021</v>
      </c>
      <c r="B33">
        <v>2.5774212840199402</v>
      </c>
      <c r="C33">
        <v>1.58961653483693</v>
      </c>
      <c r="D33">
        <v>82375</v>
      </c>
      <c r="E33">
        <v>26185</v>
      </c>
      <c r="F33">
        <v>26185</v>
      </c>
      <c r="G33">
        <v>26185</v>
      </c>
    </row>
    <row r="34" spans="1:7" x14ac:dyDescent="0.2">
      <c r="A34">
        <v>2022</v>
      </c>
      <c r="B34">
        <v>2.60831286659027</v>
      </c>
      <c r="C34">
        <v>1.5971832118057001</v>
      </c>
      <c r="D34">
        <v>72683</v>
      </c>
      <c r="E34">
        <v>23109</v>
      </c>
      <c r="F34">
        <v>23109</v>
      </c>
      <c r="G34">
        <v>23109</v>
      </c>
    </row>
    <row r="35" spans="1:7" x14ac:dyDescent="0.2">
      <c r="A35">
        <v>2023</v>
      </c>
      <c r="B35">
        <v>2.5863539043530501</v>
      </c>
      <c r="C35">
        <v>1.5803856551768001</v>
      </c>
      <c r="D35">
        <v>67683</v>
      </c>
      <c r="E35">
        <v>21184</v>
      </c>
      <c r="F35">
        <v>21184</v>
      </c>
      <c r="G35">
        <v>21184</v>
      </c>
    </row>
    <row r="36" spans="1:7" x14ac:dyDescent="0.2">
      <c r="A36">
        <v>2024</v>
      </c>
      <c r="B36">
        <v>2.6079455632277502</v>
      </c>
      <c r="C36">
        <v>1.59770257088514</v>
      </c>
      <c r="D36">
        <v>69046</v>
      </c>
      <c r="E36">
        <v>21495</v>
      </c>
      <c r="F36">
        <v>21495</v>
      </c>
      <c r="G36">
        <v>21495</v>
      </c>
    </row>
    <row r="37" spans="1:7" x14ac:dyDescent="0.2">
      <c r="A37">
        <v>2025</v>
      </c>
      <c r="B37">
        <v>2.5874318733986699</v>
      </c>
      <c r="C37">
        <v>1.5709338752205999</v>
      </c>
      <c r="D37">
        <v>43477</v>
      </c>
      <c r="E37">
        <v>13782</v>
      </c>
      <c r="F37">
        <v>13782</v>
      </c>
      <c r="G37">
        <v>13782</v>
      </c>
    </row>
    <row r="38" spans="1:7" x14ac:dyDescent="0.2">
      <c r="A38" t="s">
        <v>1</v>
      </c>
      <c r="B38">
        <f t="shared" ref="B38:G38" si="0">SUM(B2:B37)</f>
        <v>92.445530563181904</v>
      </c>
      <c r="C38">
        <f t="shared" si="0"/>
        <v>60.472942763075743</v>
      </c>
      <c r="D38">
        <f t="shared" si="0"/>
        <v>2125833</v>
      </c>
      <c r="E38">
        <f t="shared" si="0"/>
        <v>614361</v>
      </c>
      <c r="F38">
        <f t="shared" si="0"/>
        <v>614361</v>
      </c>
      <c r="G38">
        <f t="shared" si="0"/>
        <v>614361</v>
      </c>
    </row>
    <row r="39" spans="1:7" x14ac:dyDescent="0.2">
      <c r="A39" t="s">
        <v>2</v>
      </c>
      <c r="B39">
        <f>MAX(B2:B37)</f>
        <v>2.6785486289932501</v>
      </c>
      <c r="C39">
        <f t="shared" ref="C39:G39" si="1">MAX(C2:C37)</f>
        <v>1.8153620206090799</v>
      </c>
      <c r="D39">
        <f t="shared" si="1"/>
        <v>82375</v>
      </c>
      <c r="E39">
        <f t="shared" si="1"/>
        <v>26185</v>
      </c>
      <c r="F39">
        <f t="shared" si="1"/>
        <v>26185</v>
      </c>
      <c r="G39">
        <f t="shared" si="1"/>
        <v>26185</v>
      </c>
    </row>
    <row r="40" spans="1:7" x14ac:dyDescent="0.2">
      <c r="A40" t="s">
        <v>3</v>
      </c>
      <c r="B40">
        <f>MIN(B2:B37)</f>
        <v>2.4457705521530202</v>
      </c>
      <c r="C40">
        <f t="shared" ref="C40:G40" si="2">MIN(C2:C37)</f>
        <v>1.5709338752205999</v>
      </c>
      <c r="D40">
        <f t="shared" si="2"/>
        <v>31431</v>
      </c>
      <c r="E40">
        <f t="shared" si="2"/>
        <v>5369</v>
      </c>
      <c r="F40">
        <f t="shared" si="2"/>
        <v>5369</v>
      </c>
      <c r="G40">
        <f t="shared" si="2"/>
        <v>5369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G40"/>
  <sheetViews>
    <sheetView workbookViewId="0">
      <selection activeCell="A2" sqref="A2:G37"/>
    </sheetView>
  </sheetViews>
  <sheetFormatPr baseColWidth="10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2.3346139329870201</v>
      </c>
      <c r="C2">
        <v>1.80738306738085</v>
      </c>
      <c r="D2">
        <v>278716</v>
      </c>
      <c r="E2">
        <v>20882</v>
      </c>
      <c r="F2">
        <v>20882</v>
      </c>
      <c r="G2">
        <v>20882</v>
      </c>
    </row>
    <row r="3" spans="1:7" x14ac:dyDescent="0.2">
      <c r="A3">
        <v>1991</v>
      </c>
      <c r="B3">
        <v>2.33917580844762</v>
      </c>
      <c r="C3">
        <v>1.7966408987337199</v>
      </c>
      <c r="D3">
        <v>281501</v>
      </c>
      <c r="E3">
        <v>22765</v>
      </c>
      <c r="F3">
        <v>22765</v>
      </c>
      <c r="G3">
        <v>22765</v>
      </c>
    </row>
    <row r="4" spans="1:7" x14ac:dyDescent="0.2">
      <c r="A4">
        <v>1992</v>
      </c>
      <c r="B4">
        <v>2.3536872574591001</v>
      </c>
      <c r="C4">
        <v>1.7934801716797499</v>
      </c>
      <c r="D4">
        <v>287106</v>
      </c>
      <c r="E4">
        <v>25095</v>
      </c>
      <c r="F4">
        <v>25095</v>
      </c>
      <c r="G4">
        <v>25095</v>
      </c>
    </row>
    <row r="5" spans="1:7" x14ac:dyDescent="0.2">
      <c r="A5">
        <v>1993</v>
      </c>
      <c r="B5">
        <v>2.3625235726581</v>
      </c>
      <c r="C5">
        <v>1.7661867877261499</v>
      </c>
      <c r="D5">
        <v>292438</v>
      </c>
      <c r="E5">
        <v>27237</v>
      </c>
      <c r="F5">
        <v>27237</v>
      </c>
      <c r="G5">
        <v>27237</v>
      </c>
    </row>
    <row r="6" spans="1:7" x14ac:dyDescent="0.2">
      <c r="A6">
        <v>1994</v>
      </c>
      <c r="B6">
        <v>2.3757015176593099</v>
      </c>
      <c r="C6">
        <v>1.7662382667384899</v>
      </c>
      <c r="D6">
        <v>300383</v>
      </c>
      <c r="E6">
        <v>29583</v>
      </c>
      <c r="F6">
        <v>29583</v>
      </c>
      <c r="G6">
        <v>29583</v>
      </c>
    </row>
    <row r="7" spans="1:7" x14ac:dyDescent="0.2">
      <c r="A7">
        <v>1995</v>
      </c>
      <c r="B7">
        <v>2.38254036838403</v>
      </c>
      <c r="C7">
        <v>1.7420948618519101</v>
      </c>
      <c r="D7">
        <v>309682</v>
      </c>
      <c r="E7">
        <v>31986</v>
      </c>
      <c r="F7">
        <v>31986</v>
      </c>
      <c r="G7">
        <v>31986</v>
      </c>
    </row>
    <row r="8" spans="1:7" x14ac:dyDescent="0.2">
      <c r="A8">
        <v>1996</v>
      </c>
      <c r="B8">
        <v>2.3960516212479099</v>
      </c>
      <c r="C8">
        <v>1.73223048251681</v>
      </c>
      <c r="D8">
        <v>315735</v>
      </c>
      <c r="E8">
        <v>34368</v>
      </c>
      <c r="F8">
        <v>34368</v>
      </c>
      <c r="G8">
        <v>34368</v>
      </c>
    </row>
    <row r="9" spans="1:7" x14ac:dyDescent="0.2">
      <c r="A9">
        <v>1997</v>
      </c>
      <c r="B9">
        <v>2.41169797967494</v>
      </c>
      <c r="C9">
        <v>1.7429363759605001</v>
      </c>
      <c r="D9">
        <v>324663</v>
      </c>
      <c r="E9">
        <v>36618</v>
      </c>
      <c r="F9">
        <v>36618</v>
      </c>
      <c r="G9">
        <v>36618</v>
      </c>
    </row>
    <row r="10" spans="1:7" x14ac:dyDescent="0.2">
      <c r="A10">
        <v>1998</v>
      </c>
      <c r="B10">
        <v>2.41015548865143</v>
      </c>
      <c r="C10">
        <v>1.72132926661386</v>
      </c>
      <c r="D10">
        <v>340071</v>
      </c>
      <c r="E10">
        <v>38557</v>
      </c>
      <c r="F10">
        <v>38557</v>
      </c>
      <c r="G10">
        <v>38557</v>
      </c>
    </row>
    <row r="11" spans="1:7" x14ac:dyDescent="0.2">
      <c r="A11">
        <v>1999</v>
      </c>
      <c r="B11">
        <v>2.42230441298253</v>
      </c>
      <c r="C11">
        <v>1.7259121530432799</v>
      </c>
      <c r="D11">
        <v>349352</v>
      </c>
      <c r="E11">
        <v>40973</v>
      </c>
      <c r="F11">
        <v>40973</v>
      </c>
      <c r="G11">
        <v>40973</v>
      </c>
    </row>
    <row r="12" spans="1:7" x14ac:dyDescent="0.2">
      <c r="A12">
        <v>2000</v>
      </c>
      <c r="B12">
        <v>2.4123113118950901</v>
      </c>
      <c r="C12">
        <v>1.72047711276698</v>
      </c>
      <c r="D12">
        <v>376786</v>
      </c>
      <c r="E12">
        <v>42661</v>
      </c>
      <c r="F12">
        <v>42661</v>
      </c>
      <c r="G12">
        <v>42661</v>
      </c>
    </row>
    <row r="13" spans="1:7" x14ac:dyDescent="0.2">
      <c r="A13">
        <v>2001</v>
      </c>
      <c r="B13">
        <v>2.4191121898079402</v>
      </c>
      <c r="C13">
        <v>1.7034450361415301</v>
      </c>
      <c r="D13">
        <v>396538</v>
      </c>
      <c r="E13">
        <v>45978</v>
      </c>
      <c r="F13">
        <v>45978</v>
      </c>
      <c r="G13">
        <v>45978</v>
      </c>
    </row>
    <row r="14" spans="1:7" x14ac:dyDescent="0.2">
      <c r="A14">
        <v>2002</v>
      </c>
      <c r="B14">
        <v>2.4080947971248698</v>
      </c>
      <c r="C14">
        <v>1.69113235463353</v>
      </c>
      <c r="D14">
        <v>416028</v>
      </c>
      <c r="E14">
        <v>49350</v>
      </c>
      <c r="F14">
        <v>49350</v>
      </c>
      <c r="G14">
        <v>49350</v>
      </c>
    </row>
    <row r="15" spans="1:7" x14ac:dyDescent="0.2">
      <c r="A15">
        <v>2003</v>
      </c>
      <c r="B15">
        <v>2.40446244834403</v>
      </c>
      <c r="C15">
        <v>1.6880597910944799</v>
      </c>
      <c r="D15">
        <v>445521</v>
      </c>
      <c r="E15">
        <v>55143</v>
      </c>
      <c r="F15">
        <v>55143</v>
      </c>
      <c r="G15">
        <v>55143</v>
      </c>
    </row>
    <row r="16" spans="1:7" x14ac:dyDescent="0.2">
      <c r="A16">
        <v>2004</v>
      </c>
      <c r="B16">
        <v>2.40521226631077</v>
      </c>
      <c r="C16">
        <v>1.6755965141028</v>
      </c>
      <c r="D16">
        <v>481295</v>
      </c>
      <c r="E16">
        <v>61013</v>
      </c>
      <c r="F16">
        <v>61013</v>
      </c>
      <c r="G16">
        <v>61013</v>
      </c>
    </row>
    <row r="17" spans="1:7" x14ac:dyDescent="0.2">
      <c r="A17">
        <v>2005</v>
      </c>
      <c r="B17">
        <v>2.4029555011671699</v>
      </c>
      <c r="C17">
        <v>1.6690659907113099</v>
      </c>
      <c r="D17">
        <v>536057</v>
      </c>
      <c r="E17">
        <v>70238</v>
      </c>
      <c r="F17">
        <v>70238</v>
      </c>
      <c r="G17">
        <v>70238</v>
      </c>
    </row>
    <row r="18" spans="1:7" x14ac:dyDescent="0.2">
      <c r="A18">
        <v>2006</v>
      </c>
      <c r="B18">
        <v>2.40160799799032</v>
      </c>
      <c r="C18">
        <v>1.6717145018366799</v>
      </c>
      <c r="D18">
        <v>579809</v>
      </c>
      <c r="E18">
        <v>76101</v>
      </c>
      <c r="F18">
        <v>76101</v>
      </c>
      <c r="G18">
        <v>76101</v>
      </c>
    </row>
    <row r="19" spans="1:7" x14ac:dyDescent="0.2">
      <c r="A19">
        <v>2007</v>
      </c>
      <c r="B19">
        <v>2.4263821401871799</v>
      </c>
      <c r="C19">
        <v>1.6731114395961899</v>
      </c>
      <c r="D19">
        <v>616538</v>
      </c>
      <c r="E19">
        <v>83458</v>
      </c>
      <c r="F19">
        <v>83458</v>
      </c>
      <c r="G19">
        <v>83458</v>
      </c>
    </row>
    <row r="20" spans="1:7" x14ac:dyDescent="0.2">
      <c r="A20">
        <v>2008</v>
      </c>
      <c r="B20">
        <v>2.4444132168893802</v>
      </c>
      <c r="C20">
        <v>1.6719628193648599</v>
      </c>
      <c r="D20">
        <v>648270</v>
      </c>
      <c r="E20">
        <v>90623</v>
      </c>
      <c r="F20">
        <v>90623</v>
      </c>
      <c r="G20">
        <v>90623</v>
      </c>
    </row>
    <row r="21" spans="1:7" x14ac:dyDescent="0.2">
      <c r="A21">
        <v>2009</v>
      </c>
      <c r="B21">
        <v>2.4631511473390302</v>
      </c>
      <c r="C21">
        <v>1.6680450574835499</v>
      </c>
      <c r="D21">
        <v>676468</v>
      </c>
      <c r="E21">
        <v>96924</v>
      </c>
      <c r="F21">
        <v>96924</v>
      </c>
      <c r="G21">
        <v>96924</v>
      </c>
    </row>
    <row r="22" spans="1:7" x14ac:dyDescent="0.2">
      <c r="A22">
        <v>2010</v>
      </c>
      <c r="B22">
        <v>2.46139677499617</v>
      </c>
      <c r="C22">
        <v>1.6544710723053699</v>
      </c>
      <c r="D22">
        <v>725028</v>
      </c>
      <c r="E22">
        <v>106185</v>
      </c>
      <c r="F22">
        <v>106185</v>
      </c>
      <c r="G22">
        <v>106185</v>
      </c>
    </row>
    <row r="23" spans="1:7" x14ac:dyDescent="0.2">
      <c r="A23">
        <v>2011</v>
      </c>
      <c r="B23">
        <v>2.4830960152315802</v>
      </c>
      <c r="C23">
        <v>1.6541113844131701</v>
      </c>
      <c r="D23">
        <v>776404</v>
      </c>
      <c r="E23">
        <v>118039</v>
      </c>
      <c r="F23">
        <v>118039</v>
      </c>
      <c r="G23">
        <v>118039</v>
      </c>
    </row>
    <row r="24" spans="1:7" x14ac:dyDescent="0.2">
      <c r="A24">
        <v>2012</v>
      </c>
      <c r="B24">
        <v>2.4876858415729899</v>
      </c>
      <c r="C24">
        <v>1.6417412631866799</v>
      </c>
      <c r="D24">
        <v>820315</v>
      </c>
      <c r="E24">
        <v>128508</v>
      </c>
      <c r="F24">
        <v>128508</v>
      </c>
      <c r="G24">
        <v>128508</v>
      </c>
    </row>
    <row r="25" spans="1:7" x14ac:dyDescent="0.2">
      <c r="A25">
        <v>2013</v>
      </c>
      <c r="B25">
        <v>2.48503593500859</v>
      </c>
      <c r="C25">
        <v>1.6326479778788701</v>
      </c>
      <c r="D25">
        <v>855653</v>
      </c>
      <c r="E25">
        <v>138951</v>
      </c>
      <c r="F25">
        <v>138951</v>
      </c>
      <c r="G25">
        <v>138951</v>
      </c>
    </row>
    <row r="26" spans="1:7" x14ac:dyDescent="0.2">
      <c r="A26">
        <v>2014</v>
      </c>
      <c r="B26">
        <v>2.4908233191286002</v>
      </c>
      <c r="C26">
        <v>1.62810275101382</v>
      </c>
      <c r="D26">
        <v>876761</v>
      </c>
      <c r="E26">
        <v>146519</v>
      </c>
      <c r="F26">
        <v>146519</v>
      </c>
      <c r="G26">
        <v>146519</v>
      </c>
    </row>
    <row r="27" spans="1:7" x14ac:dyDescent="0.2">
      <c r="A27">
        <v>2015</v>
      </c>
      <c r="B27">
        <v>2.5075960193796698</v>
      </c>
      <c r="C27">
        <v>1.6294984990277901</v>
      </c>
      <c r="D27">
        <v>884808</v>
      </c>
      <c r="E27">
        <v>153235</v>
      </c>
      <c r="F27">
        <v>153235</v>
      </c>
      <c r="G27">
        <v>153235</v>
      </c>
    </row>
    <row r="28" spans="1:7" x14ac:dyDescent="0.2">
      <c r="A28">
        <v>2016</v>
      </c>
      <c r="B28">
        <v>2.4761241190998602</v>
      </c>
      <c r="C28">
        <v>1.6098426545587901</v>
      </c>
      <c r="D28">
        <v>881192</v>
      </c>
      <c r="E28">
        <v>155077</v>
      </c>
      <c r="F28">
        <v>155077</v>
      </c>
      <c r="G28">
        <v>155077</v>
      </c>
    </row>
    <row r="29" spans="1:7" x14ac:dyDescent="0.2">
      <c r="A29">
        <v>2017</v>
      </c>
      <c r="B29">
        <v>2.4444293839107201</v>
      </c>
      <c r="C29">
        <v>1.5924701508857499</v>
      </c>
      <c r="D29">
        <v>882495</v>
      </c>
      <c r="E29">
        <v>157484</v>
      </c>
      <c r="F29">
        <v>157484</v>
      </c>
      <c r="G29">
        <v>157484</v>
      </c>
    </row>
    <row r="30" spans="1:7" x14ac:dyDescent="0.2">
      <c r="A30">
        <v>2018</v>
      </c>
      <c r="B30">
        <v>2.4333697747441199</v>
      </c>
      <c r="C30">
        <v>1.58733684287064</v>
      </c>
      <c r="D30">
        <v>900568</v>
      </c>
      <c r="E30">
        <v>162452</v>
      </c>
      <c r="F30">
        <v>162452</v>
      </c>
      <c r="G30">
        <v>162452</v>
      </c>
    </row>
    <row r="31" spans="1:7" x14ac:dyDescent="0.2">
      <c r="A31">
        <v>2019</v>
      </c>
      <c r="B31">
        <v>2.4413891069445399</v>
      </c>
      <c r="C31">
        <v>1.5879214468335801</v>
      </c>
      <c r="D31">
        <v>941231</v>
      </c>
      <c r="E31">
        <v>169776</v>
      </c>
      <c r="F31">
        <v>169776</v>
      </c>
      <c r="G31">
        <v>169776</v>
      </c>
    </row>
    <row r="32" spans="1:7" x14ac:dyDescent="0.2">
      <c r="A32">
        <v>2020</v>
      </c>
      <c r="B32">
        <v>2.44896014053491</v>
      </c>
      <c r="C32">
        <v>1.5838004782519499</v>
      </c>
      <c r="D32">
        <v>1043379</v>
      </c>
      <c r="E32">
        <v>191959</v>
      </c>
      <c r="F32">
        <v>191959</v>
      </c>
      <c r="G32">
        <v>191959</v>
      </c>
    </row>
    <row r="33" spans="1:7" x14ac:dyDescent="0.2">
      <c r="A33">
        <v>2021</v>
      </c>
      <c r="B33">
        <v>2.45742327544668</v>
      </c>
      <c r="C33">
        <v>1.59003026032537</v>
      </c>
      <c r="D33">
        <v>1112394</v>
      </c>
      <c r="E33">
        <v>206278</v>
      </c>
      <c r="F33">
        <v>206278</v>
      </c>
      <c r="G33">
        <v>206278</v>
      </c>
    </row>
    <row r="34" spans="1:7" x14ac:dyDescent="0.2">
      <c r="A34">
        <v>2022</v>
      </c>
      <c r="B34">
        <v>2.4583065913622</v>
      </c>
      <c r="C34">
        <v>1.5885932733068999</v>
      </c>
      <c r="D34">
        <v>1092792</v>
      </c>
      <c r="E34">
        <v>197052</v>
      </c>
      <c r="F34">
        <v>197052</v>
      </c>
      <c r="G34">
        <v>197052</v>
      </c>
    </row>
    <row r="35" spans="1:7" x14ac:dyDescent="0.2">
      <c r="A35">
        <v>2023</v>
      </c>
      <c r="B35">
        <v>2.45149734827748</v>
      </c>
      <c r="C35">
        <v>1.5760775361611901</v>
      </c>
      <c r="D35">
        <v>978968</v>
      </c>
      <c r="E35">
        <v>178431</v>
      </c>
      <c r="F35">
        <v>178431</v>
      </c>
      <c r="G35">
        <v>178431</v>
      </c>
    </row>
    <row r="36" spans="1:7" x14ac:dyDescent="0.2">
      <c r="A36">
        <v>2024</v>
      </c>
      <c r="B36">
        <v>2.4553973877891901</v>
      </c>
      <c r="C36">
        <v>1.57987808856932</v>
      </c>
      <c r="D36">
        <v>1018395</v>
      </c>
      <c r="E36">
        <v>184181</v>
      </c>
      <c r="F36">
        <v>184181</v>
      </c>
      <c r="G36">
        <v>184181</v>
      </c>
    </row>
    <row r="37" spans="1:7" x14ac:dyDescent="0.2">
      <c r="A37">
        <v>2025</v>
      </c>
      <c r="B37">
        <v>2.45640222298394</v>
      </c>
      <c r="C37">
        <v>1.58417528529323</v>
      </c>
      <c r="D37">
        <v>691456</v>
      </c>
      <c r="E37">
        <v>126805</v>
      </c>
      <c r="F37">
        <v>126805</v>
      </c>
      <c r="G37">
        <v>126805</v>
      </c>
    </row>
    <row r="38" spans="1:7" x14ac:dyDescent="0.2">
      <c r="A38" t="s">
        <v>1</v>
      </c>
      <c r="B38">
        <f t="shared" ref="B38:G38" si="0">SUM(B2:B37)</f>
        <v>87.415088233619031</v>
      </c>
      <c r="C38">
        <f t="shared" si="0"/>
        <v>60.147741914859665</v>
      </c>
      <c r="D38">
        <f t="shared" si="0"/>
        <v>22734796</v>
      </c>
      <c r="E38">
        <f t="shared" si="0"/>
        <v>3500485</v>
      </c>
      <c r="F38">
        <f t="shared" si="0"/>
        <v>3500485</v>
      </c>
      <c r="G38">
        <f t="shared" si="0"/>
        <v>3500485</v>
      </c>
    </row>
    <row r="39" spans="1:7" x14ac:dyDescent="0.2">
      <c r="A39" t="s">
        <v>2</v>
      </c>
      <c r="B39">
        <f>MAX(B2:B37)</f>
        <v>2.5075960193796698</v>
      </c>
      <c r="C39">
        <f t="shared" ref="C39:G39" si="1">MAX(C2:C37)</f>
        <v>1.80738306738085</v>
      </c>
      <c r="D39">
        <f t="shared" si="1"/>
        <v>1112394</v>
      </c>
      <c r="E39">
        <f t="shared" si="1"/>
        <v>206278</v>
      </c>
      <c r="F39">
        <f t="shared" si="1"/>
        <v>206278</v>
      </c>
      <c r="G39">
        <f t="shared" si="1"/>
        <v>206278</v>
      </c>
    </row>
    <row r="40" spans="1:7" x14ac:dyDescent="0.2">
      <c r="A40" t="s">
        <v>3</v>
      </c>
      <c r="B40">
        <f>MIN(B2:B37)</f>
        <v>2.3346139329870201</v>
      </c>
      <c r="C40">
        <f t="shared" ref="C40:G40" si="2">MIN(C2:C37)</f>
        <v>1.5760775361611901</v>
      </c>
      <c r="D40">
        <f t="shared" si="2"/>
        <v>278716</v>
      </c>
      <c r="E40">
        <f t="shared" si="2"/>
        <v>20882</v>
      </c>
      <c r="F40">
        <f t="shared" si="2"/>
        <v>20882</v>
      </c>
      <c r="G40">
        <f t="shared" si="2"/>
        <v>20882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77DD-D425-C946-9381-1BC14D24376A}">
  <dimension ref="A1:G37"/>
  <sheetViews>
    <sheetView workbookViewId="0">
      <selection activeCell="B14" sqref="B14"/>
    </sheetView>
  </sheetViews>
  <sheetFormatPr baseColWidth="10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>
        <v>2002</v>
      </c>
      <c r="B14">
        <v>2.9999999999999898</v>
      </c>
      <c r="C14">
        <v>2.9999999999999898</v>
      </c>
      <c r="D14">
        <v>1</v>
      </c>
      <c r="E14">
        <v>1</v>
      </c>
      <c r="F14">
        <v>1</v>
      </c>
      <c r="G14">
        <v>1</v>
      </c>
    </row>
    <row r="15" spans="1:7" x14ac:dyDescent="0.2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>
        <v>2005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</row>
    <row r="18" spans="1:7" x14ac:dyDescent="0.2">
      <c r="A18">
        <v>2006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</row>
    <row r="19" spans="1:7" x14ac:dyDescent="0.2">
      <c r="A19">
        <v>2007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</row>
    <row r="20" spans="1:7" x14ac:dyDescent="0.2">
      <c r="A20">
        <v>2008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 x14ac:dyDescent="0.2">
      <c r="A21">
        <v>2009</v>
      </c>
      <c r="B21">
        <v>2.9999999999999898</v>
      </c>
      <c r="C21">
        <v>1.5484550065040199</v>
      </c>
      <c r="D21">
        <v>6</v>
      </c>
      <c r="E21">
        <v>2</v>
      </c>
      <c r="F21">
        <v>2</v>
      </c>
      <c r="G21">
        <v>2</v>
      </c>
    </row>
    <row r="22" spans="1:7" x14ac:dyDescent="0.2">
      <c r="A22">
        <v>2010</v>
      </c>
      <c r="B22">
        <v>2.38148343623992</v>
      </c>
      <c r="C22">
        <v>1.52899498581226</v>
      </c>
      <c r="D22">
        <v>33</v>
      </c>
      <c r="E22">
        <v>19</v>
      </c>
      <c r="F22">
        <v>19</v>
      </c>
      <c r="G22">
        <v>19</v>
      </c>
    </row>
    <row r="23" spans="1:7" x14ac:dyDescent="0.2">
      <c r="A23">
        <v>2011</v>
      </c>
      <c r="B23">
        <v>2.6939023610832198</v>
      </c>
      <c r="C23">
        <v>1.75114484371104</v>
      </c>
      <c r="D23">
        <v>69</v>
      </c>
      <c r="E23">
        <v>42</v>
      </c>
      <c r="F23">
        <v>41</v>
      </c>
      <c r="G23">
        <v>41</v>
      </c>
    </row>
    <row r="24" spans="1:7" x14ac:dyDescent="0.2">
      <c r="A24">
        <v>2012</v>
      </c>
      <c r="B24">
        <v>2.6189537641437401</v>
      </c>
      <c r="C24">
        <v>1.6430874099836199</v>
      </c>
      <c r="D24">
        <v>639</v>
      </c>
      <c r="E24">
        <v>297</v>
      </c>
      <c r="F24">
        <v>293</v>
      </c>
      <c r="G24">
        <v>293</v>
      </c>
    </row>
    <row r="25" spans="1:7" x14ac:dyDescent="0.2">
      <c r="A25">
        <v>2013</v>
      </c>
      <c r="B25">
        <v>2.5751071823635199</v>
      </c>
      <c r="C25">
        <v>1.6512465141181101</v>
      </c>
      <c r="D25">
        <v>5492</v>
      </c>
      <c r="E25">
        <v>2751</v>
      </c>
      <c r="F25">
        <v>2694</v>
      </c>
      <c r="G25">
        <v>2694</v>
      </c>
    </row>
    <row r="26" spans="1:7" x14ac:dyDescent="0.2">
      <c r="A26">
        <v>2014</v>
      </c>
      <c r="B26">
        <v>2.5891972251988702</v>
      </c>
      <c r="C26">
        <v>1.6595524677664</v>
      </c>
      <c r="D26">
        <v>11337</v>
      </c>
      <c r="E26">
        <v>5657</v>
      </c>
      <c r="F26">
        <v>5548</v>
      </c>
      <c r="G26">
        <v>5548</v>
      </c>
    </row>
    <row r="27" spans="1:7" x14ac:dyDescent="0.2">
      <c r="A27">
        <v>2015</v>
      </c>
      <c r="B27">
        <v>2.5874960898985599</v>
      </c>
      <c r="C27">
        <v>1.6418266469984</v>
      </c>
      <c r="D27">
        <v>13825</v>
      </c>
      <c r="E27">
        <v>6973</v>
      </c>
      <c r="F27">
        <v>6892</v>
      </c>
      <c r="G27">
        <v>6892</v>
      </c>
    </row>
    <row r="28" spans="1:7" x14ac:dyDescent="0.2">
      <c r="A28">
        <v>2016</v>
      </c>
      <c r="B28">
        <v>2.5806482128642698</v>
      </c>
      <c r="C28">
        <v>1.62755304311835</v>
      </c>
      <c r="D28">
        <v>15304</v>
      </c>
      <c r="E28">
        <v>7820</v>
      </c>
      <c r="F28">
        <v>7707</v>
      </c>
      <c r="G28">
        <v>7707</v>
      </c>
    </row>
    <row r="29" spans="1:7" x14ac:dyDescent="0.2">
      <c r="A29">
        <v>2017</v>
      </c>
      <c r="B29">
        <v>2.5549066841047599</v>
      </c>
      <c r="C29">
        <v>1.6335435923405699</v>
      </c>
      <c r="D29">
        <v>16659</v>
      </c>
      <c r="E29">
        <v>8557</v>
      </c>
      <c r="F29">
        <v>8433</v>
      </c>
      <c r="G29">
        <v>8433</v>
      </c>
    </row>
    <row r="30" spans="1:7" x14ac:dyDescent="0.2">
      <c r="A30">
        <v>2018</v>
      </c>
      <c r="B30">
        <v>2.5522486946309</v>
      </c>
      <c r="C30">
        <v>1.63375818920996</v>
      </c>
      <c r="D30">
        <v>18349</v>
      </c>
      <c r="E30">
        <v>9309</v>
      </c>
      <c r="F30">
        <v>9191</v>
      </c>
      <c r="G30">
        <v>9191</v>
      </c>
    </row>
    <row r="31" spans="1:7" x14ac:dyDescent="0.2">
      <c r="A31">
        <v>2019</v>
      </c>
      <c r="B31">
        <v>2.5397727597357198</v>
      </c>
      <c r="C31">
        <v>1.6193574760462599</v>
      </c>
      <c r="D31">
        <v>20068</v>
      </c>
      <c r="E31">
        <v>10099</v>
      </c>
      <c r="F31">
        <v>9986</v>
      </c>
      <c r="G31">
        <v>9986</v>
      </c>
    </row>
    <row r="32" spans="1:7" x14ac:dyDescent="0.2">
      <c r="A32">
        <v>2020</v>
      </c>
      <c r="B32">
        <v>2.56282020730321</v>
      </c>
      <c r="C32">
        <v>1.62482127022384</v>
      </c>
      <c r="D32">
        <v>22491</v>
      </c>
      <c r="E32">
        <v>11186</v>
      </c>
      <c r="F32">
        <v>11077</v>
      </c>
      <c r="G32">
        <v>11077</v>
      </c>
    </row>
    <row r="33" spans="1:7" x14ac:dyDescent="0.2">
      <c r="A33">
        <v>2021</v>
      </c>
      <c r="B33">
        <v>2.5541678427132202</v>
      </c>
      <c r="C33">
        <v>1.6299225018507899</v>
      </c>
      <c r="D33">
        <v>23297</v>
      </c>
      <c r="E33">
        <v>11185</v>
      </c>
      <c r="F33">
        <v>11056</v>
      </c>
      <c r="G33">
        <v>11056</v>
      </c>
    </row>
    <row r="34" spans="1:7" x14ac:dyDescent="0.2">
      <c r="A34">
        <v>2022</v>
      </c>
      <c r="B34">
        <v>2.5438267771404299</v>
      </c>
      <c r="C34">
        <v>1.63417344811286</v>
      </c>
      <c r="D34">
        <v>18233</v>
      </c>
      <c r="E34">
        <v>8780</v>
      </c>
      <c r="F34">
        <v>8674</v>
      </c>
      <c r="G34">
        <v>8674</v>
      </c>
    </row>
    <row r="35" spans="1:7" x14ac:dyDescent="0.2">
      <c r="A35">
        <v>2023</v>
      </c>
      <c r="B35">
        <v>2.5136293086902701</v>
      </c>
      <c r="C35">
        <v>1.6242897788585</v>
      </c>
      <c r="D35">
        <v>16328</v>
      </c>
      <c r="E35">
        <v>7919</v>
      </c>
      <c r="F35">
        <v>7830</v>
      </c>
      <c r="G35">
        <v>7830</v>
      </c>
    </row>
    <row r="36" spans="1:7" x14ac:dyDescent="0.2">
      <c r="A36">
        <v>2024</v>
      </c>
      <c r="B36">
        <v>2.48900242514555</v>
      </c>
      <c r="C36">
        <v>1.60875662086576</v>
      </c>
      <c r="D36">
        <v>19084</v>
      </c>
      <c r="E36">
        <v>9252</v>
      </c>
      <c r="F36">
        <v>9173</v>
      </c>
      <c r="G36">
        <v>9173</v>
      </c>
    </row>
    <row r="37" spans="1:7" x14ac:dyDescent="0.2">
      <c r="A37">
        <v>2025</v>
      </c>
      <c r="B37">
        <v>2.5059759157689299</v>
      </c>
      <c r="C37">
        <v>1.58267543957058</v>
      </c>
      <c r="D37">
        <v>14630</v>
      </c>
      <c r="E37">
        <v>7344</v>
      </c>
      <c r="F37">
        <v>7291</v>
      </c>
      <c r="G37">
        <v>7291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DE23-56B2-744F-B34F-85B8D49B110F}">
  <dimension ref="A1:G37"/>
  <sheetViews>
    <sheetView workbookViewId="0">
      <selection activeCell="I1" sqref="I1"/>
    </sheetView>
  </sheetViews>
  <sheetFormatPr baseColWidth="10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0</v>
      </c>
      <c r="C2">
        <v>0</v>
      </c>
      <c r="D2">
        <v>4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7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2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8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22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2.9999999999999898</v>
      </c>
      <c r="C7">
        <v>2.43367666522132</v>
      </c>
      <c r="D7">
        <v>36</v>
      </c>
      <c r="E7">
        <v>3</v>
      </c>
      <c r="F7">
        <v>3</v>
      </c>
      <c r="G7">
        <v>3</v>
      </c>
    </row>
    <row r="8" spans="1:7" x14ac:dyDescent="0.2">
      <c r="A8">
        <v>1996</v>
      </c>
      <c r="B8">
        <v>2.9999999999999898</v>
      </c>
      <c r="C8">
        <v>2.4005149978319902</v>
      </c>
      <c r="D8">
        <v>69</v>
      </c>
      <c r="E8">
        <v>4</v>
      </c>
      <c r="F8">
        <v>4</v>
      </c>
      <c r="G8">
        <v>4</v>
      </c>
    </row>
    <row r="9" spans="1:7" x14ac:dyDescent="0.2">
      <c r="A9">
        <v>1997</v>
      </c>
      <c r="B9">
        <v>2.63518875236627</v>
      </c>
      <c r="C9">
        <v>1.7601819453227501</v>
      </c>
      <c r="D9">
        <v>127</v>
      </c>
      <c r="E9">
        <v>9</v>
      </c>
      <c r="F9">
        <v>9</v>
      </c>
      <c r="G9">
        <v>9</v>
      </c>
    </row>
    <row r="10" spans="1:7" x14ac:dyDescent="0.2">
      <c r="A10">
        <v>1998</v>
      </c>
      <c r="B10">
        <v>2.4683933711275099</v>
      </c>
      <c r="C10">
        <v>2.06535984316004</v>
      </c>
      <c r="D10">
        <v>205</v>
      </c>
      <c r="E10">
        <v>8</v>
      </c>
      <c r="F10">
        <v>8</v>
      </c>
      <c r="G10">
        <v>8</v>
      </c>
    </row>
    <row r="11" spans="1:7" x14ac:dyDescent="0.2">
      <c r="A11">
        <v>1999</v>
      </c>
      <c r="B11">
        <v>2.11000592607523</v>
      </c>
      <c r="C11">
        <v>1.1710343394582501</v>
      </c>
      <c r="D11">
        <v>276</v>
      </c>
      <c r="E11">
        <v>17</v>
      </c>
      <c r="F11">
        <v>17</v>
      </c>
      <c r="G11">
        <v>17</v>
      </c>
    </row>
    <row r="12" spans="1:7" x14ac:dyDescent="0.2">
      <c r="A12">
        <v>2000</v>
      </c>
      <c r="B12">
        <v>2.3396072456916199</v>
      </c>
      <c r="C12">
        <v>1.79241665774839</v>
      </c>
      <c r="D12">
        <v>1387</v>
      </c>
      <c r="E12">
        <v>74</v>
      </c>
      <c r="F12">
        <v>73</v>
      </c>
      <c r="G12">
        <v>73</v>
      </c>
    </row>
    <row r="13" spans="1:7" x14ac:dyDescent="0.2">
      <c r="A13">
        <v>2001</v>
      </c>
      <c r="B13">
        <v>2.4194197485568201</v>
      </c>
      <c r="C13">
        <v>1.7639705457436401</v>
      </c>
      <c r="D13">
        <v>1034</v>
      </c>
      <c r="E13">
        <v>70</v>
      </c>
      <c r="F13">
        <v>70</v>
      </c>
      <c r="G13">
        <v>70</v>
      </c>
    </row>
    <row r="14" spans="1:7" x14ac:dyDescent="0.2">
      <c r="A14">
        <v>2002</v>
      </c>
      <c r="B14">
        <v>2.84172520572714</v>
      </c>
      <c r="C14">
        <v>1.8155081211025701</v>
      </c>
      <c r="D14">
        <v>1161</v>
      </c>
      <c r="E14">
        <v>92</v>
      </c>
      <c r="F14">
        <v>92</v>
      </c>
      <c r="G14">
        <v>92</v>
      </c>
    </row>
    <row r="15" spans="1:7" x14ac:dyDescent="0.2">
      <c r="A15">
        <v>2003</v>
      </c>
      <c r="B15">
        <v>2.6449887611017102</v>
      </c>
      <c r="C15">
        <v>1.5316565478514801</v>
      </c>
      <c r="D15">
        <v>1369</v>
      </c>
      <c r="E15">
        <v>136</v>
      </c>
      <c r="F15">
        <v>136</v>
      </c>
      <c r="G15">
        <v>136</v>
      </c>
    </row>
    <row r="16" spans="1:7" x14ac:dyDescent="0.2">
      <c r="A16">
        <v>2004</v>
      </c>
      <c r="B16">
        <v>2.48260404696051</v>
      </c>
      <c r="C16">
        <v>1.47933746027258</v>
      </c>
      <c r="D16">
        <v>1694</v>
      </c>
      <c r="E16">
        <v>170</v>
      </c>
      <c r="F16">
        <v>170</v>
      </c>
      <c r="G16">
        <v>170</v>
      </c>
    </row>
    <row r="17" spans="1:7" x14ac:dyDescent="0.2">
      <c r="A17">
        <v>2005</v>
      </c>
      <c r="B17">
        <v>2.8460502181439602</v>
      </c>
      <c r="C17">
        <v>1.6662187322762301</v>
      </c>
      <c r="D17">
        <v>1993</v>
      </c>
      <c r="E17">
        <v>212</v>
      </c>
      <c r="F17">
        <v>209</v>
      </c>
      <c r="G17">
        <v>209</v>
      </c>
    </row>
    <row r="18" spans="1:7" x14ac:dyDescent="0.2">
      <c r="A18">
        <v>2006</v>
      </c>
      <c r="B18">
        <v>2.6865168883768802</v>
      </c>
      <c r="C18">
        <v>1.69299920675356</v>
      </c>
      <c r="D18">
        <v>2479</v>
      </c>
      <c r="E18">
        <v>269</v>
      </c>
      <c r="F18">
        <v>265</v>
      </c>
      <c r="G18">
        <v>265</v>
      </c>
    </row>
    <row r="19" spans="1:7" x14ac:dyDescent="0.2">
      <c r="A19">
        <v>2007</v>
      </c>
      <c r="B19">
        <v>2.6620535579639002</v>
      </c>
      <c r="C19">
        <v>1.49803381979785</v>
      </c>
      <c r="D19">
        <v>3317</v>
      </c>
      <c r="E19">
        <v>383</v>
      </c>
      <c r="F19">
        <v>383</v>
      </c>
      <c r="G19">
        <v>383</v>
      </c>
    </row>
    <row r="20" spans="1:7" x14ac:dyDescent="0.2">
      <c r="A20">
        <v>2008</v>
      </c>
      <c r="B20">
        <v>2.68135545528426</v>
      </c>
      <c r="C20">
        <v>1.5286923118068501</v>
      </c>
      <c r="D20">
        <v>3614</v>
      </c>
      <c r="E20">
        <v>447</v>
      </c>
      <c r="F20">
        <v>443</v>
      </c>
      <c r="G20">
        <v>443</v>
      </c>
    </row>
    <row r="21" spans="1:7" x14ac:dyDescent="0.2">
      <c r="A21">
        <v>2009</v>
      </c>
      <c r="B21">
        <v>2.61949676152082</v>
      </c>
      <c r="C21">
        <v>1.48049759873048</v>
      </c>
      <c r="D21">
        <v>4398</v>
      </c>
      <c r="E21">
        <v>568</v>
      </c>
      <c r="F21">
        <v>559</v>
      </c>
      <c r="G21">
        <v>559</v>
      </c>
    </row>
    <row r="22" spans="1:7" x14ac:dyDescent="0.2">
      <c r="A22">
        <v>2010</v>
      </c>
      <c r="B22">
        <v>2.69186616413038</v>
      </c>
      <c r="C22">
        <v>1.4113134923016</v>
      </c>
      <c r="D22">
        <v>5249</v>
      </c>
      <c r="E22">
        <v>718</v>
      </c>
      <c r="F22">
        <v>708</v>
      </c>
      <c r="G22">
        <v>708</v>
      </c>
    </row>
    <row r="23" spans="1:7" x14ac:dyDescent="0.2">
      <c r="A23">
        <v>2011</v>
      </c>
      <c r="B23">
        <v>2.7388359595498399</v>
      </c>
      <c r="C23">
        <v>1.4634604571084</v>
      </c>
      <c r="D23">
        <v>6500</v>
      </c>
      <c r="E23">
        <v>892</v>
      </c>
      <c r="F23">
        <v>874</v>
      </c>
      <c r="G23">
        <v>874</v>
      </c>
    </row>
    <row r="24" spans="1:7" x14ac:dyDescent="0.2">
      <c r="A24">
        <v>2012</v>
      </c>
      <c r="B24">
        <v>2.6785030760399802</v>
      </c>
      <c r="C24">
        <v>1.4683386580267599</v>
      </c>
      <c r="D24">
        <v>8253</v>
      </c>
      <c r="E24">
        <v>1290</v>
      </c>
      <c r="F24">
        <v>1256</v>
      </c>
      <c r="G24">
        <v>1256</v>
      </c>
    </row>
    <row r="25" spans="1:7" x14ac:dyDescent="0.2">
      <c r="A25">
        <v>2013</v>
      </c>
      <c r="B25">
        <v>2.6879107226346002</v>
      </c>
      <c r="C25">
        <v>1.4794681085784001</v>
      </c>
      <c r="D25">
        <v>10130</v>
      </c>
      <c r="E25">
        <v>1722</v>
      </c>
      <c r="F25">
        <v>1671</v>
      </c>
      <c r="G25">
        <v>1671</v>
      </c>
    </row>
    <row r="26" spans="1:7" x14ac:dyDescent="0.2">
      <c r="A26">
        <v>2014</v>
      </c>
      <c r="B26">
        <v>2.7770238125745399</v>
      </c>
      <c r="C26">
        <v>1.50718782347367</v>
      </c>
      <c r="D26">
        <v>11931</v>
      </c>
      <c r="E26">
        <v>2115</v>
      </c>
      <c r="F26">
        <v>2063</v>
      </c>
      <c r="G26">
        <v>2063</v>
      </c>
    </row>
    <row r="27" spans="1:7" x14ac:dyDescent="0.2">
      <c r="A27">
        <v>2015</v>
      </c>
      <c r="B27">
        <v>2.7026320827248602</v>
      </c>
      <c r="C27">
        <v>1.43076504860818</v>
      </c>
      <c r="D27">
        <v>13736</v>
      </c>
      <c r="E27">
        <v>2676</v>
      </c>
      <c r="F27">
        <v>2613</v>
      </c>
      <c r="G27">
        <v>2613</v>
      </c>
    </row>
    <row r="28" spans="1:7" x14ac:dyDescent="0.2">
      <c r="A28">
        <v>2016</v>
      </c>
      <c r="B28">
        <v>2.7121456012697802</v>
      </c>
      <c r="C28">
        <v>1.4366757998346</v>
      </c>
      <c r="D28">
        <v>15320</v>
      </c>
      <c r="E28">
        <v>3008</v>
      </c>
      <c r="F28">
        <v>2932</v>
      </c>
      <c r="G28">
        <v>2932</v>
      </c>
    </row>
    <row r="29" spans="1:7" x14ac:dyDescent="0.2">
      <c r="A29">
        <v>2017</v>
      </c>
      <c r="B29">
        <v>2.7064807846593602</v>
      </c>
      <c r="C29">
        <v>1.42778634331326</v>
      </c>
      <c r="D29">
        <v>17546</v>
      </c>
      <c r="E29">
        <v>3552</v>
      </c>
      <c r="F29">
        <v>3477</v>
      </c>
      <c r="G29">
        <v>3477</v>
      </c>
    </row>
    <row r="30" spans="1:7" x14ac:dyDescent="0.2">
      <c r="A30">
        <v>2018</v>
      </c>
      <c r="B30">
        <v>2.6411090786500302</v>
      </c>
      <c r="C30">
        <v>1.36241220575736</v>
      </c>
      <c r="D30">
        <v>19963</v>
      </c>
      <c r="E30">
        <v>4190</v>
      </c>
      <c r="F30">
        <v>4092</v>
      </c>
      <c r="G30">
        <v>4092</v>
      </c>
    </row>
    <row r="31" spans="1:7" x14ac:dyDescent="0.2">
      <c r="A31">
        <v>2019</v>
      </c>
      <c r="B31">
        <v>2.7056664754528699</v>
      </c>
      <c r="C31">
        <v>1.4254918561700201</v>
      </c>
      <c r="D31">
        <v>23657</v>
      </c>
      <c r="E31">
        <v>5191</v>
      </c>
      <c r="F31">
        <v>5068</v>
      </c>
      <c r="G31">
        <v>5068</v>
      </c>
    </row>
    <row r="32" spans="1:7" x14ac:dyDescent="0.2">
      <c r="A32">
        <v>2020</v>
      </c>
      <c r="B32">
        <v>2.6667311397982298</v>
      </c>
      <c r="C32">
        <v>1.3980679954291799</v>
      </c>
      <c r="D32">
        <v>28621</v>
      </c>
      <c r="E32">
        <v>6356</v>
      </c>
      <c r="F32">
        <v>6242</v>
      </c>
      <c r="G32">
        <v>6242</v>
      </c>
    </row>
    <row r="33" spans="1:7" x14ac:dyDescent="0.2">
      <c r="A33">
        <v>2021</v>
      </c>
      <c r="B33">
        <v>2.6931395695920299</v>
      </c>
      <c r="C33">
        <v>1.41611723993849</v>
      </c>
      <c r="D33">
        <v>33455</v>
      </c>
      <c r="E33">
        <v>7555</v>
      </c>
      <c r="F33">
        <v>7438</v>
      </c>
      <c r="G33">
        <v>7438</v>
      </c>
    </row>
    <row r="34" spans="1:7" x14ac:dyDescent="0.2">
      <c r="A34">
        <v>2022</v>
      </c>
      <c r="B34">
        <v>2.7072802873124302</v>
      </c>
      <c r="C34">
        <v>1.45296116362321</v>
      </c>
      <c r="D34">
        <v>33892</v>
      </c>
      <c r="E34">
        <v>7720</v>
      </c>
      <c r="F34">
        <v>7616</v>
      </c>
      <c r="G34">
        <v>7616</v>
      </c>
    </row>
    <row r="35" spans="1:7" x14ac:dyDescent="0.2">
      <c r="A35">
        <v>2023</v>
      </c>
      <c r="B35">
        <v>2.7173067195151601</v>
      </c>
      <c r="C35">
        <v>1.4224010485854199</v>
      </c>
      <c r="D35">
        <v>32082</v>
      </c>
      <c r="E35">
        <v>7557</v>
      </c>
      <c r="F35">
        <v>7434</v>
      </c>
      <c r="G35">
        <v>7434</v>
      </c>
    </row>
    <row r="36" spans="1:7" x14ac:dyDescent="0.2">
      <c r="A36">
        <v>2024</v>
      </c>
      <c r="B36">
        <v>2.7116249935027299</v>
      </c>
      <c r="C36">
        <v>1.4294853991905001</v>
      </c>
      <c r="D36">
        <v>35020</v>
      </c>
      <c r="E36">
        <v>8563</v>
      </c>
      <c r="F36">
        <v>8439</v>
      </c>
      <c r="G36">
        <v>8439</v>
      </c>
    </row>
    <row r="37" spans="1:7" x14ac:dyDescent="0.2">
      <c r="A37">
        <v>2025</v>
      </c>
      <c r="B37">
        <v>2.6752667923787401</v>
      </c>
      <c r="C37">
        <v>1.4028072351990699</v>
      </c>
      <c r="D37">
        <v>24865</v>
      </c>
      <c r="E37">
        <v>6346</v>
      </c>
      <c r="F37">
        <v>6266</v>
      </c>
      <c r="G37">
        <v>6266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78C33-EC21-4B44-9C86-014BEAE7AE5D}">
  <dimension ref="A1:AU37"/>
  <sheetViews>
    <sheetView workbookViewId="0">
      <selection activeCell="G2" sqref="G2"/>
    </sheetView>
  </sheetViews>
  <sheetFormatPr baseColWidth="10" defaultRowHeight="16" x14ac:dyDescent="0.2"/>
  <sheetData>
    <row r="1" spans="1:47" x14ac:dyDescent="0.2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17</v>
      </c>
      <c r="I1" t="s">
        <v>18</v>
      </c>
      <c r="J1" t="s">
        <v>16</v>
      </c>
      <c r="K1" t="str" cm="1">
        <f t="array" ref="K1:AU9">TRANSPOSE(A1:I37)</f>
        <v>Year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</row>
    <row r="2" spans="1:47" x14ac:dyDescent="0.2">
      <c r="A2">
        <v>1990</v>
      </c>
      <c r="B2">
        <f>RCT!B2</f>
        <v>2.2224208737315601</v>
      </c>
      <c r="C2">
        <f>CT!B2</f>
        <v>2.3327823639949501</v>
      </c>
      <c r="D2">
        <f>META!B2</f>
        <v>2.4630978288188698</v>
      </c>
      <c r="E2">
        <f>REVIEW!B2</f>
        <v>2.3970687901907799</v>
      </c>
      <c r="F2">
        <f>CCJ!B2</f>
        <v>2.4457705521530202</v>
      </c>
      <c r="G2">
        <f>ALL!B2</f>
        <v>2.3346139329870201</v>
      </c>
      <c r="H2">
        <f>OBS!B2</f>
        <v>0</v>
      </c>
      <c r="I2">
        <f>SYSREV!B2</f>
        <v>0</v>
      </c>
      <c r="K2" t="str">
        <v>Randomized controlled trial</v>
      </c>
      <c r="L2">
        <v>2.2224208737315601</v>
      </c>
      <c r="M2">
        <v>2.2453785350452198</v>
      </c>
      <c r="N2">
        <v>2.2494759346355799</v>
      </c>
      <c r="O2">
        <v>2.2571081775274799</v>
      </c>
      <c r="P2">
        <v>2.2196394026200501</v>
      </c>
      <c r="Q2">
        <v>2.2640796081468002</v>
      </c>
      <c r="R2">
        <v>2.3158244841069</v>
      </c>
      <c r="S2">
        <v>2.2969221867693199</v>
      </c>
      <c r="T2">
        <v>2.3041962600505301</v>
      </c>
      <c r="U2">
        <v>2.3271824118014099</v>
      </c>
      <c r="V2">
        <v>2.3091947808961599</v>
      </c>
      <c r="W2">
        <v>2.3103623073684099</v>
      </c>
      <c r="X2">
        <v>2.3112440530771901</v>
      </c>
      <c r="Y2">
        <v>2.3034117541996602</v>
      </c>
      <c r="Z2">
        <v>2.29681478933573</v>
      </c>
      <c r="AA2">
        <v>2.30516404155768</v>
      </c>
      <c r="AB2">
        <v>2.2800748728288802</v>
      </c>
      <c r="AC2">
        <v>2.2985661279452501</v>
      </c>
      <c r="AD2">
        <v>2.3058557160601501</v>
      </c>
      <c r="AE2">
        <v>2.2963289764381201</v>
      </c>
      <c r="AF2">
        <v>2.2689466815873498</v>
      </c>
      <c r="AG2">
        <v>2.2939257077559199</v>
      </c>
      <c r="AH2">
        <v>2.3018726342552598</v>
      </c>
      <c r="AI2">
        <v>2.2861360602907501</v>
      </c>
      <c r="AJ2">
        <v>2.2823257210519601</v>
      </c>
      <c r="AK2">
        <v>2.2670348820862598</v>
      </c>
      <c r="AL2">
        <v>2.2642549415000599</v>
      </c>
      <c r="AM2">
        <v>2.2452328474379701</v>
      </c>
      <c r="AN2">
        <v>2.24740001713075</v>
      </c>
      <c r="AO2">
        <v>2.2554744719356998</v>
      </c>
      <c r="AP2">
        <v>2.23476260925794</v>
      </c>
      <c r="AQ2">
        <v>2.2257171576125301</v>
      </c>
      <c r="AR2">
        <v>2.2208663148059999</v>
      </c>
      <c r="AS2">
        <v>2.2216179783240899</v>
      </c>
      <c r="AT2">
        <v>2.2425942939014898</v>
      </c>
      <c r="AU2">
        <v>2.2464155302096902</v>
      </c>
    </row>
    <row r="3" spans="1:47" x14ac:dyDescent="0.2">
      <c r="A3">
        <v>1991</v>
      </c>
      <c r="B3">
        <f>RCT!B3</f>
        <v>2.2453785350452198</v>
      </c>
      <c r="C3">
        <f>CT!B3</f>
        <v>2.4221504868872299</v>
      </c>
      <c r="D3">
        <f>META!B3</f>
        <v>2.5130426920395701</v>
      </c>
      <c r="E3">
        <f>REVIEW!B3</f>
        <v>2.4339631281886098</v>
      </c>
      <c r="F3">
        <f>CCJ!B3</f>
        <v>2.4545771356188202</v>
      </c>
      <c r="G3">
        <f>ALL!B3</f>
        <v>2.33917580844762</v>
      </c>
      <c r="H3">
        <f>OBS!B3</f>
        <v>0</v>
      </c>
      <c r="I3">
        <f>SYSREV!B3</f>
        <v>0</v>
      </c>
      <c r="K3" t="str">
        <v>Clinical trial</v>
      </c>
      <c r="L3">
        <v>2.3327823639949501</v>
      </c>
      <c r="M3">
        <v>2.4221504868872299</v>
      </c>
      <c r="N3">
        <v>2.3655092458042102</v>
      </c>
      <c r="O3">
        <v>2.3606551825969602</v>
      </c>
      <c r="P3">
        <v>2.3908214776244199</v>
      </c>
      <c r="Q3">
        <v>2.4253481230735101</v>
      </c>
      <c r="R3">
        <v>2.4024740940790599</v>
      </c>
      <c r="S3">
        <v>2.4485167403214998</v>
      </c>
      <c r="T3">
        <v>2.4434122259577302</v>
      </c>
      <c r="U3">
        <v>2.4668822442402099</v>
      </c>
      <c r="V3">
        <v>2.4663423008461098</v>
      </c>
      <c r="W3">
        <v>2.4819766101019902</v>
      </c>
      <c r="X3">
        <v>2.4467881874595601</v>
      </c>
      <c r="Y3">
        <v>2.4874081597365998</v>
      </c>
      <c r="Z3">
        <v>2.4625686940384099</v>
      </c>
      <c r="AA3">
        <v>2.4449493889702998</v>
      </c>
      <c r="AB3">
        <v>2.4492606896812998</v>
      </c>
      <c r="AC3">
        <v>2.42027756132397</v>
      </c>
      <c r="AD3">
        <v>2.4289556108752</v>
      </c>
      <c r="AE3">
        <v>2.4330374148201002</v>
      </c>
      <c r="AF3">
        <v>2.4458474114664801</v>
      </c>
      <c r="AG3">
        <v>2.45221428938151</v>
      </c>
      <c r="AH3">
        <v>2.4413596026910098</v>
      </c>
      <c r="AI3">
        <v>2.4734351841061599</v>
      </c>
      <c r="AJ3">
        <v>2.4986951341136199</v>
      </c>
      <c r="AK3">
        <v>2.54776253795779</v>
      </c>
      <c r="AL3">
        <v>2.5216822563320802</v>
      </c>
      <c r="AM3">
        <v>2.43757031105614</v>
      </c>
      <c r="AN3">
        <v>2.4701827978958599</v>
      </c>
      <c r="AO3">
        <v>2.4614211914894399</v>
      </c>
      <c r="AP3">
        <v>2.48383386746174</v>
      </c>
      <c r="AQ3">
        <v>2.48011324988896</v>
      </c>
      <c r="AR3">
        <v>2.4794931755261498</v>
      </c>
      <c r="AS3">
        <v>2.45762401668398</v>
      </c>
      <c r="AT3">
        <v>2.4181170754827099</v>
      </c>
      <c r="AU3">
        <v>2.4906608367077401</v>
      </c>
    </row>
    <row r="4" spans="1:47" x14ac:dyDescent="0.2">
      <c r="A4">
        <f>A2+2</f>
        <v>1992</v>
      </c>
      <c r="B4">
        <f>RCT!B4</f>
        <v>2.2494759346355799</v>
      </c>
      <c r="C4">
        <f>CT!B4</f>
        <v>2.3655092458042102</v>
      </c>
      <c r="D4">
        <f>META!B4</f>
        <v>2.6114583366964301</v>
      </c>
      <c r="E4">
        <f>REVIEW!B4</f>
        <v>2.4357301371785698</v>
      </c>
      <c r="F4">
        <f>CCJ!B4</f>
        <v>2.46623593226782</v>
      </c>
      <c r="G4">
        <f>ALL!B4</f>
        <v>2.3536872574591001</v>
      </c>
      <c r="H4">
        <f>OBS!B4</f>
        <v>0</v>
      </c>
      <c r="I4">
        <f>SYSREV!B4</f>
        <v>0</v>
      </c>
      <c r="K4" t="str">
        <v>Meta-analysis</v>
      </c>
      <c r="L4">
        <v>2.4630978288188698</v>
      </c>
      <c r="M4">
        <v>2.5130426920395701</v>
      </c>
      <c r="N4">
        <v>2.6114583366964301</v>
      </c>
      <c r="O4">
        <v>2.7393964262842898</v>
      </c>
      <c r="P4">
        <v>3.0798812096810799</v>
      </c>
      <c r="Q4">
        <v>2.45109412781252</v>
      </c>
      <c r="R4">
        <v>2.4848160118765299</v>
      </c>
      <c r="S4">
        <v>2.6337512703675299</v>
      </c>
      <c r="T4">
        <v>2.4929384474407499</v>
      </c>
      <c r="U4">
        <v>2.79904495765786</v>
      </c>
      <c r="V4">
        <v>2.6860478326481401</v>
      </c>
      <c r="W4">
        <v>2.5285331653859302</v>
      </c>
      <c r="X4">
        <v>2.6210244550320199</v>
      </c>
      <c r="Y4">
        <v>2.53660917272303</v>
      </c>
      <c r="Z4">
        <v>2.4898835905605101</v>
      </c>
      <c r="AA4">
        <v>2.69315754116053</v>
      </c>
      <c r="AB4">
        <v>2.6961712882801998</v>
      </c>
      <c r="AC4">
        <v>3.0040451340844099</v>
      </c>
      <c r="AD4">
        <v>2.9135989352829399</v>
      </c>
      <c r="AE4">
        <v>3.18894623685823</v>
      </c>
      <c r="AF4">
        <v>3.3970325428562398</v>
      </c>
      <c r="AG4">
        <v>3.36695460073578</v>
      </c>
      <c r="AH4">
        <v>3.3949960892575999</v>
      </c>
      <c r="AI4">
        <v>3.2535126285760998</v>
      </c>
      <c r="AJ4">
        <v>3.1024846407302298</v>
      </c>
      <c r="AK4">
        <v>3.0931985987769299</v>
      </c>
      <c r="AL4">
        <v>3.0795696784048001</v>
      </c>
      <c r="AM4">
        <v>2.8761493046064799</v>
      </c>
      <c r="AN4">
        <v>2.7723994470471398</v>
      </c>
      <c r="AO4">
        <v>2.7770318514329402</v>
      </c>
      <c r="AP4">
        <v>2.7332050045668499</v>
      </c>
      <c r="AQ4">
        <v>2.74041287815685</v>
      </c>
      <c r="AR4">
        <v>2.7955441122428102</v>
      </c>
      <c r="AS4">
        <v>2.8246896257548402</v>
      </c>
      <c r="AT4">
        <v>2.7727068854361501</v>
      </c>
      <c r="AU4">
        <v>2.7211054334943601</v>
      </c>
    </row>
    <row r="5" spans="1:47" x14ac:dyDescent="0.2">
      <c r="A5">
        <f t="shared" ref="A5:A36" si="0">A3+2</f>
        <v>1993</v>
      </c>
      <c r="B5">
        <f>RCT!B5</f>
        <v>2.2571081775274799</v>
      </c>
      <c r="C5">
        <f>CT!B5</f>
        <v>2.3606551825969602</v>
      </c>
      <c r="D5">
        <f>META!B5</f>
        <v>2.7393964262842898</v>
      </c>
      <c r="E5">
        <f>REVIEW!B5</f>
        <v>2.3359213040111202</v>
      </c>
      <c r="F5">
        <f>CCJ!B5</f>
        <v>2.47160152067128</v>
      </c>
      <c r="G5">
        <f>ALL!B5</f>
        <v>2.3625235726581</v>
      </c>
      <c r="H5">
        <f>OBS!B5</f>
        <v>0</v>
      </c>
      <c r="I5">
        <f>SYSREV!B5</f>
        <v>0</v>
      </c>
      <c r="K5" t="str">
        <v>Review</v>
      </c>
      <c r="L5">
        <v>2.3970687901907799</v>
      </c>
      <c r="M5">
        <v>2.4339631281886098</v>
      </c>
      <c r="N5">
        <v>2.4357301371785698</v>
      </c>
      <c r="O5">
        <v>2.3359213040111202</v>
      </c>
      <c r="P5">
        <v>2.4860006922847302</v>
      </c>
      <c r="Q5">
        <v>2.4327454903744798</v>
      </c>
      <c r="R5">
        <v>2.4866222310561898</v>
      </c>
      <c r="S5">
        <v>2.4089308780818599</v>
      </c>
      <c r="T5">
        <v>2.5460111631909701</v>
      </c>
      <c r="U5">
        <v>2.47514731328573</v>
      </c>
      <c r="V5">
        <v>2.3990531312149002</v>
      </c>
      <c r="W5">
        <v>2.4813286568269599</v>
      </c>
      <c r="X5">
        <v>2.3783250415762298</v>
      </c>
      <c r="Y5">
        <v>2.4212056221927098</v>
      </c>
      <c r="Z5">
        <v>2.47877820418601</v>
      </c>
      <c r="AA5">
        <v>2.5158843744830501</v>
      </c>
      <c r="AB5">
        <v>2.4785780405316098</v>
      </c>
      <c r="AC5">
        <v>2.48289363223049</v>
      </c>
      <c r="AD5">
        <v>2.5705436709546499</v>
      </c>
      <c r="AE5">
        <v>2.50764519362412</v>
      </c>
      <c r="AF5">
        <v>2.5801039203557901</v>
      </c>
      <c r="AG5">
        <v>2.6309460850815301</v>
      </c>
      <c r="AH5">
        <v>2.5424233883293001</v>
      </c>
      <c r="AI5">
        <v>2.4635972445228398</v>
      </c>
      <c r="AJ5">
        <v>2.4691932056611301</v>
      </c>
      <c r="AK5">
        <v>2.4992177125959998</v>
      </c>
      <c r="AL5">
        <v>2.5160070480135901</v>
      </c>
      <c r="AM5">
        <v>2.6026584593271802</v>
      </c>
      <c r="AN5">
        <v>2.3827398328528901</v>
      </c>
      <c r="AO5">
        <v>2.4513091995890099</v>
      </c>
      <c r="AP5">
        <v>2.4208833946958199</v>
      </c>
      <c r="AQ5">
        <v>2.3690154832598598</v>
      </c>
      <c r="AR5">
        <v>2.42187144705446</v>
      </c>
      <c r="AS5">
        <v>2.4424292023290399</v>
      </c>
      <c r="AT5">
        <v>2.4341527002130001</v>
      </c>
      <c r="AU5">
        <v>2.3617375248897399</v>
      </c>
    </row>
    <row r="6" spans="1:47" x14ac:dyDescent="0.2">
      <c r="A6">
        <f t="shared" si="0"/>
        <v>1994</v>
      </c>
      <c r="B6">
        <f>RCT!B6</f>
        <v>2.2196394026200501</v>
      </c>
      <c r="C6">
        <f>CT!B6</f>
        <v>2.3908214776244199</v>
      </c>
      <c r="D6">
        <f>META!B6</f>
        <v>3.0798812096810799</v>
      </c>
      <c r="E6">
        <f>REVIEW!B6</f>
        <v>2.4860006922847302</v>
      </c>
      <c r="F6">
        <f>CCJ!B6</f>
        <v>2.4749342831050698</v>
      </c>
      <c r="G6">
        <f>ALL!B6</f>
        <v>2.3757015176593099</v>
      </c>
      <c r="H6">
        <f>OBS!B6</f>
        <v>0</v>
      </c>
      <c r="I6">
        <f>SYSREV!B6</f>
        <v>0</v>
      </c>
      <c r="K6" t="str">
        <v>Core clinical journal</v>
      </c>
      <c r="L6">
        <v>2.4457705521530202</v>
      </c>
      <c r="M6">
        <v>2.4545771356188202</v>
      </c>
      <c r="N6">
        <v>2.46623593226782</v>
      </c>
      <c r="O6">
        <v>2.47160152067128</v>
      </c>
      <c r="P6">
        <v>2.4749342831050698</v>
      </c>
      <c r="Q6">
        <v>2.4880058372596401</v>
      </c>
      <c r="R6">
        <v>2.5146785670813299</v>
      </c>
      <c r="S6">
        <v>2.5357706500544199</v>
      </c>
      <c r="T6">
        <v>2.5442607285231298</v>
      </c>
      <c r="U6">
        <v>2.5425646180809802</v>
      </c>
      <c r="V6">
        <v>2.5303336177335001</v>
      </c>
      <c r="W6">
        <v>2.54852990511568</v>
      </c>
      <c r="X6">
        <v>2.5499712305095201</v>
      </c>
      <c r="Y6">
        <v>2.5430193787026298</v>
      </c>
      <c r="Z6">
        <v>2.5672518008679601</v>
      </c>
      <c r="AA6">
        <v>2.5641229493652</v>
      </c>
      <c r="AB6">
        <v>2.5577440578675499</v>
      </c>
      <c r="AC6">
        <v>2.5960562792227702</v>
      </c>
      <c r="AD6">
        <v>2.6163044086796199</v>
      </c>
      <c r="AE6">
        <v>2.60902862873046</v>
      </c>
      <c r="AF6">
        <v>2.6318121389882299</v>
      </c>
      <c r="AG6">
        <v>2.6367648695094501</v>
      </c>
      <c r="AH6">
        <v>2.6705141503758001</v>
      </c>
      <c r="AI6">
        <v>2.6785486289932501</v>
      </c>
      <c r="AJ6">
        <v>2.6490954392644599</v>
      </c>
      <c r="AK6">
        <v>2.6726693903384402</v>
      </c>
      <c r="AL6">
        <v>2.6347738495709199</v>
      </c>
      <c r="AM6">
        <v>2.5718004752955399</v>
      </c>
      <c r="AN6">
        <v>2.5831040809186399</v>
      </c>
      <c r="AO6">
        <v>2.55713220230083</v>
      </c>
      <c r="AP6">
        <v>2.57108776442628</v>
      </c>
      <c r="AQ6">
        <v>2.5774212840199402</v>
      </c>
      <c r="AR6">
        <v>2.60831286659027</v>
      </c>
      <c r="AS6">
        <v>2.5863539043530501</v>
      </c>
      <c r="AT6">
        <v>2.6079455632277502</v>
      </c>
      <c r="AU6">
        <v>2.5874318733986699</v>
      </c>
    </row>
    <row r="7" spans="1:47" x14ac:dyDescent="0.2">
      <c r="A7">
        <f t="shared" si="0"/>
        <v>1995</v>
      </c>
      <c r="B7">
        <f>RCT!B7</f>
        <v>2.2640796081468002</v>
      </c>
      <c r="C7">
        <f>CT!B7</f>
        <v>2.4253481230735101</v>
      </c>
      <c r="D7">
        <f>META!B7</f>
        <v>2.45109412781252</v>
      </c>
      <c r="E7">
        <f>REVIEW!B7</f>
        <v>2.4327454903744798</v>
      </c>
      <c r="F7">
        <f>CCJ!B7</f>
        <v>2.4880058372596401</v>
      </c>
      <c r="G7">
        <f>ALL!B7</f>
        <v>2.38254036838403</v>
      </c>
      <c r="H7">
        <f>OBS!B7</f>
        <v>0</v>
      </c>
      <c r="I7">
        <f>SYSREV!B7</f>
        <v>2.9999999999999898</v>
      </c>
      <c r="K7" t="str">
        <v>All MEDLINE</v>
      </c>
      <c r="L7">
        <v>2.3346139329870201</v>
      </c>
      <c r="M7">
        <v>2.33917580844762</v>
      </c>
      <c r="N7">
        <v>2.3536872574591001</v>
      </c>
      <c r="O7">
        <v>2.3625235726581</v>
      </c>
      <c r="P7">
        <v>2.3757015176593099</v>
      </c>
      <c r="Q7">
        <v>2.38254036838403</v>
      </c>
      <c r="R7">
        <v>2.3960516212479099</v>
      </c>
      <c r="S7">
        <v>2.41169797967494</v>
      </c>
      <c r="T7">
        <v>2.41015548865143</v>
      </c>
      <c r="U7">
        <v>2.42230441298253</v>
      </c>
      <c r="V7">
        <v>2.4123113118950901</v>
      </c>
      <c r="W7">
        <v>2.4191121898079402</v>
      </c>
      <c r="X7">
        <v>2.4080947971248698</v>
      </c>
      <c r="Y7">
        <v>2.40446244834403</v>
      </c>
      <c r="Z7">
        <v>2.40521226631077</v>
      </c>
      <c r="AA7">
        <v>2.4029555011671699</v>
      </c>
      <c r="AB7">
        <v>2.40160799799032</v>
      </c>
      <c r="AC7">
        <v>2.4263821401871799</v>
      </c>
      <c r="AD7">
        <v>2.4444132168893802</v>
      </c>
      <c r="AE7">
        <v>2.4631511473390302</v>
      </c>
      <c r="AF7">
        <v>2.46139677499617</v>
      </c>
      <c r="AG7">
        <v>2.4830960152315802</v>
      </c>
      <c r="AH7">
        <v>2.4876858415729899</v>
      </c>
      <c r="AI7">
        <v>2.48503593500859</v>
      </c>
      <c r="AJ7">
        <v>2.4908233191286002</v>
      </c>
      <c r="AK7">
        <v>2.5075960193796698</v>
      </c>
      <c r="AL7">
        <v>2.4761241190998602</v>
      </c>
      <c r="AM7">
        <v>2.4444293839107201</v>
      </c>
      <c r="AN7">
        <v>2.4333697747441199</v>
      </c>
      <c r="AO7">
        <v>2.4413891069445399</v>
      </c>
      <c r="AP7">
        <v>2.44896014053491</v>
      </c>
      <c r="AQ7">
        <v>2.45742327544668</v>
      </c>
      <c r="AR7">
        <v>2.4583065913622</v>
      </c>
      <c r="AS7">
        <v>2.45149734827748</v>
      </c>
      <c r="AT7">
        <v>2.4553973877891901</v>
      </c>
      <c r="AU7">
        <v>2.45640222298394</v>
      </c>
    </row>
    <row r="8" spans="1:47" x14ac:dyDescent="0.2">
      <c r="A8">
        <f t="shared" si="0"/>
        <v>1996</v>
      </c>
      <c r="B8">
        <f>RCT!B8</f>
        <v>2.3158244841069</v>
      </c>
      <c r="C8">
        <f>CT!B8</f>
        <v>2.4024740940790599</v>
      </c>
      <c r="D8">
        <f>META!B8</f>
        <v>2.4848160118765299</v>
      </c>
      <c r="E8">
        <f>REVIEW!B8</f>
        <v>2.4866222310561898</v>
      </c>
      <c r="F8">
        <f>CCJ!B8</f>
        <v>2.5146785670813299</v>
      </c>
      <c r="G8">
        <f>ALL!B8</f>
        <v>2.3960516212479099</v>
      </c>
      <c r="H8">
        <f>OBS!B8</f>
        <v>0</v>
      </c>
      <c r="I8">
        <f>SYSREV!B8</f>
        <v>2.9999999999999898</v>
      </c>
      <c r="K8" t="str">
        <v>Observational_Study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2.9999999999999898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2.9999999999999898</v>
      </c>
      <c r="AF8">
        <v>2.38148343623992</v>
      </c>
      <c r="AG8">
        <v>2.6939023610832198</v>
      </c>
      <c r="AH8">
        <v>2.6189537641437401</v>
      </c>
      <c r="AI8">
        <v>2.5751071823635199</v>
      </c>
      <c r="AJ8">
        <v>2.5891972251988702</v>
      </c>
      <c r="AK8">
        <v>2.5874960898985599</v>
      </c>
      <c r="AL8">
        <v>2.5806482128642698</v>
      </c>
      <c r="AM8">
        <v>2.5549066841047599</v>
      </c>
      <c r="AN8">
        <v>2.5522486946309</v>
      </c>
      <c r="AO8">
        <v>2.5397727597357198</v>
      </c>
      <c r="AP8">
        <v>2.56282020730321</v>
      </c>
      <c r="AQ8">
        <v>2.5541678427132202</v>
      </c>
      <c r="AR8">
        <v>2.5438267771404299</v>
      </c>
      <c r="AS8">
        <v>2.5136293086902701</v>
      </c>
      <c r="AT8">
        <v>2.48900242514555</v>
      </c>
      <c r="AU8">
        <v>2.5059759157689299</v>
      </c>
    </row>
    <row r="9" spans="1:47" x14ac:dyDescent="0.2">
      <c r="A9">
        <f t="shared" si="0"/>
        <v>1997</v>
      </c>
      <c r="B9">
        <f>RCT!B9</f>
        <v>2.2969221867693199</v>
      </c>
      <c r="C9">
        <f>CT!B9</f>
        <v>2.4485167403214998</v>
      </c>
      <c r="D9">
        <f>META!B9</f>
        <v>2.6337512703675299</v>
      </c>
      <c r="E9">
        <f>REVIEW!B9</f>
        <v>2.4089308780818599</v>
      </c>
      <c r="F9">
        <f>CCJ!B9</f>
        <v>2.5357706500544199</v>
      </c>
      <c r="G9">
        <f>ALL!B9</f>
        <v>2.41169797967494</v>
      </c>
      <c r="H9">
        <f>OBS!B9</f>
        <v>0</v>
      </c>
      <c r="I9">
        <f>SYSREV!B9</f>
        <v>2.63518875236627</v>
      </c>
      <c r="K9" t="str">
        <v>Systematical_review</v>
      </c>
      <c r="L9">
        <v>0</v>
      </c>
      <c r="M9">
        <v>0</v>
      </c>
      <c r="N9">
        <v>0</v>
      </c>
      <c r="O9">
        <v>0</v>
      </c>
      <c r="P9">
        <v>0</v>
      </c>
      <c r="Q9">
        <v>2.9999999999999898</v>
      </c>
      <c r="R9">
        <v>2.9999999999999898</v>
      </c>
      <c r="S9">
        <v>2.63518875236627</v>
      </c>
      <c r="T9">
        <v>2.4683933711275099</v>
      </c>
      <c r="U9">
        <v>2.11000592607523</v>
      </c>
      <c r="V9">
        <v>2.3396072456916199</v>
      </c>
      <c r="W9">
        <v>2.4194197485568201</v>
      </c>
      <c r="X9">
        <v>2.84172520572714</v>
      </c>
      <c r="Y9">
        <v>2.6449887611017102</v>
      </c>
      <c r="Z9">
        <v>2.48260404696051</v>
      </c>
      <c r="AA9">
        <v>2.8460502181439602</v>
      </c>
      <c r="AB9">
        <v>2.6865168883768802</v>
      </c>
      <c r="AC9">
        <v>2.6620535579639002</v>
      </c>
      <c r="AD9">
        <v>2.68135545528426</v>
      </c>
      <c r="AE9">
        <v>2.61949676152082</v>
      </c>
      <c r="AF9">
        <v>2.69186616413038</v>
      </c>
      <c r="AG9">
        <v>2.7388359595498399</v>
      </c>
      <c r="AH9">
        <v>2.6785030760399802</v>
      </c>
      <c r="AI9">
        <v>2.6879107226346002</v>
      </c>
      <c r="AJ9">
        <v>2.7770238125745399</v>
      </c>
      <c r="AK9">
        <v>2.7026320827248602</v>
      </c>
      <c r="AL9">
        <v>2.7121456012697802</v>
      </c>
      <c r="AM9">
        <v>2.7064807846593602</v>
      </c>
      <c r="AN9">
        <v>2.6411090786500302</v>
      </c>
      <c r="AO9">
        <v>2.7056664754528699</v>
      </c>
      <c r="AP9">
        <v>2.6667311397982298</v>
      </c>
      <c r="AQ9">
        <v>2.6931395695920299</v>
      </c>
      <c r="AR9">
        <v>2.7072802873124302</v>
      </c>
      <c r="AS9">
        <v>2.7173067195151601</v>
      </c>
      <c r="AT9">
        <v>2.7116249935027299</v>
      </c>
      <c r="AU9">
        <v>2.6752667923787401</v>
      </c>
    </row>
    <row r="10" spans="1:47" x14ac:dyDescent="0.2">
      <c r="A10">
        <f t="shared" si="0"/>
        <v>1998</v>
      </c>
      <c r="B10">
        <f>RCT!B10</f>
        <v>2.3041962600505301</v>
      </c>
      <c r="C10">
        <f>CT!B10</f>
        <v>2.4434122259577302</v>
      </c>
      <c r="D10">
        <f>META!B10</f>
        <v>2.4929384474407499</v>
      </c>
      <c r="E10">
        <f>REVIEW!B10</f>
        <v>2.5460111631909701</v>
      </c>
      <c r="F10">
        <f>CCJ!B10</f>
        <v>2.5442607285231298</v>
      </c>
      <c r="G10">
        <f>ALL!B10</f>
        <v>2.41015548865143</v>
      </c>
      <c r="H10">
        <f>OBS!B10</f>
        <v>0</v>
      </c>
      <c r="I10">
        <f>SYSREV!B10</f>
        <v>2.4683933711275099</v>
      </c>
    </row>
    <row r="11" spans="1:47" x14ac:dyDescent="0.2">
      <c r="A11">
        <f t="shared" si="0"/>
        <v>1999</v>
      </c>
      <c r="B11">
        <f>RCT!B11</f>
        <v>2.3271824118014099</v>
      </c>
      <c r="C11">
        <f>CT!B11</f>
        <v>2.4668822442402099</v>
      </c>
      <c r="D11">
        <f>META!B11</f>
        <v>2.79904495765786</v>
      </c>
      <c r="E11">
        <f>REVIEW!B11</f>
        <v>2.47514731328573</v>
      </c>
      <c r="F11">
        <f>CCJ!B11</f>
        <v>2.5425646180809802</v>
      </c>
      <c r="G11">
        <f>ALL!B11</f>
        <v>2.42230441298253</v>
      </c>
      <c r="H11">
        <f>OBS!B11</f>
        <v>0</v>
      </c>
      <c r="I11">
        <f>SYSREV!B11</f>
        <v>2.11000592607523</v>
      </c>
    </row>
    <row r="12" spans="1:47" x14ac:dyDescent="0.2">
      <c r="A12">
        <f t="shared" si="0"/>
        <v>2000</v>
      </c>
      <c r="B12">
        <f>RCT!B12</f>
        <v>2.3091947808961599</v>
      </c>
      <c r="C12">
        <f>CT!B12</f>
        <v>2.4663423008461098</v>
      </c>
      <c r="D12">
        <f>META!B12</f>
        <v>2.6860478326481401</v>
      </c>
      <c r="E12">
        <f>REVIEW!B12</f>
        <v>2.3990531312149002</v>
      </c>
      <c r="F12">
        <f>CCJ!B12</f>
        <v>2.5303336177335001</v>
      </c>
      <c r="G12">
        <f>ALL!B12</f>
        <v>2.4123113118950901</v>
      </c>
      <c r="H12">
        <f>OBS!B12</f>
        <v>0</v>
      </c>
      <c r="I12">
        <f>SYSREV!B12</f>
        <v>2.3396072456916199</v>
      </c>
    </row>
    <row r="13" spans="1:47" x14ac:dyDescent="0.2">
      <c r="A13">
        <f t="shared" si="0"/>
        <v>2001</v>
      </c>
      <c r="B13">
        <f>RCT!B13</f>
        <v>2.3103623073684099</v>
      </c>
      <c r="C13">
        <f>CT!B13</f>
        <v>2.4819766101019902</v>
      </c>
      <c r="D13">
        <f>META!B13</f>
        <v>2.5285331653859302</v>
      </c>
      <c r="E13">
        <f>REVIEW!B13</f>
        <v>2.4813286568269599</v>
      </c>
      <c r="F13">
        <f>CCJ!B13</f>
        <v>2.54852990511568</v>
      </c>
      <c r="G13">
        <f>ALL!B13</f>
        <v>2.4191121898079402</v>
      </c>
      <c r="H13">
        <f>OBS!B13</f>
        <v>0</v>
      </c>
      <c r="I13">
        <f>SYSREV!B13</f>
        <v>2.4194197485568201</v>
      </c>
    </row>
    <row r="14" spans="1:47" x14ac:dyDescent="0.2">
      <c r="A14">
        <f t="shared" si="0"/>
        <v>2002</v>
      </c>
      <c r="B14">
        <f>RCT!B14</f>
        <v>2.3112440530771901</v>
      </c>
      <c r="C14">
        <f>CT!B14</f>
        <v>2.4467881874595601</v>
      </c>
      <c r="D14">
        <f>META!B14</f>
        <v>2.6210244550320199</v>
      </c>
      <c r="E14">
        <f>REVIEW!B14</f>
        <v>2.3783250415762298</v>
      </c>
      <c r="F14">
        <f>CCJ!B14</f>
        <v>2.5499712305095201</v>
      </c>
      <c r="G14">
        <f>ALL!B14</f>
        <v>2.4080947971248698</v>
      </c>
      <c r="H14">
        <f>OBS!B14</f>
        <v>2.9999999999999898</v>
      </c>
      <c r="I14">
        <f>SYSREV!B14</f>
        <v>2.84172520572714</v>
      </c>
    </row>
    <row r="15" spans="1:47" x14ac:dyDescent="0.2">
      <c r="A15">
        <f t="shared" si="0"/>
        <v>2003</v>
      </c>
      <c r="B15">
        <f>RCT!B15</f>
        <v>2.3034117541996602</v>
      </c>
      <c r="C15">
        <f>CT!B15</f>
        <v>2.4874081597365998</v>
      </c>
      <c r="D15">
        <f>META!B15</f>
        <v>2.53660917272303</v>
      </c>
      <c r="E15">
        <f>REVIEW!B15</f>
        <v>2.4212056221927098</v>
      </c>
      <c r="F15">
        <f>CCJ!B15</f>
        <v>2.5430193787026298</v>
      </c>
      <c r="G15">
        <f>ALL!B15</f>
        <v>2.40446244834403</v>
      </c>
      <c r="H15">
        <f>OBS!B15</f>
        <v>0</v>
      </c>
      <c r="I15">
        <f>SYSREV!B15</f>
        <v>2.6449887611017102</v>
      </c>
    </row>
    <row r="16" spans="1:47" x14ac:dyDescent="0.2">
      <c r="A16">
        <f t="shared" si="0"/>
        <v>2004</v>
      </c>
      <c r="B16">
        <f>RCT!B16</f>
        <v>2.29681478933573</v>
      </c>
      <c r="C16">
        <f>CT!B16</f>
        <v>2.4625686940384099</v>
      </c>
      <c r="D16">
        <f>META!B16</f>
        <v>2.4898835905605101</v>
      </c>
      <c r="E16">
        <f>REVIEW!B16</f>
        <v>2.47877820418601</v>
      </c>
      <c r="F16">
        <f>CCJ!B16</f>
        <v>2.5672518008679601</v>
      </c>
      <c r="G16">
        <f>ALL!B16</f>
        <v>2.40521226631077</v>
      </c>
      <c r="H16">
        <f>OBS!B16</f>
        <v>0</v>
      </c>
      <c r="I16">
        <f>SYSREV!B16</f>
        <v>2.48260404696051</v>
      </c>
    </row>
    <row r="17" spans="1:9" x14ac:dyDescent="0.2">
      <c r="A17">
        <f t="shared" si="0"/>
        <v>2005</v>
      </c>
      <c r="B17">
        <f>RCT!B17</f>
        <v>2.30516404155768</v>
      </c>
      <c r="C17">
        <f>CT!B17</f>
        <v>2.4449493889702998</v>
      </c>
      <c r="D17">
        <f>META!B17</f>
        <v>2.69315754116053</v>
      </c>
      <c r="E17">
        <f>REVIEW!B17</f>
        <v>2.5158843744830501</v>
      </c>
      <c r="F17">
        <f>CCJ!B17</f>
        <v>2.5641229493652</v>
      </c>
      <c r="G17">
        <f>ALL!B17</f>
        <v>2.4029555011671699</v>
      </c>
      <c r="H17">
        <f>OBS!B17</f>
        <v>0</v>
      </c>
      <c r="I17">
        <f>SYSREV!B17</f>
        <v>2.8460502181439602</v>
      </c>
    </row>
    <row r="18" spans="1:9" x14ac:dyDescent="0.2">
      <c r="A18">
        <f t="shared" si="0"/>
        <v>2006</v>
      </c>
      <c r="B18">
        <f>RCT!B18</f>
        <v>2.2800748728288802</v>
      </c>
      <c r="C18">
        <f>CT!B18</f>
        <v>2.4492606896812998</v>
      </c>
      <c r="D18">
        <f>META!B18</f>
        <v>2.6961712882801998</v>
      </c>
      <c r="E18">
        <f>REVIEW!B18</f>
        <v>2.4785780405316098</v>
      </c>
      <c r="F18">
        <f>CCJ!B18</f>
        <v>2.5577440578675499</v>
      </c>
      <c r="G18">
        <f>ALL!B18</f>
        <v>2.40160799799032</v>
      </c>
      <c r="H18">
        <f>OBS!B18</f>
        <v>0</v>
      </c>
      <c r="I18">
        <f>SYSREV!B18</f>
        <v>2.6865168883768802</v>
      </c>
    </row>
    <row r="19" spans="1:9" x14ac:dyDescent="0.2">
      <c r="A19">
        <f t="shared" si="0"/>
        <v>2007</v>
      </c>
      <c r="B19">
        <f>RCT!B19</f>
        <v>2.2985661279452501</v>
      </c>
      <c r="C19">
        <f>CT!B19</f>
        <v>2.42027756132397</v>
      </c>
      <c r="D19">
        <f>META!B19</f>
        <v>3.0040451340844099</v>
      </c>
      <c r="E19">
        <f>REVIEW!B19</f>
        <v>2.48289363223049</v>
      </c>
      <c r="F19">
        <f>CCJ!B19</f>
        <v>2.5960562792227702</v>
      </c>
      <c r="G19">
        <f>ALL!B19</f>
        <v>2.4263821401871799</v>
      </c>
      <c r="H19">
        <f>OBS!B19</f>
        <v>0</v>
      </c>
      <c r="I19">
        <f>SYSREV!B19</f>
        <v>2.6620535579639002</v>
      </c>
    </row>
    <row r="20" spans="1:9" x14ac:dyDescent="0.2">
      <c r="A20">
        <f t="shared" si="0"/>
        <v>2008</v>
      </c>
      <c r="B20">
        <f>RCT!B20</f>
        <v>2.3058557160601501</v>
      </c>
      <c r="C20">
        <f>CT!B20</f>
        <v>2.4289556108752</v>
      </c>
      <c r="D20">
        <f>META!B20</f>
        <v>2.9135989352829399</v>
      </c>
      <c r="E20">
        <f>REVIEW!B20</f>
        <v>2.5705436709546499</v>
      </c>
      <c r="F20">
        <f>CCJ!B20</f>
        <v>2.6163044086796199</v>
      </c>
      <c r="G20">
        <f>ALL!B20</f>
        <v>2.4444132168893802</v>
      </c>
      <c r="H20">
        <f>OBS!B20</f>
        <v>0</v>
      </c>
      <c r="I20">
        <f>SYSREV!B20</f>
        <v>2.68135545528426</v>
      </c>
    </row>
    <row r="21" spans="1:9" x14ac:dyDescent="0.2">
      <c r="A21">
        <f t="shared" si="0"/>
        <v>2009</v>
      </c>
      <c r="B21">
        <f>RCT!B21</f>
        <v>2.2963289764381201</v>
      </c>
      <c r="C21">
        <f>CT!B21</f>
        <v>2.4330374148201002</v>
      </c>
      <c r="D21">
        <f>META!B21</f>
        <v>3.18894623685823</v>
      </c>
      <c r="E21">
        <f>REVIEW!B21</f>
        <v>2.50764519362412</v>
      </c>
      <c r="F21">
        <f>CCJ!B21</f>
        <v>2.60902862873046</v>
      </c>
      <c r="G21">
        <f>ALL!B21</f>
        <v>2.4631511473390302</v>
      </c>
      <c r="H21">
        <f>OBS!B21</f>
        <v>2.9999999999999898</v>
      </c>
      <c r="I21">
        <f>SYSREV!B21</f>
        <v>2.61949676152082</v>
      </c>
    </row>
    <row r="22" spans="1:9" x14ac:dyDescent="0.2">
      <c r="A22">
        <f t="shared" si="0"/>
        <v>2010</v>
      </c>
      <c r="B22">
        <f>RCT!B22</f>
        <v>2.2689466815873498</v>
      </c>
      <c r="C22">
        <f>CT!B22</f>
        <v>2.4458474114664801</v>
      </c>
      <c r="D22">
        <f>META!B22</f>
        <v>3.3970325428562398</v>
      </c>
      <c r="E22">
        <f>REVIEW!B22</f>
        <v>2.5801039203557901</v>
      </c>
      <c r="F22">
        <f>CCJ!B22</f>
        <v>2.6318121389882299</v>
      </c>
      <c r="G22">
        <f>ALL!B22</f>
        <v>2.46139677499617</v>
      </c>
      <c r="H22">
        <f>OBS!B22</f>
        <v>2.38148343623992</v>
      </c>
      <c r="I22">
        <f>SYSREV!B22</f>
        <v>2.69186616413038</v>
      </c>
    </row>
    <row r="23" spans="1:9" x14ac:dyDescent="0.2">
      <c r="A23">
        <f t="shared" si="0"/>
        <v>2011</v>
      </c>
      <c r="B23">
        <f>RCT!B23</f>
        <v>2.2939257077559199</v>
      </c>
      <c r="C23">
        <f>CT!B23</f>
        <v>2.45221428938151</v>
      </c>
      <c r="D23">
        <f>META!B23</f>
        <v>3.36695460073578</v>
      </c>
      <c r="E23">
        <f>REVIEW!B23</f>
        <v>2.6309460850815301</v>
      </c>
      <c r="F23">
        <f>CCJ!B23</f>
        <v>2.6367648695094501</v>
      </c>
      <c r="G23">
        <f>ALL!B23</f>
        <v>2.4830960152315802</v>
      </c>
      <c r="H23">
        <f>OBS!B23</f>
        <v>2.6939023610832198</v>
      </c>
      <c r="I23">
        <f>SYSREV!B23</f>
        <v>2.7388359595498399</v>
      </c>
    </row>
    <row r="24" spans="1:9" x14ac:dyDescent="0.2">
      <c r="A24">
        <f>A22+2</f>
        <v>2012</v>
      </c>
      <c r="B24">
        <f>RCT!B24</f>
        <v>2.3018726342552598</v>
      </c>
      <c r="C24">
        <f>CT!B24</f>
        <v>2.4413596026910098</v>
      </c>
      <c r="D24">
        <f>META!B24</f>
        <v>3.3949960892575999</v>
      </c>
      <c r="E24">
        <f>REVIEW!B24</f>
        <v>2.5424233883293001</v>
      </c>
      <c r="F24">
        <f>CCJ!B24</f>
        <v>2.6705141503758001</v>
      </c>
      <c r="G24">
        <f>ALL!B24</f>
        <v>2.4876858415729899</v>
      </c>
      <c r="H24">
        <f>OBS!B24</f>
        <v>2.6189537641437401</v>
      </c>
      <c r="I24">
        <f>SYSREV!B24</f>
        <v>2.6785030760399802</v>
      </c>
    </row>
    <row r="25" spans="1:9" x14ac:dyDescent="0.2">
      <c r="A25">
        <f t="shared" si="0"/>
        <v>2013</v>
      </c>
      <c r="B25">
        <f>RCT!B25</f>
        <v>2.2861360602907501</v>
      </c>
      <c r="C25">
        <f>CT!B25</f>
        <v>2.4734351841061599</v>
      </c>
      <c r="D25">
        <f>META!B25</f>
        <v>3.2535126285760998</v>
      </c>
      <c r="E25">
        <f>REVIEW!B25</f>
        <v>2.4635972445228398</v>
      </c>
      <c r="F25">
        <f>CCJ!B25</f>
        <v>2.6785486289932501</v>
      </c>
      <c r="G25">
        <f>ALL!B25</f>
        <v>2.48503593500859</v>
      </c>
      <c r="H25">
        <f>OBS!B25</f>
        <v>2.5751071823635199</v>
      </c>
      <c r="I25">
        <f>SYSREV!B25</f>
        <v>2.6879107226346002</v>
      </c>
    </row>
    <row r="26" spans="1:9" x14ac:dyDescent="0.2">
      <c r="A26">
        <f t="shared" si="0"/>
        <v>2014</v>
      </c>
      <c r="B26">
        <f>RCT!B26</f>
        <v>2.2823257210519601</v>
      </c>
      <c r="C26">
        <f>CT!B26</f>
        <v>2.4986951341136199</v>
      </c>
      <c r="D26">
        <f>META!B26</f>
        <v>3.1024846407302298</v>
      </c>
      <c r="E26">
        <f>REVIEW!B26</f>
        <v>2.4691932056611301</v>
      </c>
      <c r="F26">
        <f>CCJ!B26</f>
        <v>2.6490954392644599</v>
      </c>
      <c r="G26">
        <f>ALL!B26</f>
        <v>2.4908233191286002</v>
      </c>
      <c r="H26">
        <f>OBS!B26</f>
        <v>2.5891972251988702</v>
      </c>
      <c r="I26">
        <f>SYSREV!B26</f>
        <v>2.7770238125745399</v>
      </c>
    </row>
    <row r="27" spans="1:9" x14ac:dyDescent="0.2">
      <c r="A27">
        <f t="shared" si="0"/>
        <v>2015</v>
      </c>
      <c r="B27">
        <f>RCT!B27</f>
        <v>2.2670348820862598</v>
      </c>
      <c r="C27">
        <f>CT!B27</f>
        <v>2.54776253795779</v>
      </c>
      <c r="D27">
        <f>META!B27</f>
        <v>3.0931985987769299</v>
      </c>
      <c r="E27">
        <f>REVIEW!B27</f>
        <v>2.4992177125959998</v>
      </c>
      <c r="F27">
        <f>CCJ!B27</f>
        <v>2.6726693903384402</v>
      </c>
      <c r="G27">
        <f>ALL!B27</f>
        <v>2.5075960193796698</v>
      </c>
      <c r="H27">
        <f>OBS!B27</f>
        <v>2.5874960898985599</v>
      </c>
      <c r="I27">
        <f>SYSREV!B27</f>
        <v>2.7026320827248602</v>
      </c>
    </row>
    <row r="28" spans="1:9" x14ac:dyDescent="0.2">
      <c r="A28">
        <f t="shared" si="0"/>
        <v>2016</v>
      </c>
      <c r="B28">
        <f>RCT!B28</f>
        <v>2.2642549415000599</v>
      </c>
      <c r="C28">
        <f>CT!B28</f>
        <v>2.5216822563320802</v>
      </c>
      <c r="D28">
        <f>META!B28</f>
        <v>3.0795696784048001</v>
      </c>
      <c r="E28">
        <f>REVIEW!B28</f>
        <v>2.5160070480135901</v>
      </c>
      <c r="F28">
        <f>CCJ!B28</f>
        <v>2.6347738495709199</v>
      </c>
      <c r="G28">
        <f>ALL!B28</f>
        <v>2.4761241190998602</v>
      </c>
      <c r="H28">
        <f>OBS!B28</f>
        <v>2.5806482128642698</v>
      </c>
      <c r="I28">
        <f>SYSREV!B28</f>
        <v>2.7121456012697802</v>
      </c>
    </row>
    <row r="29" spans="1:9" x14ac:dyDescent="0.2">
      <c r="A29">
        <f t="shared" si="0"/>
        <v>2017</v>
      </c>
      <c r="B29">
        <f>RCT!B29</f>
        <v>2.2452328474379701</v>
      </c>
      <c r="C29">
        <f>CT!B29</f>
        <v>2.43757031105614</v>
      </c>
      <c r="D29">
        <f>META!B29</f>
        <v>2.8761493046064799</v>
      </c>
      <c r="E29">
        <f>REVIEW!B29</f>
        <v>2.6026584593271802</v>
      </c>
      <c r="F29">
        <f>CCJ!B29</f>
        <v>2.5718004752955399</v>
      </c>
      <c r="G29">
        <f>ALL!B29</f>
        <v>2.4444293839107201</v>
      </c>
      <c r="H29">
        <f>OBS!B29</f>
        <v>2.5549066841047599</v>
      </c>
      <c r="I29">
        <f>SYSREV!B29</f>
        <v>2.7064807846593602</v>
      </c>
    </row>
    <row r="30" spans="1:9" x14ac:dyDescent="0.2">
      <c r="A30">
        <f t="shared" si="0"/>
        <v>2018</v>
      </c>
      <c r="B30">
        <f>RCT!B30</f>
        <v>2.24740001713075</v>
      </c>
      <c r="C30">
        <f>CT!B30</f>
        <v>2.4701827978958599</v>
      </c>
      <c r="D30">
        <f>META!B30</f>
        <v>2.7723994470471398</v>
      </c>
      <c r="E30">
        <f>REVIEW!B30</f>
        <v>2.3827398328528901</v>
      </c>
      <c r="F30">
        <f>CCJ!B30</f>
        <v>2.5831040809186399</v>
      </c>
      <c r="G30">
        <f>ALL!B30</f>
        <v>2.4333697747441199</v>
      </c>
      <c r="H30">
        <f>OBS!B30</f>
        <v>2.5522486946309</v>
      </c>
      <c r="I30">
        <f>SYSREV!B30</f>
        <v>2.6411090786500302</v>
      </c>
    </row>
    <row r="31" spans="1:9" x14ac:dyDescent="0.2">
      <c r="A31">
        <f t="shared" si="0"/>
        <v>2019</v>
      </c>
      <c r="B31">
        <f>RCT!B31</f>
        <v>2.2554744719356998</v>
      </c>
      <c r="C31">
        <f>CT!B31</f>
        <v>2.4614211914894399</v>
      </c>
      <c r="D31">
        <f>META!B31</f>
        <v>2.7770318514329402</v>
      </c>
      <c r="E31">
        <f>REVIEW!B31</f>
        <v>2.4513091995890099</v>
      </c>
      <c r="F31">
        <f>CCJ!B31</f>
        <v>2.55713220230083</v>
      </c>
      <c r="G31">
        <f>ALL!B31</f>
        <v>2.4413891069445399</v>
      </c>
      <c r="H31">
        <f>OBS!B31</f>
        <v>2.5397727597357198</v>
      </c>
      <c r="I31">
        <f>SYSREV!B31</f>
        <v>2.7056664754528699</v>
      </c>
    </row>
    <row r="32" spans="1:9" x14ac:dyDescent="0.2">
      <c r="A32">
        <f t="shared" si="0"/>
        <v>2020</v>
      </c>
      <c r="B32">
        <f>RCT!B32</f>
        <v>2.23476260925794</v>
      </c>
      <c r="C32">
        <f>CT!B32</f>
        <v>2.48383386746174</v>
      </c>
      <c r="D32">
        <f>META!B32</f>
        <v>2.7332050045668499</v>
      </c>
      <c r="E32">
        <f>REVIEW!B32</f>
        <v>2.4208833946958199</v>
      </c>
      <c r="F32">
        <f>CCJ!B32</f>
        <v>2.57108776442628</v>
      </c>
      <c r="G32">
        <f>ALL!B32</f>
        <v>2.44896014053491</v>
      </c>
      <c r="H32">
        <f>OBS!B32</f>
        <v>2.56282020730321</v>
      </c>
      <c r="I32">
        <f>SYSREV!B32</f>
        <v>2.6667311397982298</v>
      </c>
    </row>
    <row r="33" spans="1:9" x14ac:dyDescent="0.2">
      <c r="A33">
        <f t="shared" si="0"/>
        <v>2021</v>
      </c>
      <c r="B33">
        <f>RCT!B33</f>
        <v>2.2257171576125301</v>
      </c>
      <c r="C33">
        <f>CT!B33</f>
        <v>2.48011324988896</v>
      </c>
      <c r="D33">
        <f>META!B33</f>
        <v>2.74041287815685</v>
      </c>
      <c r="E33">
        <f>REVIEW!B33</f>
        <v>2.3690154832598598</v>
      </c>
      <c r="F33">
        <f>CCJ!B33</f>
        <v>2.5774212840199402</v>
      </c>
      <c r="G33">
        <f>ALL!B33</f>
        <v>2.45742327544668</v>
      </c>
      <c r="H33">
        <f>OBS!B33</f>
        <v>2.5541678427132202</v>
      </c>
      <c r="I33">
        <f>SYSREV!B33</f>
        <v>2.6931395695920299</v>
      </c>
    </row>
    <row r="34" spans="1:9" x14ac:dyDescent="0.2">
      <c r="A34">
        <f t="shared" si="0"/>
        <v>2022</v>
      </c>
      <c r="B34">
        <f>RCT!B34</f>
        <v>2.2208663148059999</v>
      </c>
      <c r="C34">
        <f>CT!B34</f>
        <v>2.4794931755261498</v>
      </c>
      <c r="D34">
        <f>META!B34</f>
        <v>2.7955441122428102</v>
      </c>
      <c r="E34">
        <f>REVIEW!B34</f>
        <v>2.42187144705446</v>
      </c>
      <c r="F34">
        <f>CCJ!B34</f>
        <v>2.60831286659027</v>
      </c>
      <c r="G34">
        <f>ALL!B34</f>
        <v>2.4583065913622</v>
      </c>
      <c r="H34">
        <f>OBS!B34</f>
        <v>2.5438267771404299</v>
      </c>
      <c r="I34">
        <f>SYSREV!B34</f>
        <v>2.7072802873124302</v>
      </c>
    </row>
    <row r="35" spans="1:9" x14ac:dyDescent="0.2">
      <c r="A35">
        <f t="shared" si="0"/>
        <v>2023</v>
      </c>
      <c r="B35">
        <f>RCT!B35</f>
        <v>2.2216179783240899</v>
      </c>
      <c r="C35">
        <f>CT!B35</f>
        <v>2.45762401668398</v>
      </c>
      <c r="D35">
        <f>META!B35</f>
        <v>2.8246896257548402</v>
      </c>
      <c r="E35">
        <f>REVIEW!B35</f>
        <v>2.4424292023290399</v>
      </c>
      <c r="F35">
        <f>CCJ!B35</f>
        <v>2.5863539043530501</v>
      </c>
      <c r="G35">
        <f>ALL!B35</f>
        <v>2.45149734827748</v>
      </c>
      <c r="H35">
        <f>OBS!B35</f>
        <v>2.5136293086902701</v>
      </c>
      <c r="I35">
        <f>SYSREV!B35</f>
        <v>2.7173067195151601</v>
      </c>
    </row>
    <row r="36" spans="1:9" x14ac:dyDescent="0.2">
      <c r="A36">
        <f t="shared" si="0"/>
        <v>2024</v>
      </c>
      <c r="B36">
        <f>RCT!B36</f>
        <v>2.2425942939014898</v>
      </c>
      <c r="C36">
        <f>CT!B36</f>
        <v>2.4181170754827099</v>
      </c>
      <c r="D36">
        <f>META!B36</f>
        <v>2.7727068854361501</v>
      </c>
      <c r="E36">
        <f>REVIEW!B36</f>
        <v>2.4341527002130001</v>
      </c>
      <c r="F36">
        <f>CCJ!B36</f>
        <v>2.6079455632277502</v>
      </c>
      <c r="G36">
        <f>ALL!B36</f>
        <v>2.4553973877891901</v>
      </c>
      <c r="H36">
        <f>OBS!B36</f>
        <v>2.48900242514555</v>
      </c>
      <c r="I36">
        <f>SYSREV!B36</f>
        <v>2.7116249935027299</v>
      </c>
    </row>
    <row r="37" spans="1:9" x14ac:dyDescent="0.2">
      <c r="A37">
        <v>2025</v>
      </c>
      <c r="B37">
        <f>RCT!B37</f>
        <v>2.2464155302096902</v>
      </c>
      <c r="C37">
        <f>CT!B37</f>
        <v>2.4906608367077401</v>
      </c>
      <c r="D37">
        <f>META!B37</f>
        <v>2.7211054334943601</v>
      </c>
      <c r="E37">
        <f>REVIEW!B37</f>
        <v>2.3617375248897399</v>
      </c>
      <c r="F37">
        <f>CCJ!B37</f>
        <v>2.5874318733986699</v>
      </c>
      <c r="G37">
        <f>ALL!B37</f>
        <v>2.45640222298394</v>
      </c>
      <c r="H37">
        <f>OBS!B37</f>
        <v>2.5059759157689299</v>
      </c>
      <c r="I37">
        <f>SYSREV!B37</f>
        <v>2.6752667923787401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670C-3733-3F4A-A029-DF3ACCE6E9F3}">
  <dimension ref="A1:AU37"/>
  <sheetViews>
    <sheetView tabSelected="1" workbookViewId="0">
      <selection activeCell="F21" sqref="F21"/>
    </sheetView>
  </sheetViews>
  <sheetFormatPr baseColWidth="10" defaultRowHeight="16" x14ac:dyDescent="0.2"/>
  <sheetData>
    <row r="1" spans="1:47" x14ac:dyDescent="0.2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  <c r="K1" t="str" cm="1">
        <f t="array" ref="K1:AU9">TRANSPOSE(A1:I37)</f>
        <v>Year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</row>
    <row r="2" spans="1:47" x14ac:dyDescent="0.2">
      <c r="A2">
        <v>1990</v>
      </c>
      <c r="B2">
        <f>RCT!C2</f>
        <v>1.65201864415115</v>
      </c>
      <c r="C2">
        <f>CT!C2</f>
        <v>1.73095944257703</v>
      </c>
      <c r="D2">
        <f>META!C2</f>
        <v>1.82768938284393</v>
      </c>
      <c r="E2">
        <f>REVIEW!C2</f>
        <v>1.86182920087328</v>
      </c>
      <c r="F2">
        <f>CCJ!C2</f>
        <v>1.8153620206090799</v>
      </c>
      <c r="G2">
        <f>ALL!C2</f>
        <v>1.80738306738085</v>
      </c>
      <c r="H2">
        <f>OBS!C2</f>
        <v>0</v>
      </c>
      <c r="I2">
        <f>SYSREV!C2</f>
        <v>0</v>
      </c>
      <c r="K2" t="str">
        <v>Randomized controlled trial</v>
      </c>
      <c r="L2">
        <v>1.65201864415115</v>
      </c>
      <c r="M2">
        <v>1.6545194937719301</v>
      </c>
      <c r="N2">
        <v>1.64820122352267</v>
      </c>
      <c r="O2">
        <v>1.5809367944025701</v>
      </c>
      <c r="P2">
        <v>1.5630536708429399</v>
      </c>
      <c r="Q2">
        <v>1.5578466590156601</v>
      </c>
      <c r="R2">
        <v>1.5784713430481001</v>
      </c>
      <c r="S2">
        <v>1.5624182798638999</v>
      </c>
      <c r="T2">
        <v>1.55236299536412</v>
      </c>
      <c r="U2">
        <v>1.55673489625286</v>
      </c>
      <c r="V2">
        <v>1.5266340291082501</v>
      </c>
      <c r="W2">
        <v>1.5425208779484201</v>
      </c>
      <c r="X2">
        <v>1.4894749331785999</v>
      </c>
      <c r="Y2">
        <v>1.50846512836709</v>
      </c>
      <c r="Z2">
        <v>1.4840678147445601</v>
      </c>
      <c r="AA2">
        <v>1.4751213517989401</v>
      </c>
      <c r="AB2">
        <v>1.46867908976943</v>
      </c>
      <c r="AC2">
        <v>1.4841411926899399</v>
      </c>
      <c r="AD2">
        <v>1.46491321409815</v>
      </c>
      <c r="AE2">
        <v>1.4434643923128201</v>
      </c>
      <c r="AF2">
        <v>1.4277570713561001</v>
      </c>
      <c r="AG2">
        <v>1.4258092549069801</v>
      </c>
      <c r="AH2">
        <v>1.4074998811571</v>
      </c>
      <c r="AI2">
        <v>1.40217533711261</v>
      </c>
      <c r="AJ2">
        <v>1.3788168991327601</v>
      </c>
      <c r="AK2">
        <v>1.3722965283291999</v>
      </c>
      <c r="AL2">
        <v>1.35087387760838</v>
      </c>
      <c r="AM2">
        <v>1.3413110816218701</v>
      </c>
      <c r="AN2">
        <v>1.3531967621579299</v>
      </c>
      <c r="AO2">
        <v>1.35108910243665</v>
      </c>
      <c r="AP2">
        <v>1.3368378649286301</v>
      </c>
      <c r="AQ2">
        <v>1.3266230183533201</v>
      </c>
      <c r="AR2">
        <v>1.34405054412652</v>
      </c>
      <c r="AS2">
        <v>1.32393111877785</v>
      </c>
      <c r="AT2">
        <v>1.3520616480751699</v>
      </c>
      <c r="AU2">
        <v>1.3491475332191101</v>
      </c>
    </row>
    <row r="3" spans="1:47" x14ac:dyDescent="0.2">
      <c r="A3">
        <v>1991</v>
      </c>
      <c r="B3">
        <f>RCT!C3</f>
        <v>1.6545194937719301</v>
      </c>
      <c r="C3">
        <f>CT!C3</f>
        <v>1.81921997732185</v>
      </c>
      <c r="D3">
        <f>META!C3</f>
        <v>1.74336296827397</v>
      </c>
      <c r="E3">
        <f>REVIEW!C3</f>
        <v>1.9176887579536099</v>
      </c>
      <c r="F3">
        <f>CCJ!C3</f>
        <v>1.8125897184312401</v>
      </c>
      <c r="G3">
        <f>ALL!C3</f>
        <v>1.7966408987337199</v>
      </c>
      <c r="H3">
        <f>OBS!C3</f>
        <v>0</v>
      </c>
      <c r="I3">
        <f>SYSREV!C3</f>
        <v>0</v>
      </c>
      <c r="K3" t="str">
        <v>Clinical trial</v>
      </c>
      <c r="L3">
        <v>1.73095944257703</v>
      </c>
      <c r="M3">
        <v>1.81921997732185</v>
      </c>
      <c r="N3">
        <v>1.77503389442875</v>
      </c>
      <c r="O3">
        <v>1.77678132562663</v>
      </c>
      <c r="P3">
        <v>1.7515506730933199</v>
      </c>
      <c r="Q3">
        <v>1.78540626340757</v>
      </c>
      <c r="R3">
        <v>1.7232857819785801</v>
      </c>
      <c r="S3">
        <v>1.75468936908809</v>
      </c>
      <c r="T3">
        <v>1.72579792301086</v>
      </c>
      <c r="U3">
        <v>1.73472175537674</v>
      </c>
      <c r="V3">
        <v>1.75266578569016</v>
      </c>
      <c r="W3">
        <v>1.6997159093928</v>
      </c>
      <c r="X3">
        <v>1.71596019305071</v>
      </c>
      <c r="Y3">
        <v>1.7273440896385399</v>
      </c>
      <c r="Z3">
        <v>1.70270693763523</v>
      </c>
      <c r="AA3">
        <v>1.69777073600344</v>
      </c>
      <c r="AB3">
        <v>1.6723195269892701</v>
      </c>
      <c r="AC3">
        <v>1.6512834935229901</v>
      </c>
      <c r="AD3">
        <v>1.6694082967988599</v>
      </c>
      <c r="AE3">
        <v>1.6657230250236501</v>
      </c>
      <c r="AF3">
        <v>1.6681969684268001</v>
      </c>
      <c r="AG3">
        <v>1.6353070693151599</v>
      </c>
      <c r="AH3">
        <v>1.62056160997603</v>
      </c>
      <c r="AI3">
        <v>1.6390481614861501</v>
      </c>
      <c r="AJ3">
        <v>1.6219905733429401</v>
      </c>
      <c r="AK3">
        <v>1.6425270347557199</v>
      </c>
      <c r="AL3">
        <v>1.6191795455434801</v>
      </c>
      <c r="AM3">
        <v>1.5690405136344201</v>
      </c>
      <c r="AN3">
        <v>1.6296919346104</v>
      </c>
      <c r="AO3">
        <v>1.6239592302233601</v>
      </c>
      <c r="AP3">
        <v>1.6065405089873199</v>
      </c>
      <c r="AQ3">
        <v>1.59725533396302</v>
      </c>
      <c r="AR3">
        <v>1.6124834959023699</v>
      </c>
      <c r="AS3">
        <v>1.59327178831671</v>
      </c>
      <c r="AT3">
        <v>1.6141666318308701</v>
      </c>
      <c r="AU3">
        <v>1.69409218571474</v>
      </c>
    </row>
    <row r="4" spans="1:47" x14ac:dyDescent="0.2">
      <c r="A4">
        <f>A2+2</f>
        <v>1992</v>
      </c>
      <c r="B4">
        <f>RCT!C4</f>
        <v>1.64820122352267</v>
      </c>
      <c r="C4">
        <f>CT!C4</f>
        <v>1.77503389442875</v>
      </c>
      <c r="D4">
        <f>META!C4</f>
        <v>1.7688476033315199</v>
      </c>
      <c r="E4">
        <f>REVIEW!C4</f>
        <v>1.8505475858299301</v>
      </c>
      <c r="F4">
        <f>CCJ!C4</f>
        <v>1.8022501945673</v>
      </c>
      <c r="G4">
        <f>ALL!C4</f>
        <v>1.7934801716797499</v>
      </c>
      <c r="H4">
        <f>OBS!C4</f>
        <v>0</v>
      </c>
      <c r="I4">
        <f>SYSREV!C4</f>
        <v>0</v>
      </c>
      <c r="K4" t="str">
        <v>Meta-analysis</v>
      </c>
      <c r="L4">
        <v>1.82768938284393</v>
      </c>
      <c r="M4">
        <v>1.74336296827397</v>
      </c>
      <c r="N4">
        <v>1.7688476033315199</v>
      </c>
      <c r="O4">
        <v>1.7648855246027699</v>
      </c>
      <c r="P4">
        <v>1.77097949143313</v>
      </c>
      <c r="Q4">
        <v>1.6729574174981201</v>
      </c>
      <c r="R4">
        <v>1.5817484553595</v>
      </c>
      <c r="S4">
        <v>1.65089912660802</v>
      </c>
      <c r="T4">
        <v>1.61245057691571</v>
      </c>
      <c r="U4">
        <v>1.81222210364213</v>
      </c>
      <c r="V4">
        <v>1.7222481167116199</v>
      </c>
      <c r="W4">
        <v>1.6413965207913299</v>
      </c>
      <c r="X4">
        <v>1.7190514347933601</v>
      </c>
      <c r="Y4">
        <v>1.5405694301223001</v>
      </c>
      <c r="Z4">
        <v>1.4855554620423499</v>
      </c>
      <c r="AA4">
        <v>1.5620854947312399</v>
      </c>
      <c r="AB4">
        <v>1.5834560365663599</v>
      </c>
      <c r="AC4">
        <v>1.4803677044155099</v>
      </c>
      <c r="AD4">
        <v>1.5664992781140501</v>
      </c>
      <c r="AE4">
        <v>1.5423267251156101</v>
      </c>
      <c r="AF4">
        <v>1.63096371559839</v>
      </c>
      <c r="AG4">
        <v>1.60627614066985</v>
      </c>
      <c r="AH4">
        <v>1.6093256648346701</v>
      </c>
      <c r="AI4">
        <v>1.55882379211954</v>
      </c>
      <c r="AJ4">
        <v>1.53717879784558</v>
      </c>
      <c r="AK4">
        <v>1.55735134954246</v>
      </c>
      <c r="AL4">
        <v>1.54999079201724</v>
      </c>
      <c r="AM4">
        <v>1.42157096357589</v>
      </c>
      <c r="AN4">
        <v>1.3812704262366999</v>
      </c>
      <c r="AO4">
        <v>1.4290021587703801</v>
      </c>
      <c r="AP4">
        <v>1.3985715914197701</v>
      </c>
      <c r="AQ4">
        <v>1.4037096967010401</v>
      </c>
      <c r="AR4">
        <v>1.45089580821646</v>
      </c>
      <c r="AS4">
        <v>1.4325881950424799</v>
      </c>
      <c r="AT4">
        <v>1.4395595921536599</v>
      </c>
      <c r="AU4">
        <v>1.4164581963992799</v>
      </c>
    </row>
    <row r="5" spans="1:47" x14ac:dyDescent="0.2">
      <c r="A5">
        <f t="shared" ref="A5:A36" si="0">A3+2</f>
        <v>1993</v>
      </c>
      <c r="B5">
        <f>RCT!C5</f>
        <v>1.5809367944025701</v>
      </c>
      <c r="C5">
        <f>CT!C5</f>
        <v>1.77678132562663</v>
      </c>
      <c r="D5">
        <f>META!C5</f>
        <v>1.7648855246027699</v>
      </c>
      <c r="E5">
        <f>REVIEW!C5</f>
        <v>1.8014412537084199</v>
      </c>
      <c r="F5">
        <f>CCJ!C5</f>
        <v>1.77374749094937</v>
      </c>
      <c r="G5">
        <f>ALL!C5</f>
        <v>1.7661867877261499</v>
      </c>
      <c r="H5">
        <f>OBS!C5</f>
        <v>0</v>
      </c>
      <c r="I5">
        <f>SYSREV!C5</f>
        <v>0</v>
      </c>
      <c r="K5" t="str">
        <v>Review</v>
      </c>
      <c r="L5">
        <v>1.86182920087328</v>
      </c>
      <c r="M5">
        <v>1.9176887579536099</v>
      </c>
      <c r="N5">
        <v>1.8505475858299301</v>
      </c>
      <c r="O5">
        <v>1.8014412537084199</v>
      </c>
      <c r="P5">
        <v>1.91874745051829</v>
      </c>
      <c r="Q5">
        <v>1.83953780441541</v>
      </c>
      <c r="R5">
        <v>1.8377115992955</v>
      </c>
      <c r="S5">
        <v>1.81444639976421</v>
      </c>
      <c r="T5">
        <v>1.8532507871150199</v>
      </c>
      <c r="U5">
        <v>1.86365561782457</v>
      </c>
      <c r="V5">
        <v>1.8470373493035499</v>
      </c>
      <c r="W5">
        <v>1.8435096591442299</v>
      </c>
      <c r="X5">
        <v>1.80403773422589</v>
      </c>
      <c r="Y5">
        <v>1.79767833642307</v>
      </c>
      <c r="Z5">
        <v>1.77560321593658</v>
      </c>
      <c r="AA5">
        <v>1.7867176483468099</v>
      </c>
      <c r="AB5">
        <v>1.7878337063240499</v>
      </c>
      <c r="AC5">
        <v>1.76232438205453</v>
      </c>
      <c r="AD5">
        <v>1.7410308632998199</v>
      </c>
      <c r="AE5">
        <v>1.76978565386235</v>
      </c>
      <c r="AF5">
        <v>1.7370603109929901</v>
      </c>
      <c r="AG5">
        <v>1.8239480197285201</v>
      </c>
      <c r="AH5">
        <v>1.76046974153817</v>
      </c>
      <c r="AI5">
        <v>1.6695247797238599</v>
      </c>
      <c r="AJ5">
        <v>1.6577360851752601</v>
      </c>
      <c r="AK5">
        <v>1.70596008519293</v>
      </c>
      <c r="AL5">
        <v>1.6489453442463899</v>
      </c>
      <c r="AM5">
        <v>1.60302409702529</v>
      </c>
      <c r="AN5">
        <v>1.5761497819914101</v>
      </c>
      <c r="AO5">
        <v>1.6224023546958499</v>
      </c>
      <c r="AP5">
        <v>1.60017662159602</v>
      </c>
      <c r="AQ5">
        <v>1.6234875054567399</v>
      </c>
      <c r="AR5">
        <v>1.62929897078981</v>
      </c>
      <c r="AS5">
        <v>1.62568102979082</v>
      </c>
      <c r="AT5">
        <v>1.63586739024646</v>
      </c>
      <c r="AU5">
        <v>1.6350828606457399</v>
      </c>
    </row>
    <row r="6" spans="1:47" x14ac:dyDescent="0.2">
      <c r="A6">
        <f t="shared" si="0"/>
        <v>1994</v>
      </c>
      <c r="B6">
        <f>RCT!C6</f>
        <v>1.5630536708429399</v>
      </c>
      <c r="C6">
        <f>CT!C6</f>
        <v>1.7515506730933199</v>
      </c>
      <c r="D6">
        <f>META!C6</f>
        <v>1.77097949143313</v>
      </c>
      <c r="E6">
        <f>REVIEW!C6</f>
        <v>1.91874745051829</v>
      </c>
      <c r="F6">
        <f>CCJ!C6</f>
        <v>1.7582094474044001</v>
      </c>
      <c r="G6">
        <f>ALL!C6</f>
        <v>1.7662382667384899</v>
      </c>
      <c r="H6">
        <f>OBS!C6</f>
        <v>0</v>
      </c>
      <c r="I6">
        <f>SYSREV!C6</f>
        <v>0</v>
      </c>
      <c r="K6" t="str">
        <v>Core clinical journal</v>
      </c>
      <c r="L6">
        <v>1.8153620206090799</v>
      </c>
      <c r="M6">
        <v>1.8125897184312401</v>
      </c>
      <c r="N6">
        <v>1.8022501945673</v>
      </c>
      <c r="O6">
        <v>1.77374749094937</v>
      </c>
      <c r="P6">
        <v>1.7582094474044001</v>
      </c>
      <c r="Q6">
        <v>1.73595450486864</v>
      </c>
      <c r="R6">
        <v>1.7414607080214899</v>
      </c>
      <c r="S6">
        <v>1.7610278960371799</v>
      </c>
      <c r="T6">
        <v>1.73521742888055</v>
      </c>
      <c r="U6">
        <v>1.7281537652669201</v>
      </c>
      <c r="V6">
        <v>1.72688933489987</v>
      </c>
      <c r="W6">
        <v>1.7081775027803401</v>
      </c>
      <c r="X6">
        <v>1.7096839828125101</v>
      </c>
      <c r="Y6">
        <v>1.70607332098646</v>
      </c>
      <c r="Z6">
        <v>1.69701242716662</v>
      </c>
      <c r="AA6">
        <v>1.68815442025736</v>
      </c>
      <c r="AB6">
        <v>1.70278047758102</v>
      </c>
      <c r="AC6">
        <v>1.69932941153294</v>
      </c>
      <c r="AD6">
        <v>1.7005440524981601</v>
      </c>
      <c r="AE6">
        <v>1.6804864449758901</v>
      </c>
      <c r="AF6">
        <v>1.67433060705207</v>
      </c>
      <c r="AG6">
        <v>1.66602515147858</v>
      </c>
      <c r="AH6">
        <v>1.6541342756661399</v>
      </c>
      <c r="AI6">
        <v>1.64609697844818</v>
      </c>
      <c r="AJ6">
        <v>1.62923104579758</v>
      </c>
      <c r="AK6">
        <v>1.6231826235362801</v>
      </c>
      <c r="AL6">
        <v>1.6021564915241899</v>
      </c>
      <c r="AM6">
        <v>1.5908686058503101</v>
      </c>
      <c r="AN6">
        <v>1.5976741161246799</v>
      </c>
      <c r="AO6">
        <v>1.5873643165064699</v>
      </c>
      <c r="AP6">
        <v>1.58295215263877</v>
      </c>
      <c r="AQ6">
        <v>1.58961653483693</v>
      </c>
      <c r="AR6">
        <v>1.5971832118057001</v>
      </c>
      <c r="AS6">
        <v>1.5803856551768001</v>
      </c>
      <c r="AT6">
        <v>1.59770257088514</v>
      </c>
      <c r="AU6">
        <v>1.5709338752205999</v>
      </c>
    </row>
    <row r="7" spans="1:47" x14ac:dyDescent="0.2">
      <c r="A7">
        <f t="shared" si="0"/>
        <v>1995</v>
      </c>
      <c r="B7">
        <f>RCT!C7</f>
        <v>1.5578466590156601</v>
      </c>
      <c r="C7">
        <f>CT!C7</f>
        <v>1.78540626340757</v>
      </c>
      <c r="D7">
        <f>META!C7</f>
        <v>1.6729574174981201</v>
      </c>
      <c r="E7">
        <f>REVIEW!C7</f>
        <v>1.83953780441541</v>
      </c>
      <c r="F7">
        <f>CCJ!C7</f>
        <v>1.73595450486864</v>
      </c>
      <c r="G7">
        <f>ALL!C7</f>
        <v>1.7420948618519101</v>
      </c>
      <c r="H7">
        <f>OBS!C7</f>
        <v>0</v>
      </c>
      <c r="I7">
        <f>SYSREV!C7</f>
        <v>2.43367666522132</v>
      </c>
      <c r="K7" t="str">
        <v>All MEDLINE</v>
      </c>
      <c r="L7">
        <v>1.80738306738085</v>
      </c>
      <c r="M7">
        <v>1.7966408987337199</v>
      </c>
      <c r="N7">
        <v>1.7934801716797499</v>
      </c>
      <c r="O7">
        <v>1.7661867877261499</v>
      </c>
      <c r="P7">
        <v>1.7662382667384899</v>
      </c>
      <c r="Q7">
        <v>1.7420948618519101</v>
      </c>
      <c r="R7">
        <v>1.73223048251681</v>
      </c>
      <c r="S7">
        <v>1.7429363759605001</v>
      </c>
      <c r="T7">
        <v>1.72132926661386</v>
      </c>
      <c r="U7">
        <v>1.7259121530432799</v>
      </c>
      <c r="V7">
        <v>1.72047711276698</v>
      </c>
      <c r="W7">
        <v>1.7034450361415301</v>
      </c>
      <c r="X7">
        <v>1.69113235463353</v>
      </c>
      <c r="Y7">
        <v>1.6880597910944799</v>
      </c>
      <c r="Z7">
        <v>1.6755965141028</v>
      </c>
      <c r="AA7">
        <v>1.6690659907113099</v>
      </c>
      <c r="AB7">
        <v>1.6717145018366799</v>
      </c>
      <c r="AC7">
        <v>1.6731114395961899</v>
      </c>
      <c r="AD7">
        <v>1.6719628193648599</v>
      </c>
      <c r="AE7">
        <v>1.6680450574835499</v>
      </c>
      <c r="AF7">
        <v>1.6544710723053699</v>
      </c>
      <c r="AG7">
        <v>1.6541113844131701</v>
      </c>
      <c r="AH7">
        <v>1.6417412631866799</v>
      </c>
      <c r="AI7">
        <v>1.6326479778788701</v>
      </c>
      <c r="AJ7">
        <v>1.62810275101382</v>
      </c>
      <c r="AK7">
        <v>1.6294984990277901</v>
      </c>
      <c r="AL7">
        <v>1.6098426545587901</v>
      </c>
      <c r="AM7">
        <v>1.5924701508857499</v>
      </c>
      <c r="AN7">
        <v>1.58733684287064</v>
      </c>
      <c r="AO7">
        <v>1.5879214468335801</v>
      </c>
      <c r="AP7">
        <v>1.5838004782519499</v>
      </c>
      <c r="AQ7">
        <v>1.59003026032537</v>
      </c>
      <c r="AR7">
        <v>1.5885932733068999</v>
      </c>
      <c r="AS7">
        <v>1.5760775361611901</v>
      </c>
      <c r="AT7">
        <v>1.57987808856932</v>
      </c>
      <c r="AU7">
        <v>1.58417528529323</v>
      </c>
    </row>
    <row r="8" spans="1:47" x14ac:dyDescent="0.2">
      <c r="A8">
        <f t="shared" si="0"/>
        <v>1996</v>
      </c>
      <c r="B8">
        <f>RCT!C8</f>
        <v>1.5784713430481001</v>
      </c>
      <c r="C8">
        <f>CT!C8</f>
        <v>1.7232857819785801</v>
      </c>
      <c r="D8">
        <f>META!C8</f>
        <v>1.5817484553595</v>
      </c>
      <c r="E8">
        <f>REVIEW!C8</f>
        <v>1.8377115992955</v>
      </c>
      <c r="F8">
        <f>CCJ!C8</f>
        <v>1.7414607080214899</v>
      </c>
      <c r="G8">
        <f>ALL!C8</f>
        <v>1.73223048251681</v>
      </c>
      <c r="H8">
        <f>OBS!C8</f>
        <v>0</v>
      </c>
      <c r="I8">
        <f>SYSREV!C8</f>
        <v>2.4005149978319902</v>
      </c>
      <c r="K8" t="str">
        <v>Observational_Study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2.9999999999999898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1.5484550065040199</v>
      </c>
      <c r="AF8">
        <v>1.52899498581226</v>
      </c>
      <c r="AG8">
        <v>1.75114484371104</v>
      </c>
      <c r="AH8">
        <v>1.6430874099836199</v>
      </c>
      <c r="AI8">
        <v>1.6512465141181101</v>
      </c>
      <c r="AJ8">
        <v>1.6595524677664</v>
      </c>
      <c r="AK8">
        <v>1.6418266469984</v>
      </c>
      <c r="AL8">
        <v>1.62755304311835</v>
      </c>
      <c r="AM8">
        <v>1.6335435923405699</v>
      </c>
      <c r="AN8">
        <v>1.63375818920996</v>
      </c>
      <c r="AO8">
        <v>1.6193574760462599</v>
      </c>
      <c r="AP8">
        <v>1.62482127022384</v>
      </c>
      <c r="AQ8">
        <v>1.6299225018507899</v>
      </c>
      <c r="AR8">
        <v>1.63417344811286</v>
      </c>
      <c r="AS8">
        <v>1.6242897788585</v>
      </c>
      <c r="AT8">
        <v>1.60875662086576</v>
      </c>
      <c r="AU8">
        <v>1.58267543957058</v>
      </c>
    </row>
    <row r="9" spans="1:47" x14ac:dyDescent="0.2">
      <c r="A9">
        <f t="shared" si="0"/>
        <v>1997</v>
      </c>
      <c r="B9">
        <f>RCT!C9</f>
        <v>1.5624182798638999</v>
      </c>
      <c r="C9">
        <f>CT!C9</f>
        <v>1.75468936908809</v>
      </c>
      <c r="D9">
        <f>META!C9</f>
        <v>1.65089912660802</v>
      </c>
      <c r="E9">
        <f>REVIEW!C9</f>
        <v>1.81444639976421</v>
      </c>
      <c r="F9">
        <f>CCJ!C9</f>
        <v>1.7610278960371799</v>
      </c>
      <c r="G9">
        <f>ALL!C9</f>
        <v>1.7429363759605001</v>
      </c>
      <c r="H9">
        <f>OBS!C9</f>
        <v>0</v>
      </c>
      <c r="I9">
        <f>SYSREV!C9</f>
        <v>1.7601819453227501</v>
      </c>
      <c r="K9" t="str">
        <v>Systematical_review</v>
      </c>
      <c r="L9">
        <v>0</v>
      </c>
      <c r="M9">
        <v>0</v>
      </c>
      <c r="N9">
        <v>0</v>
      </c>
      <c r="O9">
        <v>0</v>
      </c>
      <c r="P9">
        <v>0</v>
      </c>
      <c r="Q9">
        <v>2.43367666522132</v>
      </c>
      <c r="R9">
        <v>2.4005149978319902</v>
      </c>
      <c r="S9">
        <v>1.7601819453227501</v>
      </c>
      <c r="T9">
        <v>2.06535984316004</v>
      </c>
      <c r="U9">
        <v>1.1710343394582501</v>
      </c>
      <c r="V9">
        <v>1.79241665774839</v>
      </c>
      <c r="W9">
        <v>1.7639705457436401</v>
      </c>
      <c r="X9">
        <v>1.8155081211025701</v>
      </c>
      <c r="Y9">
        <v>1.5316565478514801</v>
      </c>
      <c r="Z9">
        <v>1.47933746027258</v>
      </c>
      <c r="AA9">
        <v>1.6662187322762301</v>
      </c>
      <c r="AB9">
        <v>1.69299920675356</v>
      </c>
      <c r="AC9">
        <v>1.49803381979785</v>
      </c>
      <c r="AD9">
        <v>1.5286923118068501</v>
      </c>
      <c r="AE9">
        <v>1.48049759873048</v>
      </c>
      <c r="AF9">
        <v>1.4113134923016</v>
      </c>
      <c r="AG9">
        <v>1.4634604571084</v>
      </c>
      <c r="AH9">
        <v>1.4683386580267599</v>
      </c>
      <c r="AI9">
        <v>1.4794681085784001</v>
      </c>
      <c r="AJ9">
        <v>1.50718782347367</v>
      </c>
      <c r="AK9">
        <v>1.43076504860818</v>
      </c>
      <c r="AL9">
        <v>1.4366757998346</v>
      </c>
      <c r="AM9">
        <v>1.42778634331326</v>
      </c>
      <c r="AN9">
        <v>1.36241220575736</v>
      </c>
      <c r="AO9">
        <v>1.4254918561700201</v>
      </c>
      <c r="AP9">
        <v>1.3980679954291799</v>
      </c>
      <c r="AQ9">
        <v>1.41611723993849</v>
      </c>
      <c r="AR9">
        <v>1.45296116362321</v>
      </c>
      <c r="AS9">
        <v>1.4224010485854199</v>
      </c>
      <c r="AT9">
        <v>1.4294853991905001</v>
      </c>
      <c r="AU9">
        <v>1.4028072351990699</v>
      </c>
    </row>
    <row r="10" spans="1:47" x14ac:dyDescent="0.2">
      <c r="A10">
        <f t="shared" si="0"/>
        <v>1998</v>
      </c>
      <c r="B10">
        <f>RCT!C10</f>
        <v>1.55236299536412</v>
      </c>
      <c r="C10">
        <f>CT!C10</f>
        <v>1.72579792301086</v>
      </c>
      <c r="D10">
        <f>META!C10</f>
        <v>1.61245057691571</v>
      </c>
      <c r="E10">
        <f>REVIEW!C10</f>
        <v>1.8532507871150199</v>
      </c>
      <c r="F10">
        <f>CCJ!C10</f>
        <v>1.73521742888055</v>
      </c>
      <c r="G10">
        <f>ALL!C10</f>
        <v>1.72132926661386</v>
      </c>
      <c r="H10">
        <f>OBS!C10</f>
        <v>0</v>
      </c>
      <c r="I10">
        <f>SYSREV!C10</f>
        <v>2.06535984316004</v>
      </c>
    </row>
    <row r="11" spans="1:47" x14ac:dyDescent="0.2">
      <c r="A11">
        <f t="shared" si="0"/>
        <v>1999</v>
      </c>
      <c r="B11">
        <f>RCT!C11</f>
        <v>1.55673489625286</v>
      </c>
      <c r="C11">
        <f>CT!C11</f>
        <v>1.73472175537674</v>
      </c>
      <c r="D11">
        <f>META!C11</f>
        <v>1.81222210364213</v>
      </c>
      <c r="E11">
        <f>REVIEW!C11</f>
        <v>1.86365561782457</v>
      </c>
      <c r="F11">
        <f>CCJ!C11</f>
        <v>1.7281537652669201</v>
      </c>
      <c r="G11">
        <f>ALL!C11</f>
        <v>1.7259121530432799</v>
      </c>
      <c r="H11">
        <f>OBS!C11</f>
        <v>0</v>
      </c>
      <c r="I11">
        <f>SYSREV!C11</f>
        <v>1.1710343394582501</v>
      </c>
    </row>
    <row r="12" spans="1:47" x14ac:dyDescent="0.2">
      <c r="A12">
        <f t="shared" si="0"/>
        <v>2000</v>
      </c>
      <c r="B12">
        <f>RCT!C12</f>
        <v>1.5266340291082501</v>
      </c>
      <c r="C12">
        <f>CT!C12</f>
        <v>1.75266578569016</v>
      </c>
      <c r="D12">
        <f>META!C12</f>
        <v>1.7222481167116199</v>
      </c>
      <c r="E12">
        <f>REVIEW!C12</f>
        <v>1.8470373493035499</v>
      </c>
      <c r="F12">
        <f>CCJ!C12</f>
        <v>1.72688933489987</v>
      </c>
      <c r="G12">
        <f>ALL!C12</f>
        <v>1.72047711276698</v>
      </c>
      <c r="H12">
        <f>OBS!C12</f>
        <v>0</v>
      </c>
      <c r="I12">
        <f>SYSREV!C12</f>
        <v>1.79241665774839</v>
      </c>
    </row>
    <row r="13" spans="1:47" x14ac:dyDescent="0.2">
      <c r="A13">
        <f t="shared" si="0"/>
        <v>2001</v>
      </c>
      <c r="B13">
        <f>RCT!C13</f>
        <v>1.5425208779484201</v>
      </c>
      <c r="C13">
        <f>CT!C13</f>
        <v>1.6997159093928</v>
      </c>
      <c r="D13">
        <f>META!C13</f>
        <v>1.6413965207913299</v>
      </c>
      <c r="E13">
        <f>REVIEW!C13</f>
        <v>1.8435096591442299</v>
      </c>
      <c r="F13">
        <f>CCJ!C13</f>
        <v>1.7081775027803401</v>
      </c>
      <c r="G13">
        <f>ALL!C13</f>
        <v>1.7034450361415301</v>
      </c>
      <c r="H13">
        <f>OBS!C13</f>
        <v>0</v>
      </c>
      <c r="I13">
        <f>SYSREV!C13</f>
        <v>1.7639705457436401</v>
      </c>
    </row>
    <row r="14" spans="1:47" x14ac:dyDescent="0.2">
      <c r="A14">
        <f t="shared" si="0"/>
        <v>2002</v>
      </c>
      <c r="B14">
        <f>RCT!C14</f>
        <v>1.4894749331785999</v>
      </c>
      <c r="C14">
        <f>CT!C14</f>
        <v>1.71596019305071</v>
      </c>
      <c r="D14">
        <f>META!C14</f>
        <v>1.7190514347933601</v>
      </c>
      <c r="E14">
        <f>REVIEW!C14</f>
        <v>1.80403773422589</v>
      </c>
      <c r="F14">
        <f>CCJ!C14</f>
        <v>1.7096839828125101</v>
      </c>
      <c r="G14">
        <f>ALL!C14</f>
        <v>1.69113235463353</v>
      </c>
      <c r="H14">
        <f>OBS!C14</f>
        <v>2.9999999999999898</v>
      </c>
      <c r="I14">
        <f>SYSREV!C14</f>
        <v>1.8155081211025701</v>
      </c>
    </row>
    <row r="15" spans="1:47" x14ac:dyDescent="0.2">
      <c r="A15">
        <f t="shared" si="0"/>
        <v>2003</v>
      </c>
      <c r="B15">
        <f>RCT!C15</f>
        <v>1.50846512836709</v>
      </c>
      <c r="C15">
        <f>CT!C15</f>
        <v>1.7273440896385399</v>
      </c>
      <c r="D15">
        <f>META!C15</f>
        <v>1.5405694301223001</v>
      </c>
      <c r="E15">
        <f>REVIEW!C15</f>
        <v>1.79767833642307</v>
      </c>
      <c r="F15">
        <f>CCJ!C15</f>
        <v>1.70607332098646</v>
      </c>
      <c r="G15">
        <f>ALL!C15</f>
        <v>1.6880597910944799</v>
      </c>
      <c r="H15">
        <f>OBS!C15</f>
        <v>0</v>
      </c>
      <c r="I15">
        <f>SYSREV!C15</f>
        <v>1.5316565478514801</v>
      </c>
    </row>
    <row r="16" spans="1:47" x14ac:dyDescent="0.2">
      <c r="A16">
        <f t="shared" si="0"/>
        <v>2004</v>
      </c>
      <c r="B16">
        <f>RCT!C16</f>
        <v>1.4840678147445601</v>
      </c>
      <c r="C16">
        <f>CT!C16</f>
        <v>1.70270693763523</v>
      </c>
      <c r="D16">
        <f>META!C16</f>
        <v>1.4855554620423499</v>
      </c>
      <c r="E16">
        <f>REVIEW!C16</f>
        <v>1.77560321593658</v>
      </c>
      <c r="F16">
        <f>CCJ!C16</f>
        <v>1.69701242716662</v>
      </c>
      <c r="G16">
        <f>ALL!C16</f>
        <v>1.6755965141028</v>
      </c>
      <c r="H16">
        <f>OBS!C16</f>
        <v>0</v>
      </c>
      <c r="I16">
        <f>SYSREV!C16</f>
        <v>1.47933746027258</v>
      </c>
    </row>
    <row r="17" spans="1:9" x14ac:dyDescent="0.2">
      <c r="A17">
        <f t="shared" si="0"/>
        <v>2005</v>
      </c>
      <c r="B17">
        <f>RCT!C17</f>
        <v>1.4751213517989401</v>
      </c>
      <c r="C17">
        <f>CT!C17</f>
        <v>1.69777073600344</v>
      </c>
      <c r="D17">
        <f>META!C17</f>
        <v>1.5620854947312399</v>
      </c>
      <c r="E17">
        <f>REVIEW!C17</f>
        <v>1.7867176483468099</v>
      </c>
      <c r="F17">
        <f>CCJ!C17</f>
        <v>1.68815442025736</v>
      </c>
      <c r="G17">
        <f>ALL!C17</f>
        <v>1.6690659907113099</v>
      </c>
      <c r="H17">
        <f>OBS!C17</f>
        <v>0</v>
      </c>
      <c r="I17">
        <f>SYSREV!C17</f>
        <v>1.6662187322762301</v>
      </c>
    </row>
    <row r="18" spans="1:9" x14ac:dyDescent="0.2">
      <c r="A18">
        <f t="shared" si="0"/>
        <v>2006</v>
      </c>
      <c r="B18">
        <f>RCT!C18</f>
        <v>1.46867908976943</v>
      </c>
      <c r="C18">
        <f>CT!C18</f>
        <v>1.6723195269892701</v>
      </c>
      <c r="D18">
        <f>META!C18</f>
        <v>1.5834560365663599</v>
      </c>
      <c r="E18">
        <f>REVIEW!C18</f>
        <v>1.7878337063240499</v>
      </c>
      <c r="F18">
        <f>CCJ!C18</f>
        <v>1.70278047758102</v>
      </c>
      <c r="G18">
        <f>ALL!C18</f>
        <v>1.6717145018366799</v>
      </c>
      <c r="H18">
        <f>OBS!C18</f>
        <v>0</v>
      </c>
      <c r="I18">
        <f>SYSREV!C18</f>
        <v>1.69299920675356</v>
      </c>
    </row>
    <row r="19" spans="1:9" x14ac:dyDescent="0.2">
      <c r="A19">
        <f t="shared" si="0"/>
        <v>2007</v>
      </c>
      <c r="B19">
        <f>RCT!C19</f>
        <v>1.4841411926899399</v>
      </c>
      <c r="C19">
        <f>CT!C19</f>
        <v>1.6512834935229901</v>
      </c>
      <c r="D19">
        <f>META!C19</f>
        <v>1.4803677044155099</v>
      </c>
      <c r="E19">
        <f>REVIEW!C19</f>
        <v>1.76232438205453</v>
      </c>
      <c r="F19">
        <f>CCJ!C19</f>
        <v>1.69932941153294</v>
      </c>
      <c r="G19">
        <f>ALL!C19</f>
        <v>1.6731114395961899</v>
      </c>
      <c r="H19">
        <f>OBS!C19</f>
        <v>0</v>
      </c>
      <c r="I19">
        <f>SYSREV!C19</f>
        <v>1.49803381979785</v>
      </c>
    </row>
    <row r="20" spans="1:9" x14ac:dyDescent="0.2">
      <c r="A20">
        <f t="shared" si="0"/>
        <v>2008</v>
      </c>
      <c r="B20">
        <f>RCT!C20</f>
        <v>1.46491321409815</v>
      </c>
      <c r="C20">
        <f>CT!C20</f>
        <v>1.6694082967988599</v>
      </c>
      <c r="D20">
        <f>META!C20</f>
        <v>1.5664992781140501</v>
      </c>
      <c r="E20">
        <f>REVIEW!C20</f>
        <v>1.7410308632998199</v>
      </c>
      <c r="F20">
        <f>CCJ!C20</f>
        <v>1.7005440524981601</v>
      </c>
      <c r="G20">
        <f>ALL!C20</f>
        <v>1.6719628193648599</v>
      </c>
      <c r="H20">
        <f>OBS!C20</f>
        <v>0</v>
      </c>
      <c r="I20">
        <f>SYSREV!C20</f>
        <v>1.5286923118068501</v>
      </c>
    </row>
    <row r="21" spans="1:9" x14ac:dyDescent="0.2">
      <c r="A21">
        <f t="shared" si="0"/>
        <v>2009</v>
      </c>
      <c r="B21">
        <f>RCT!C21</f>
        <v>1.4434643923128201</v>
      </c>
      <c r="C21">
        <f>CT!C21</f>
        <v>1.6657230250236501</v>
      </c>
      <c r="D21">
        <f>META!C21</f>
        <v>1.5423267251156101</v>
      </c>
      <c r="E21">
        <f>REVIEW!C21</f>
        <v>1.76978565386235</v>
      </c>
      <c r="F21">
        <f>CCJ!C21</f>
        <v>1.6804864449758901</v>
      </c>
      <c r="G21">
        <f>ALL!C21</f>
        <v>1.6680450574835499</v>
      </c>
      <c r="H21">
        <f>OBS!C21</f>
        <v>1.5484550065040199</v>
      </c>
      <c r="I21">
        <f>SYSREV!C21</f>
        <v>1.48049759873048</v>
      </c>
    </row>
    <row r="22" spans="1:9" x14ac:dyDescent="0.2">
      <c r="A22">
        <f t="shared" si="0"/>
        <v>2010</v>
      </c>
      <c r="B22">
        <f>RCT!C22</f>
        <v>1.4277570713561001</v>
      </c>
      <c r="C22">
        <f>CT!C22</f>
        <v>1.6681969684268001</v>
      </c>
      <c r="D22">
        <f>META!C22</f>
        <v>1.63096371559839</v>
      </c>
      <c r="E22">
        <f>REVIEW!C22</f>
        <v>1.7370603109929901</v>
      </c>
      <c r="F22">
        <f>CCJ!C22</f>
        <v>1.67433060705207</v>
      </c>
      <c r="G22">
        <f>ALL!C22</f>
        <v>1.6544710723053699</v>
      </c>
      <c r="H22">
        <f>OBS!C22</f>
        <v>1.52899498581226</v>
      </c>
      <c r="I22">
        <f>SYSREV!C22</f>
        <v>1.4113134923016</v>
      </c>
    </row>
    <row r="23" spans="1:9" x14ac:dyDescent="0.2">
      <c r="A23">
        <f t="shared" si="0"/>
        <v>2011</v>
      </c>
      <c r="B23">
        <f>RCT!C23</f>
        <v>1.4258092549069801</v>
      </c>
      <c r="C23">
        <f>CT!C23</f>
        <v>1.6353070693151599</v>
      </c>
      <c r="D23">
        <f>META!C23</f>
        <v>1.60627614066985</v>
      </c>
      <c r="E23">
        <f>REVIEW!C23</f>
        <v>1.8239480197285201</v>
      </c>
      <c r="F23">
        <f>CCJ!C23</f>
        <v>1.66602515147858</v>
      </c>
      <c r="G23">
        <f>ALL!C23</f>
        <v>1.6541113844131701</v>
      </c>
      <c r="H23">
        <f>OBS!C23</f>
        <v>1.75114484371104</v>
      </c>
      <c r="I23">
        <f>SYSREV!C23</f>
        <v>1.4634604571084</v>
      </c>
    </row>
    <row r="24" spans="1:9" x14ac:dyDescent="0.2">
      <c r="A24">
        <f>A22+2</f>
        <v>2012</v>
      </c>
      <c r="B24">
        <f>RCT!C24</f>
        <v>1.4074998811571</v>
      </c>
      <c r="C24">
        <f>CT!C24</f>
        <v>1.62056160997603</v>
      </c>
      <c r="D24">
        <f>META!C24</f>
        <v>1.6093256648346701</v>
      </c>
      <c r="E24">
        <f>REVIEW!C24</f>
        <v>1.76046974153817</v>
      </c>
      <c r="F24">
        <f>CCJ!C24</f>
        <v>1.6541342756661399</v>
      </c>
      <c r="G24">
        <f>ALL!C24</f>
        <v>1.6417412631866799</v>
      </c>
      <c r="H24">
        <f>OBS!C24</f>
        <v>1.6430874099836199</v>
      </c>
      <c r="I24">
        <f>SYSREV!C24</f>
        <v>1.4683386580267599</v>
      </c>
    </row>
    <row r="25" spans="1:9" x14ac:dyDescent="0.2">
      <c r="A25">
        <f t="shared" si="0"/>
        <v>2013</v>
      </c>
      <c r="B25">
        <f>RCT!C25</f>
        <v>1.40217533711261</v>
      </c>
      <c r="C25">
        <f>CT!C25</f>
        <v>1.6390481614861501</v>
      </c>
      <c r="D25">
        <f>META!C25</f>
        <v>1.55882379211954</v>
      </c>
      <c r="E25">
        <f>REVIEW!C25</f>
        <v>1.6695247797238599</v>
      </c>
      <c r="F25">
        <f>CCJ!C25</f>
        <v>1.64609697844818</v>
      </c>
      <c r="G25">
        <f>ALL!C25</f>
        <v>1.6326479778788701</v>
      </c>
      <c r="H25">
        <f>OBS!C25</f>
        <v>1.6512465141181101</v>
      </c>
      <c r="I25">
        <f>SYSREV!C25</f>
        <v>1.4794681085784001</v>
      </c>
    </row>
    <row r="26" spans="1:9" x14ac:dyDescent="0.2">
      <c r="A26">
        <f t="shared" si="0"/>
        <v>2014</v>
      </c>
      <c r="B26">
        <f>RCT!C26</f>
        <v>1.3788168991327601</v>
      </c>
      <c r="C26">
        <f>CT!C26</f>
        <v>1.6219905733429401</v>
      </c>
      <c r="D26">
        <f>META!C26</f>
        <v>1.53717879784558</v>
      </c>
      <c r="E26">
        <f>REVIEW!C26</f>
        <v>1.6577360851752601</v>
      </c>
      <c r="F26">
        <f>CCJ!C26</f>
        <v>1.62923104579758</v>
      </c>
      <c r="G26">
        <f>ALL!C26</f>
        <v>1.62810275101382</v>
      </c>
      <c r="H26">
        <f>OBS!C26</f>
        <v>1.6595524677664</v>
      </c>
      <c r="I26">
        <f>SYSREV!C26</f>
        <v>1.50718782347367</v>
      </c>
    </row>
    <row r="27" spans="1:9" x14ac:dyDescent="0.2">
      <c r="A27">
        <f t="shared" si="0"/>
        <v>2015</v>
      </c>
      <c r="B27">
        <f>RCT!C27</f>
        <v>1.3722965283291999</v>
      </c>
      <c r="C27">
        <f>CT!C27</f>
        <v>1.6425270347557199</v>
      </c>
      <c r="D27">
        <f>META!C27</f>
        <v>1.55735134954246</v>
      </c>
      <c r="E27">
        <f>REVIEW!C27</f>
        <v>1.70596008519293</v>
      </c>
      <c r="F27">
        <f>CCJ!C27</f>
        <v>1.6231826235362801</v>
      </c>
      <c r="G27">
        <f>ALL!C27</f>
        <v>1.6294984990277901</v>
      </c>
      <c r="H27">
        <f>OBS!C27</f>
        <v>1.6418266469984</v>
      </c>
      <c r="I27">
        <f>SYSREV!C27</f>
        <v>1.43076504860818</v>
      </c>
    </row>
    <row r="28" spans="1:9" x14ac:dyDescent="0.2">
      <c r="A28">
        <f t="shared" si="0"/>
        <v>2016</v>
      </c>
      <c r="B28">
        <f>RCT!C28</f>
        <v>1.35087387760838</v>
      </c>
      <c r="C28">
        <f>CT!C28</f>
        <v>1.6191795455434801</v>
      </c>
      <c r="D28">
        <f>META!C28</f>
        <v>1.54999079201724</v>
      </c>
      <c r="E28">
        <f>REVIEW!C28</f>
        <v>1.6489453442463899</v>
      </c>
      <c r="F28">
        <f>CCJ!C28</f>
        <v>1.6021564915241899</v>
      </c>
      <c r="G28">
        <f>ALL!C28</f>
        <v>1.6098426545587901</v>
      </c>
      <c r="H28">
        <f>OBS!C28</f>
        <v>1.62755304311835</v>
      </c>
      <c r="I28">
        <f>SYSREV!C28</f>
        <v>1.4366757998346</v>
      </c>
    </row>
    <row r="29" spans="1:9" x14ac:dyDescent="0.2">
      <c r="A29">
        <f t="shared" si="0"/>
        <v>2017</v>
      </c>
      <c r="B29">
        <f>RCT!C29</f>
        <v>1.3413110816218701</v>
      </c>
      <c r="C29">
        <f>CT!C29</f>
        <v>1.5690405136344201</v>
      </c>
      <c r="D29">
        <f>META!C29</f>
        <v>1.42157096357589</v>
      </c>
      <c r="E29">
        <f>REVIEW!C29</f>
        <v>1.60302409702529</v>
      </c>
      <c r="F29">
        <f>CCJ!C29</f>
        <v>1.5908686058503101</v>
      </c>
      <c r="G29">
        <f>ALL!C29</f>
        <v>1.5924701508857499</v>
      </c>
      <c r="H29">
        <f>OBS!C29</f>
        <v>1.6335435923405699</v>
      </c>
      <c r="I29">
        <f>SYSREV!C29</f>
        <v>1.42778634331326</v>
      </c>
    </row>
    <row r="30" spans="1:9" x14ac:dyDescent="0.2">
      <c r="A30">
        <f t="shared" si="0"/>
        <v>2018</v>
      </c>
      <c r="B30">
        <f>RCT!C30</f>
        <v>1.3531967621579299</v>
      </c>
      <c r="C30">
        <f>CT!C30</f>
        <v>1.6296919346104</v>
      </c>
      <c r="D30">
        <f>META!C30</f>
        <v>1.3812704262366999</v>
      </c>
      <c r="E30">
        <f>REVIEW!C30</f>
        <v>1.5761497819914101</v>
      </c>
      <c r="F30">
        <f>CCJ!C30</f>
        <v>1.5976741161246799</v>
      </c>
      <c r="G30">
        <f>ALL!C30</f>
        <v>1.58733684287064</v>
      </c>
      <c r="H30">
        <f>OBS!C30</f>
        <v>1.63375818920996</v>
      </c>
      <c r="I30">
        <f>SYSREV!C30</f>
        <v>1.36241220575736</v>
      </c>
    </row>
    <row r="31" spans="1:9" x14ac:dyDescent="0.2">
      <c r="A31">
        <f t="shared" si="0"/>
        <v>2019</v>
      </c>
      <c r="B31">
        <f>RCT!C31</f>
        <v>1.35108910243665</v>
      </c>
      <c r="C31">
        <f>CT!C31</f>
        <v>1.6239592302233601</v>
      </c>
      <c r="D31">
        <f>META!C31</f>
        <v>1.4290021587703801</v>
      </c>
      <c r="E31">
        <f>REVIEW!C31</f>
        <v>1.6224023546958499</v>
      </c>
      <c r="F31">
        <f>CCJ!C31</f>
        <v>1.5873643165064699</v>
      </c>
      <c r="G31">
        <f>ALL!C31</f>
        <v>1.5879214468335801</v>
      </c>
      <c r="H31">
        <f>OBS!C31</f>
        <v>1.6193574760462599</v>
      </c>
      <c r="I31">
        <f>SYSREV!C31</f>
        <v>1.4254918561700201</v>
      </c>
    </row>
    <row r="32" spans="1:9" x14ac:dyDescent="0.2">
      <c r="A32">
        <f t="shared" si="0"/>
        <v>2020</v>
      </c>
      <c r="B32">
        <f>RCT!C32</f>
        <v>1.3368378649286301</v>
      </c>
      <c r="C32">
        <f>CT!C32</f>
        <v>1.6065405089873199</v>
      </c>
      <c r="D32">
        <f>META!C32</f>
        <v>1.3985715914197701</v>
      </c>
      <c r="E32">
        <f>REVIEW!C32</f>
        <v>1.60017662159602</v>
      </c>
      <c r="F32">
        <f>CCJ!C32</f>
        <v>1.58295215263877</v>
      </c>
      <c r="G32">
        <f>ALL!C32</f>
        <v>1.5838004782519499</v>
      </c>
      <c r="H32">
        <f>OBS!C32</f>
        <v>1.62482127022384</v>
      </c>
      <c r="I32">
        <f>SYSREV!C32</f>
        <v>1.3980679954291799</v>
      </c>
    </row>
    <row r="33" spans="1:9" x14ac:dyDescent="0.2">
      <c r="A33">
        <f t="shared" si="0"/>
        <v>2021</v>
      </c>
      <c r="B33">
        <f>RCT!C33</f>
        <v>1.3266230183533201</v>
      </c>
      <c r="C33">
        <f>CT!C33</f>
        <v>1.59725533396302</v>
      </c>
      <c r="D33">
        <f>META!C33</f>
        <v>1.4037096967010401</v>
      </c>
      <c r="E33">
        <f>REVIEW!C33</f>
        <v>1.6234875054567399</v>
      </c>
      <c r="F33">
        <f>CCJ!C33</f>
        <v>1.58961653483693</v>
      </c>
      <c r="G33">
        <f>ALL!C33</f>
        <v>1.59003026032537</v>
      </c>
      <c r="H33">
        <f>OBS!C33</f>
        <v>1.6299225018507899</v>
      </c>
      <c r="I33">
        <f>SYSREV!C33</f>
        <v>1.41611723993849</v>
      </c>
    </row>
    <row r="34" spans="1:9" x14ac:dyDescent="0.2">
      <c r="A34">
        <f t="shared" si="0"/>
        <v>2022</v>
      </c>
      <c r="B34">
        <f>RCT!C34</f>
        <v>1.34405054412652</v>
      </c>
      <c r="C34">
        <f>CT!C34</f>
        <v>1.6124834959023699</v>
      </c>
      <c r="D34">
        <f>META!C34</f>
        <v>1.45089580821646</v>
      </c>
      <c r="E34">
        <f>REVIEW!C34</f>
        <v>1.62929897078981</v>
      </c>
      <c r="F34">
        <f>CCJ!C34</f>
        <v>1.5971832118057001</v>
      </c>
      <c r="G34">
        <f>ALL!C34</f>
        <v>1.5885932733068999</v>
      </c>
      <c r="H34">
        <f>OBS!C34</f>
        <v>1.63417344811286</v>
      </c>
      <c r="I34">
        <f>SYSREV!C34</f>
        <v>1.45296116362321</v>
      </c>
    </row>
    <row r="35" spans="1:9" x14ac:dyDescent="0.2">
      <c r="A35">
        <f t="shared" si="0"/>
        <v>2023</v>
      </c>
      <c r="B35">
        <f>RCT!C35</f>
        <v>1.32393111877785</v>
      </c>
      <c r="C35">
        <f>CT!C35</f>
        <v>1.59327178831671</v>
      </c>
      <c r="D35">
        <f>META!C35</f>
        <v>1.4325881950424799</v>
      </c>
      <c r="E35">
        <f>REVIEW!C35</f>
        <v>1.62568102979082</v>
      </c>
      <c r="F35">
        <f>CCJ!C35</f>
        <v>1.5803856551768001</v>
      </c>
      <c r="G35">
        <f>ALL!C35</f>
        <v>1.5760775361611901</v>
      </c>
      <c r="H35">
        <f>OBS!C35</f>
        <v>1.6242897788585</v>
      </c>
      <c r="I35">
        <f>SYSREV!C35</f>
        <v>1.4224010485854199</v>
      </c>
    </row>
    <row r="36" spans="1:9" x14ac:dyDescent="0.2">
      <c r="A36">
        <f t="shared" si="0"/>
        <v>2024</v>
      </c>
      <c r="B36">
        <f>RCT!C36</f>
        <v>1.3520616480751699</v>
      </c>
      <c r="C36">
        <f>CT!C36</f>
        <v>1.6141666318308701</v>
      </c>
      <c r="D36">
        <f>META!C36</f>
        <v>1.4395595921536599</v>
      </c>
      <c r="E36">
        <f>REVIEW!C36</f>
        <v>1.63586739024646</v>
      </c>
      <c r="F36">
        <f>CCJ!C36</f>
        <v>1.59770257088514</v>
      </c>
      <c r="G36">
        <f>ALL!C36</f>
        <v>1.57987808856932</v>
      </c>
      <c r="H36">
        <f>OBS!C36</f>
        <v>1.60875662086576</v>
      </c>
      <c r="I36">
        <f>SYSREV!C36</f>
        <v>1.4294853991905001</v>
      </c>
    </row>
    <row r="37" spans="1:9" x14ac:dyDescent="0.2">
      <c r="A37">
        <v>2025</v>
      </c>
      <c r="B37">
        <f>RCT!C37</f>
        <v>1.3491475332191101</v>
      </c>
      <c r="C37">
        <f>CT!C37</f>
        <v>1.69409218571474</v>
      </c>
      <c r="D37">
        <f>META!C37</f>
        <v>1.4164581963992799</v>
      </c>
      <c r="E37">
        <f>REVIEW!C37</f>
        <v>1.6350828606457399</v>
      </c>
      <c r="F37">
        <f>CCJ!C37</f>
        <v>1.5709338752205999</v>
      </c>
      <c r="G37">
        <f>ALL!C37</f>
        <v>1.58417528529323</v>
      </c>
      <c r="H37">
        <f>OBS!C37</f>
        <v>1.58267543957058</v>
      </c>
      <c r="I37">
        <f>SYSREV!C37</f>
        <v>1.4028072351990699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RCT</vt:lpstr>
      <vt:lpstr>CT</vt:lpstr>
      <vt:lpstr>META</vt:lpstr>
      <vt:lpstr>REVIEW</vt:lpstr>
      <vt:lpstr>CCJ</vt:lpstr>
      <vt:lpstr>ALL</vt:lpstr>
      <vt:lpstr>OBS</vt:lpstr>
      <vt:lpstr>SYSREV</vt:lpstr>
      <vt:lpstr>minp</vt:lpstr>
      <vt:lpstr>maxp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2025-09-20T09:37:29Z</dcterms:created>
  <dcterms:modified xsi:type="dcterms:W3CDTF">2025-12-10T04:18:02Z</dcterms:modified>
</cp:coreProperties>
</file>