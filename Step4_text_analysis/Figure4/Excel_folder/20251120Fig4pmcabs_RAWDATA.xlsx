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4\"/>
    </mc:Choice>
  </mc:AlternateContent>
  <xr:revisionPtr revIDLastSave="0" documentId="13_ncr:1_{62E2AF2A-49AE-429A-BCBA-580E6F54AF14}" xr6:coauthVersionLast="47" xr6:coauthVersionMax="47" xr10:uidLastSave="{00000000-0000-0000-0000-000000000000}"/>
  <bookViews>
    <workbookView xWindow="14295" yWindow="0" windowWidth="14610" windowHeight="15585" firstSheet="4" activeTab="8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7" r:id="rId7"/>
    <sheet name="SYSREV" sheetId="8" r:id="rId8"/>
    <sheet name="minp" sheetId="9" r:id="rId9"/>
    <sheet name="maxp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C2" i="9"/>
  <c r="C3" i="9"/>
  <c r="C4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A6" i="10"/>
  <c r="A8" i="10" s="1"/>
  <c r="A10" i="10" s="1"/>
  <c r="A12" i="10" s="1"/>
  <c r="A14" i="10" s="1"/>
  <c r="A16" i="10" s="1"/>
  <c r="A18" i="10" s="1"/>
  <c r="A20" i="10" s="1"/>
  <c r="A22" i="10" s="1"/>
  <c r="A24" i="10" s="1"/>
  <c r="A26" i="10" s="1"/>
  <c r="A28" i="10" s="1"/>
  <c r="A30" i="10" s="1"/>
  <c r="A32" i="10" s="1"/>
  <c r="A34" i="10" s="1"/>
  <c r="A36" i="10" s="1"/>
  <c r="A5" i="10"/>
  <c r="A7" i="10" s="1"/>
  <c r="A9" i="10" s="1"/>
  <c r="A11" i="10" s="1"/>
  <c r="A13" i="10" s="1"/>
  <c r="A15" i="10" s="1"/>
  <c r="A17" i="10" s="1"/>
  <c r="A19" i="10" s="1"/>
  <c r="A21" i="10" s="1"/>
  <c r="A23" i="10" s="1"/>
  <c r="A25" i="10" s="1"/>
  <c r="A27" i="10" s="1"/>
  <c r="A29" i="10" s="1"/>
  <c r="A31" i="10" s="1"/>
  <c r="A33" i="10" s="1"/>
  <c r="A35" i="10" s="1"/>
  <c r="A4" i="10"/>
  <c r="I2" i="10"/>
  <c r="H2" i="10"/>
  <c r="G2" i="10"/>
  <c r="F2" i="10"/>
  <c r="E2" i="10"/>
  <c r="D2" i="10"/>
  <c r="C2" i="10"/>
  <c r="L1" i="10" s="1" a="1"/>
  <c r="L1" i="10" s="1"/>
  <c r="B2" i="10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A6" i="9"/>
  <c r="A8" i="9" s="1"/>
  <c r="A10" i="9" s="1"/>
  <c r="A12" i="9" s="1"/>
  <c r="A14" i="9" s="1"/>
  <c r="A16" i="9" s="1"/>
  <c r="A18" i="9" s="1"/>
  <c r="A20" i="9" s="1"/>
  <c r="A22" i="9" s="1"/>
  <c r="A24" i="9" s="1"/>
  <c r="A26" i="9" s="1"/>
  <c r="A28" i="9" s="1"/>
  <c r="A30" i="9" s="1"/>
  <c r="A32" i="9" s="1"/>
  <c r="A34" i="9" s="1"/>
  <c r="A36" i="9" s="1"/>
  <c r="A5" i="9"/>
  <c r="A7" i="9" s="1"/>
  <c r="A9" i="9" s="1"/>
  <c r="A11" i="9" s="1"/>
  <c r="A13" i="9" s="1"/>
  <c r="A15" i="9" s="1"/>
  <c r="A17" i="9" s="1"/>
  <c r="A19" i="9" s="1"/>
  <c r="A21" i="9" s="1"/>
  <c r="A23" i="9" s="1"/>
  <c r="A25" i="9" s="1"/>
  <c r="A27" i="9" s="1"/>
  <c r="A29" i="9" s="1"/>
  <c r="A31" i="9" s="1"/>
  <c r="A33" i="9" s="1"/>
  <c r="A35" i="9" s="1"/>
  <c r="A4" i="9"/>
  <c r="I2" i="9" l="1"/>
  <c r="H2" i="9"/>
  <c r="G2" i="9"/>
  <c r="F2" i="9"/>
  <c r="L1" i="9" a="1"/>
  <c r="L1" i="9" s="1"/>
  <c r="G40" i="6" l="1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<sst xmlns="http://schemas.openxmlformats.org/spreadsheetml/2006/main" count="92" uniqueCount="18">
  <si>
    <t>Year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</si>
  <si>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</si>
  <si>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</si>
  <si>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</si>
  <si>
    <t>min_log_avg</t>
  </si>
  <si>
    <t>max_log_avy</t>
  </si>
  <si>
    <t>article_n</t>
  </si>
  <si>
    <t>abs_has_p</t>
  </si>
  <si>
    <t>min_count</t>
  </si>
  <si>
    <t>max_count</t>
  </si>
  <si>
    <t>Randomized controlled trial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</si>
  <si>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</si>
  <si>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</si>
  <si>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</si>
  <si>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</si>
  <si>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</si>
  <si>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Observational_Study</t>
  </si>
  <si>
    <t>Systematical_review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</si>
</sst>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1990</v>
      </c>
      <c r="B2">
        <v>1.57566624264542</v>
      </c>
      <c r="C2">
        <v>1.36118201715002</v>
      </c>
      <c r="D2">
        <v>11</v>
      </c>
      <c r="E2">
        <v>3</v>
      </c>
      <c r="F2">
        <v>3</v>
      </c>
      <c r="G2">
        <v>3</v>
      </c>
    </row>
    <row r="3" spans="1:7" x14ac:dyDescent="0.3">
      <c r="A3">
        <v>1991</v>
      </c>
      <c r="B3">
        <v>2.3137868620686901</v>
      </c>
      <c r="C3">
        <v>1.51993758376911</v>
      </c>
      <c r="D3">
        <v>20</v>
      </c>
      <c r="E3">
        <v>10</v>
      </c>
      <c r="F3">
        <v>10</v>
      </c>
      <c r="G3">
        <v>10</v>
      </c>
    </row>
    <row r="4" spans="1:7" x14ac:dyDescent="0.3">
      <c r="A4">
        <v>1992</v>
      </c>
      <c r="B4">
        <v>1.9072829165387799</v>
      </c>
      <c r="C4">
        <v>1.0159907968680699</v>
      </c>
      <c r="D4">
        <v>16</v>
      </c>
      <c r="E4">
        <v>6</v>
      </c>
      <c r="F4">
        <v>6</v>
      </c>
      <c r="G4">
        <v>6</v>
      </c>
    </row>
    <row r="5" spans="1:7" x14ac:dyDescent="0.3">
      <c r="A5">
        <v>1993</v>
      </c>
      <c r="B5">
        <v>2.2955143563401101</v>
      </c>
      <c r="C5">
        <v>1.4929239661136</v>
      </c>
      <c r="D5">
        <v>29</v>
      </c>
      <c r="E5">
        <v>14</v>
      </c>
      <c r="F5">
        <v>14</v>
      </c>
      <c r="G5">
        <v>14</v>
      </c>
    </row>
    <row r="6" spans="1:7" x14ac:dyDescent="0.3">
      <c r="A6">
        <v>1994</v>
      </c>
      <c r="B6">
        <v>2.1009985327614902</v>
      </c>
      <c r="C6">
        <v>1.3382795826032301</v>
      </c>
      <c r="D6">
        <v>36</v>
      </c>
      <c r="E6">
        <v>18</v>
      </c>
      <c r="F6">
        <v>18</v>
      </c>
      <c r="G6">
        <v>18</v>
      </c>
    </row>
    <row r="7" spans="1:7" x14ac:dyDescent="0.3">
      <c r="A7">
        <v>1995</v>
      </c>
      <c r="B7">
        <v>2.2534351923277698</v>
      </c>
      <c r="C7">
        <v>1.6229833623299199</v>
      </c>
      <c r="D7">
        <v>29</v>
      </c>
      <c r="E7">
        <v>15</v>
      </c>
      <c r="F7">
        <v>15</v>
      </c>
      <c r="G7">
        <v>15</v>
      </c>
    </row>
    <row r="8" spans="1:7" x14ac:dyDescent="0.3">
      <c r="A8">
        <v>1996</v>
      </c>
      <c r="B8">
        <v>2.0173714513700798</v>
      </c>
      <c r="C8">
        <v>1.3125552823501301</v>
      </c>
      <c r="D8">
        <v>43</v>
      </c>
      <c r="E8">
        <v>18</v>
      </c>
      <c r="F8">
        <v>18</v>
      </c>
      <c r="G8">
        <v>18</v>
      </c>
    </row>
    <row r="9" spans="1:7" x14ac:dyDescent="0.3">
      <c r="A9">
        <v>1997</v>
      </c>
      <c r="B9">
        <v>2.0281373622944399</v>
      </c>
      <c r="C9">
        <v>1.1042201411794501</v>
      </c>
      <c r="D9">
        <v>28</v>
      </c>
      <c r="E9">
        <v>17</v>
      </c>
      <c r="F9">
        <v>17</v>
      </c>
      <c r="G9">
        <v>17</v>
      </c>
    </row>
    <row r="10" spans="1:7" x14ac:dyDescent="0.3">
      <c r="A10">
        <v>1998</v>
      </c>
      <c r="B10">
        <v>2.39825354291529</v>
      </c>
      <c r="C10">
        <v>1.6978616999704701</v>
      </c>
      <c r="D10">
        <v>43</v>
      </c>
      <c r="E10">
        <v>25</v>
      </c>
      <c r="F10">
        <v>25</v>
      </c>
      <c r="G10">
        <v>25</v>
      </c>
    </row>
    <row r="11" spans="1:7" x14ac:dyDescent="0.3">
      <c r="A11">
        <v>1999</v>
      </c>
      <c r="B11">
        <v>2.5817853029909901</v>
      </c>
      <c r="C11">
        <v>1.3115353162488499</v>
      </c>
      <c r="D11">
        <v>37</v>
      </c>
      <c r="E11">
        <v>16</v>
      </c>
      <c r="F11">
        <v>16</v>
      </c>
      <c r="G11">
        <v>16</v>
      </c>
    </row>
    <row r="12" spans="1:7" x14ac:dyDescent="0.3">
      <c r="A12">
        <v>2000</v>
      </c>
      <c r="B12">
        <v>2.0075016101853702</v>
      </c>
      <c r="C12">
        <v>1.3590932018192901</v>
      </c>
      <c r="D12">
        <v>45</v>
      </c>
      <c r="E12">
        <v>21</v>
      </c>
      <c r="F12">
        <v>21</v>
      </c>
      <c r="G12">
        <v>21</v>
      </c>
    </row>
    <row r="13" spans="1:7" x14ac:dyDescent="0.3">
      <c r="A13">
        <v>2001</v>
      </c>
      <c r="B13">
        <v>1.8204935165867999</v>
      </c>
      <c r="C13">
        <v>1.3194326164836301</v>
      </c>
      <c r="D13">
        <v>65</v>
      </c>
      <c r="E13">
        <v>34</v>
      </c>
      <c r="F13">
        <v>34</v>
      </c>
      <c r="G13">
        <v>34</v>
      </c>
    </row>
    <row r="14" spans="1:7" x14ac:dyDescent="0.3">
      <c r="A14">
        <v>2002</v>
      </c>
      <c r="B14">
        <v>2.2447269022891199</v>
      </c>
      <c r="C14">
        <v>1.78225171117223</v>
      </c>
      <c r="D14">
        <v>75</v>
      </c>
      <c r="E14">
        <v>34</v>
      </c>
      <c r="F14">
        <v>34</v>
      </c>
      <c r="G14">
        <v>34</v>
      </c>
    </row>
    <row r="15" spans="1:7" x14ac:dyDescent="0.3">
      <c r="A15">
        <v>2003</v>
      </c>
      <c r="B15">
        <v>2.1544531055793401</v>
      </c>
      <c r="C15">
        <v>1.30791641007837</v>
      </c>
      <c r="D15">
        <v>76</v>
      </c>
      <c r="E15">
        <v>36</v>
      </c>
      <c r="F15">
        <v>36</v>
      </c>
      <c r="G15">
        <v>36</v>
      </c>
    </row>
    <row r="16" spans="1:7" x14ac:dyDescent="0.3">
      <c r="A16">
        <v>2004</v>
      </c>
      <c r="B16">
        <v>2.2569324094498602</v>
      </c>
      <c r="C16">
        <v>1.30516626051591</v>
      </c>
      <c r="D16">
        <v>160</v>
      </c>
      <c r="E16">
        <v>71</v>
      </c>
      <c r="F16">
        <v>71</v>
      </c>
      <c r="G16">
        <v>71</v>
      </c>
    </row>
    <row r="17" spans="1:7" x14ac:dyDescent="0.3">
      <c r="A17">
        <v>2005</v>
      </c>
      <c r="B17">
        <v>2.3528851824178099</v>
      </c>
      <c r="C17">
        <v>1.3188326946115301</v>
      </c>
      <c r="D17">
        <v>195</v>
      </c>
      <c r="E17">
        <v>92</v>
      </c>
      <c r="F17">
        <v>92</v>
      </c>
      <c r="G17">
        <v>92</v>
      </c>
    </row>
    <row r="18" spans="1:7" x14ac:dyDescent="0.3">
      <c r="A18">
        <v>2006</v>
      </c>
      <c r="B18">
        <v>2.4360083678162501</v>
      </c>
      <c r="C18">
        <v>1.4671022414681301</v>
      </c>
      <c r="D18">
        <v>263</v>
      </c>
      <c r="E18">
        <v>123</v>
      </c>
      <c r="F18">
        <v>123</v>
      </c>
      <c r="G18">
        <v>123</v>
      </c>
    </row>
    <row r="19" spans="1:7" x14ac:dyDescent="0.3">
      <c r="A19">
        <v>2007</v>
      </c>
      <c r="B19">
        <v>2.2540851027883702</v>
      </c>
      <c r="C19">
        <v>1.4642554683273701</v>
      </c>
      <c r="D19">
        <v>483</v>
      </c>
      <c r="E19">
        <v>214</v>
      </c>
      <c r="F19">
        <v>214</v>
      </c>
      <c r="G19">
        <v>214</v>
      </c>
    </row>
    <row r="20" spans="1:7" x14ac:dyDescent="0.3">
      <c r="A20">
        <v>2008</v>
      </c>
      <c r="B20">
        <v>2.3180859229694102</v>
      </c>
      <c r="C20">
        <v>1.4552189711885299</v>
      </c>
      <c r="D20">
        <v>759</v>
      </c>
      <c r="E20">
        <v>333</v>
      </c>
      <c r="F20">
        <v>333</v>
      </c>
      <c r="G20">
        <v>333</v>
      </c>
    </row>
    <row r="21" spans="1:7" x14ac:dyDescent="0.3">
      <c r="A21">
        <v>2009</v>
      </c>
      <c r="B21">
        <v>2.28423361713162</v>
      </c>
      <c r="C21">
        <v>1.3717478704791499</v>
      </c>
      <c r="D21">
        <v>1079</v>
      </c>
      <c r="E21">
        <v>439</v>
      </c>
      <c r="F21">
        <v>439</v>
      </c>
      <c r="G21">
        <v>439</v>
      </c>
    </row>
    <row r="22" spans="1:7" x14ac:dyDescent="0.3">
      <c r="A22">
        <v>2010</v>
      </c>
      <c r="B22">
        <v>2.3430286147016299</v>
      </c>
      <c r="C22">
        <v>1.4967646008880999</v>
      </c>
      <c r="D22">
        <v>1460</v>
      </c>
      <c r="E22">
        <v>601</v>
      </c>
      <c r="F22">
        <v>601</v>
      </c>
      <c r="G22">
        <v>601</v>
      </c>
    </row>
    <row r="23" spans="1:7" x14ac:dyDescent="0.3">
      <c r="A23">
        <v>2011</v>
      </c>
      <c r="B23">
        <v>2.36041335586529</v>
      </c>
      <c r="C23">
        <v>1.4268251009914801</v>
      </c>
      <c r="D23">
        <v>2041</v>
      </c>
      <c r="E23">
        <v>797</v>
      </c>
      <c r="F23">
        <v>797</v>
      </c>
      <c r="G23">
        <v>797</v>
      </c>
    </row>
    <row r="24" spans="1:7" x14ac:dyDescent="0.3">
      <c r="A24">
        <v>2012</v>
      </c>
      <c r="B24">
        <v>2.3184508366514298</v>
      </c>
      <c r="C24">
        <v>1.4478975938873799</v>
      </c>
      <c r="D24">
        <v>2513</v>
      </c>
      <c r="E24">
        <v>977</v>
      </c>
      <c r="F24">
        <v>977</v>
      </c>
      <c r="G24">
        <v>977</v>
      </c>
    </row>
    <row r="25" spans="1:7" x14ac:dyDescent="0.3">
      <c r="A25">
        <v>2013</v>
      </c>
      <c r="B25">
        <v>2.3633050432764202</v>
      </c>
      <c r="C25">
        <v>1.4304588882432701</v>
      </c>
      <c r="D25">
        <v>3452</v>
      </c>
      <c r="E25">
        <v>1382</v>
      </c>
      <c r="F25">
        <v>1382</v>
      </c>
      <c r="G25">
        <v>1382</v>
      </c>
    </row>
    <row r="26" spans="1:7" x14ac:dyDescent="0.3">
      <c r="A26">
        <v>2014</v>
      </c>
      <c r="B26">
        <v>2.3440335285667899</v>
      </c>
      <c r="C26">
        <v>1.4311158282598699</v>
      </c>
      <c r="D26">
        <v>4240</v>
      </c>
      <c r="E26">
        <v>1767</v>
      </c>
      <c r="F26">
        <v>1767</v>
      </c>
      <c r="G26">
        <v>1767</v>
      </c>
    </row>
    <row r="27" spans="1:7" x14ac:dyDescent="0.3">
      <c r="A27">
        <v>2015</v>
      </c>
      <c r="B27">
        <v>2.2907252422045699</v>
      </c>
      <c r="C27">
        <v>1.4152657037634</v>
      </c>
      <c r="D27">
        <v>4700</v>
      </c>
      <c r="E27">
        <v>1962</v>
      </c>
      <c r="F27">
        <v>1962</v>
      </c>
      <c r="G27">
        <v>1962</v>
      </c>
    </row>
    <row r="28" spans="1:7" x14ac:dyDescent="0.3">
      <c r="A28">
        <v>2016</v>
      </c>
      <c r="B28">
        <v>2.31274331568765</v>
      </c>
      <c r="C28">
        <v>1.4019407555299499</v>
      </c>
      <c r="D28">
        <v>5052</v>
      </c>
      <c r="E28">
        <v>2224</v>
      </c>
      <c r="F28">
        <v>2224</v>
      </c>
      <c r="G28">
        <v>2224</v>
      </c>
    </row>
    <row r="29" spans="1:7" x14ac:dyDescent="0.3">
      <c r="A29">
        <v>2017</v>
      </c>
      <c r="B29">
        <v>2.2924964878229899</v>
      </c>
      <c r="C29">
        <v>1.3882299603308701</v>
      </c>
      <c r="D29">
        <v>5481</v>
      </c>
      <c r="E29">
        <v>2405</v>
      </c>
      <c r="F29">
        <v>2405</v>
      </c>
      <c r="G29">
        <v>2405</v>
      </c>
    </row>
    <row r="30" spans="1:7" x14ac:dyDescent="0.3">
      <c r="A30">
        <v>2018</v>
      </c>
      <c r="B30">
        <v>2.2913744762808901</v>
      </c>
      <c r="C30">
        <v>1.40801515667544</v>
      </c>
      <c r="D30">
        <v>5304</v>
      </c>
      <c r="E30">
        <v>2594</v>
      </c>
      <c r="F30">
        <v>2594</v>
      </c>
      <c r="G30">
        <v>2594</v>
      </c>
    </row>
    <row r="31" spans="1:7" x14ac:dyDescent="0.3">
      <c r="A31">
        <v>2019</v>
      </c>
      <c r="B31">
        <v>2.3050945014439899</v>
      </c>
      <c r="C31">
        <v>1.3822490980337501</v>
      </c>
      <c r="D31">
        <v>5865</v>
      </c>
      <c r="E31">
        <v>2992</v>
      </c>
      <c r="F31">
        <v>2992</v>
      </c>
      <c r="G31">
        <v>2992</v>
      </c>
    </row>
    <row r="32" spans="1:7" x14ac:dyDescent="0.3">
      <c r="A32">
        <v>2020</v>
      </c>
      <c r="B32">
        <v>2.2732438477527999</v>
      </c>
      <c r="C32">
        <v>1.3809020839036501</v>
      </c>
      <c r="D32">
        <v>7035</v>
      </c>
      <c r="E32">
        <v>3647</v>
      </c>
      <c r="F32">
        <v>3647</v>
      </c>
      <c r="G32">
        <v>3647</v>
      </c>
    </row>
    <row r="33" spans="1:7" x14ac:dyDescent="0.3">
      <c r="A33">
        <v>2021</v>
      </c>
      <c r="B33">
        <v>2.27195845992608</v>
      </c>
      <c r="C33">
        <v>1.35408337204922</v>
      </c>
      <c r="D33">
        <v>8116</v>
      </c>
      <c r="E33">
        <v>4324</v>
      </c>
      <c r="F33">
        <v>4324</v>
      </c>
      <c r="G33">
        <v>4324</v>
      </c>
    </row>
    <row r="34" spans="1:7" x14ac:dyDescent="0.3">
      <c r="A34">
        <v>2022</v>
      </c>
      <c r="B34">
        <v>2.2393635443374902</v>
      </c>
      <c r="C34">
        <v>1.3525896898549501</v>
      </c>
      <c r="D34">
        <v>9663</v>
      </c>
      <c r="E34">
        <v>5214</v>
      </c>
      <c r="F34">
        <v>5214</v>
      </c>
      <c r="G34">
        <v>5214</v>
      </c>
    </row>
    <row r="35" spans="1:7" x14ac:dyDescent="0.3">
      <c r="A35">
        <v>2023</v>
      </c>
      <c r="B35">
        <v>2.2504084093241601</v>
      </c>
      <c r="C35">
        <v>1.32780612353428</v>
      </c>
      <c r="D35">
        <v>8016</v>
      </c>
      <c r="E35">
        <v>4346</v>
      </c>
      <c r="F35">
        <v>4346</v>
      </c>
      <c r="G35">
        <v>4346</v>
      </c>
    </row>
    <row r="36" spans="1:7" x14ac:dyDescent="0.3">
      <c r="A36">
        <v>2024</v>
      </c>
      <c r="B36">
        <v>2.2643936296092</v>
      </c>
      <c r="C36">
        <v>1.35062563428837</v>
      </c>
      <c r="D36">
        <v>8616</v>
      </c>
      <c r="E36">
        <v>5006</v>
      </c>
      <c r="F36">
        <v>5006</v>
      </c>
      <c r="G36">
        <v>5006</v>
      </c>
    </row>
    <row r="37" spans="1:7" x14ac:dyDescent="0.3">
      <c r="A37">
        <v>2025</v>
      </c>
      <c r="B37">
        <v>2.2871906846872099</v>
      </c>
      <c r="C37">
        <v>1.3642598705868201</v>
      </c>
      <c r="D37">
        <v>7148</v>
      </c>
      <c r="E37">
        <v>4139</v>
      </c>
      <c r="F37">
        <v>4139</v>
      </c>
      <c r="G37">
        <v>4139</v>
      </c>
    </row>
    <row r="38" spans="1:7" x14ac:dyDescent="0.3">
      <c r="A38" t="s">
        <v>1</v>
      </c>
      <c r="B38">
        <f t="shared" ref="B38:G38" si="0">SUM(B2:B37)</f>
        <v>80.409861477605602</v>
      </c>
      <c r="C38">
        <f t="shared" si="0"/>
        <v>50.287516655547797</v>
      </c>
      <c r="D38">
        <f t="shared" si="0"/>
        <v>92194</v>
      </c>
      <c r="E38">
        <f t="shared" si="0"/>
        <v>45916</v>
      </c>
      <c r="F38">
        <f t="shared" si="0"/>
        <v>45916</v>
      </c>
      <c r="G38">
        <f t="shared" si="0"/>
        <v>45916</v>
      </c>
    </row>
    <row r="39" spans="1:7" x14ac:dyDescent="0.3">
      <c r="A39" t="s">
        <v>2</v>
      </c>
      <c r="B39">
        <f>MAX(B2:B37)</f>
        <v>2.5817853029909901</v>
      </c>
      <c r="C39">
        <f t="shared" ref="C39:G39" si="1">MAX(C2:C37)</f>
        <v>1.78225171117223</v>
      </c>
      <c r="D39">
        <f t="shared" si="1"/>
        <v>9663</v>
      </c>
      <c r="E39">
        <f t="shared" si="1"/>
        <v>5214</v>
      </c>
      <c r="F39">
        <f t="shared" si="1"/>
        <v>5214</v>
      </c>
      <c r="G39">
        <f t="shared" si="1"/>
        <v>5214</v>
      </c>
    </row>
    <row r="40" spans="1:7" x14ac:dyDescent="0.3">
      <c r="A40" t="s">
        <v>3</v>
      </c>
      <c r="B40">
        <f>MIN(B2:B37)</f>
        <v>1.57566624264542</v>
      </c>
      <c r="C40">
        <f t="shared" ref="C40:G40" si="2">MIN(C2:C37)</f>
        <v>1.0159907968680699</v>
      </c>
      <c r="D40">
        <f t="shared" si="2"/>
        <v>11</v>
      </c>
      <c r="E40">
        <f t="shared" si="2"/>
        <v>3</v>
      </c>
      <c r="F40">
        <f t="shared" si="2"/>
        <v>3</v>
      </c>
      <c r="G40">
        <f t="shared" si="2"/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1990</v>
      </c>
      <c r="B2">
        <v>1.3010299956639799</v>
      </c>
      <c r="C2">
        <v>1.3010299956639799</v>
      </c>
      <c r="D2">
        <v>10</v>
      </c>
      <c r="E2">
        <v>1</v>
      </c>
      <c r="F2">
        <v>1</v>
      </c>
      <c r="G2">
        <v>1</v>
      </c>
    </row>
    <row r="3" spans="1:7" x14ac:dyDescent="0.3">
      <c r="A3">
        <v>1991</v>
      </c>
      <c r="B3">
        <v>3.4072829165387799</v>
      </c>
      <c r="C3">
        <v>2.7670099985546499</v>
      </c>
      <c r="D3">
        <v>28</v>
      </c>
      <c r="E3">
        <v>3</v>
      </c>
      <c r="F3">
        <v>3</v>
      </c>
      <c r="G3">
        <v>3</v>
      </c>
    </row>
    <row r="4" spans="1:7" x14ac:dyDescent="0.3">
      <c r="A4">
        <v>1992</v>
      </c>
      <c r="B4">
        <v>1.3010299956639799</v>
      </c>
      <c r="C4">
        <v>1.3010299956639799</v>
      </c>
      <c r="D4">
        <v>30</v>
      </c>
      <c r="E4">
        <v>2</v>
      </c>
      <c r="F4">
        <v>2</v>
      </c>
      <c r="G4">
        <v>2</v>
      </c>
    </row>
    <row r="5" spans="1:7" x14ac:dyDescent="0.3">
      <c r="A5">
        <v>1993</v>
      </c>
      <c r="B5">
        <v>2.5660826612501699</v>
      </c>
      <c r="C5">
        <v>1.92020339940096</v>
      </c>
      <c r="D5">
        <v>43</v>
      </c>
      <c r="E5">
        <v>9</v>
      </c>
      <c r="F5">
        <v>9</v>
      </c>
      <c r="G5">
        <v>9</v>
      </c>
    </row>
    <row r="6" spans="1:7" x14ac:dyDescent="0.3">
      <c r="A6">
        <v>1994</v>
      </c>
      <c r="B6">
        <v>2.5430042850948502</v>
      </c>
      <c r="C6">
        <v>2.0091733617467198</v>
      </c>
      <c r="D6">
        <v>60</v>
      </c>
      <c r="E6">
        <v>14</v>
      </c>
      <c r="F6">
        <v>14</v>
      </c>
      <c r="G6">
        <v>14</v>
      </c>
    </row>
    <row r="7" spans="1:7" x14ac:dyDescent="0.3">
      <c r="A7">
        <v>1995</v>
      </c>
      <c r="B7">
        <v>1.8683275360492899</v>
      </c>
      <c r="C7">
        <v>1.6103040255507499</v>
      </c>
      <c r="D7">
        <v>64</v>
      </c>
      <c r="E7">
        <v>11</v>
      </c>
      <c r="F7">
        <v>11</v>
      </c>
      <c r="G7">
        <v>11</v>
      </c>
    </row>
    <row r="8" spans="1:7" x14ac:dyDescent="0.3">
      <c r="A8">
        <v>1996</v>
      </c>
      <c r="B8">
        <v>2.3159054438353399</v>
      </c>
      <c r="C8">
        <v>1.67553542250707</v>
      </c>
      <c r="D8">
        <v>62</v>
      </c>
      <c r="E8">
        <v>8</v>
      </c>
      <c r="F8">
        <v>8</v>
      </c>
      <c r="G8">
        <v>8</v>
      </c>
    </row>
    <row r="9" spans="1:7" x14ac:dyDescent="0.3">
      <c r="A9">
        <v>1997</v>
      </c>
      <c r="B9">
        <v>2.6428571428571401</v>
      </c>
      <c r="C9">
        <v>1.93828100863641</v>
      </c>
      <c r="D9">
        <v>68</v>
      </c>
      <c r="E9">
        <v>14</v>
      </c>
      <c r="F9">
        <v>14</v>
      </c>
      <c r="G9">
        <v>14</v>
      </c>
    </row>
    <row r="10" spans="1:7" x14ac:dyDescent="0.3">
      <c r="A10">
        <v>1998</v>
      </c>
      <c r="B10">
        <v>2.2182557844459199</v>
      </c>
      <c r="C10">
        <v>1.12204920639751</v>
      </c>
      <c r="D10">
        <v>95</v>
      </c>
      <c r="E10">
        <v>21</v>
      </c>
      <c r="F10">
        <v>21</v>
      </c>
      <c r="G10">
        <v>21</v>
      </c>
    </row>
    <row r="11" spans="1:7" x14ac:dyDescent="0.3">
      <c r="A11">
        <v>1999</v>
      </c>
      <c r="B11">
        <v>2.2167637330286998</v>
      </c>
      <c r="C11">
        <v>1.52180680336291</v>
      </c>
      <c r="D11">
        <v>103</v>
      </c>
      <c r="E11">
        <v>23</v>
      </c>
      <c r="F11">
        <v>23</v>
      </c>
      <c r="G11">
        <v>23</v>
      </c>
    </row>
    <row r="12" spans="1:7" x14ac:dyDescent="0.3">
      <c r="A12">
        <v>2000</v>
      </c>
      <c r="B12">
        <v>2.4172440391091801</v>
      </c>
      <c r="C12">
        <v>1.87432093903057</v>
      </c>
      <c r="D12">
        <v>77</v>
      </c>
      <c r="E12">
        <v>20</v>
      </c>
      <c r="F12">
        <v>20</v>
      </c>
      <c r="G12">
        <v>20</v>
      </c>
    </row>
    <row r="13" spans="1:7" x14ac:dyDescent="0.3">
      <c r="A13">
        <v>2001</v>
      </c>
      <c r="B13">
        <v>2.22297293533292</v>
      </c>
      <c r="C13">
        <v>1.7358600160433999</v>
      </c>
      <c r="D13">
        <v>84</v>
      </c>
      <c r="E13">
        <v>26</v>
      </c>
      <c r="F13">
        <v>26</v>
      </c>
      <c r="G13">
        <v>26</v>
      </c>
    </row>
    <row r="14" spans="1:7" x14ac:dyDescent="0.3">
      <c r="A14">
        <v>2002</v>
      </c>
      <c r="B14">
        <v>2.6219670461731499</v>
      </c>
      <c r="C14">
        <v>2.1413087087933</v>
      </c>
      <c r="D14">
        <v>90</v>
      </c>
      <c r="E14">
        <v>11</v>
      </c>
      <c r="F14">
        <v>11</v>
      </c>
      <c r="G14">
        <v>11</v>
      </c>
    </row>
    <row r="15" spans="1:7" x14ac:dyDescent="0.3">
      <c r="A15">
        <v>2003</v>
      </c>
      <c r="B15">
        <v>2.5659104695647499</v>
      </c>
      <c r="C15">
        <v>1.86280869049564</v>
      </c>
      <c r="D15">
        <v>109</v>
      </c>
      <c r="E15">
        <v>27</v>
      </c>
      <c r="F15">
        <v>27</v>
      </c>
      <c r="G15">
        <v>27</v>
      </c>
    </row>
    <row r="16" spans="1:7" x14ac:dyDescent="0.3">
      <c r="A16">
        <v>2004</v>
      </c>
      <c r="B16">
        <v>2.4165963952054601</v>
      </c>
      <c r="C16">
        <v>1.6678483945662299</v>
      </c>
      <c r="D16">
        <v>206</v>
      </c>
      <c r="E16">
        <v>59</v>
      </c>
      <c r="F16">
        <v>59</v>
      </c>
      <c r="G16">
        <v>59</v>
      </c>
    </row>
    <row r="17" spans="1:7" x14ac:dyDescent="0.3">
      <c r="A17">
        <v>2005</v>
      </c>
      <c r="B17">
        <v>2.4867704187577999</v>
      </c>
      <c r="C17">
        <v>1.9546831401277101</v>
      </c>
      <c r="D17">
        <v>195</v>
      </c>
      <c r="E17">
        <v>57</v>
      </c>
      <c r="F17">
        <v>57</v>
      </c>
      <c r="G17">
        <v>57</v>
      </c>
    </row>
    <row r="18" spans="1:7" x14ac:dyDescent="0.3">
      <c r="A18">
        <v>2006</v>
      </c>
      <c r="B18">
        <v>2.5994456711740601</v>
      </c>
      <c r="C18">
        <v>1.64539242156085</v>
      </c>
      <c r="D18">
        <v>131</v>
      </c>
      <c r="E18">
        <v>57</v>
      </c>
      <c r="F18">
        <v>57</v>
      </c>
      <c r="G18">
        <v>57</v>
      </c>
    </row>
    <row r="19" spans="1:7" x14ac:dyDescent="0.3">
      <c r="A19">
        <v>2007</v>
      </c>
      <c r="B19">
        <v>2.1197074270343301</v>
      </c>
      <c r="C19">
        <v>1.49150479507477</v>
      </c>
      <c r="D19">
        <v>158</v>
      </c>
      <c r="E19">
        <v>55</v>
      </c>
      <c r="F19">
        <v>55</v>
      </c>
      <c r="G19">
        <v>55</v>
      </c>
    </row>
    <row r="20" spans="1:7" x14ac:dyDescent="0.3">
      <c r="A20">
        <v>2008</v>
      </c>
      <c r="B20">
        <v>2.4697023161057099</v>
      </c>
      <c r="C20">
        <v>1.8318985048254</v>
      </c>
      <c r="D20">
        <v>182</v>
      </c>
      <c r="E20">
        <v>73</v>
      </c>
      <c r="F20">
        <v>73</v>
      </c>
      <c r="G20">
        <v>73</v>
      </c>
    </row>
    <row r="21" spans="1:7" x14ac:dyDescent="0.3">
      <c r="A21">
        <v>2009</v>
      </c>
      <c r="B21">
        <v>2.6643352400658098</v>
      </c>
      <c r="C21">
        <v>1.76419799507604</v>
      </c>
      <c r="D21">
        <v>220</v>
      </c>
      <c r="E21">
        <v>95</v>
      </c>
      <c r="F21">
        <v>95</v>
      </c>
      <c r="G21">
        <v>95</v>
      </c>
    </row>
    <row r="22" spans="1:7" x14ac:dyDescent="0.3">
      <c r="A22">
        <v>2010</v>
      </c>
      <c r="B22">
        <v>2.5374016261858299</v>
      </c>
      <c r="C22">
        <v>1.75954065215902</v>
      </c>
      <c r="D22">
        <v>362</v>
      </c>
      <c r="E22">
        <v>124</v>
      </c>
      <c r="F22">
        <v>124</v>
      </c>
      <c r="G22">
        <v>124</v>
      </c>
    </row>
    <row r="23" spans="1:7" x14ac:dyDescent="0.3">
      <c r="A23">
        <v>2011</v>
      </c>
      <c r="B23">
        <v>2.6641126330328899</v>
      </c>
      <c r="C23">
        <v>1.7831979177178301</v>
      </c>
      <c r="D23">
        <v>507</v>
      </c>
      <c r="E23">
        <v>188</v>
      </c>
      <c r="F23">
        <v>188</v>
      </c>
      <c r="G23">
        <v>188</v>
      </c>
    </row>
    <row r="24" spans="1:7" x14ac:dyDescent="0.3">
      <c r="A24">
        <v>2012</v>
      </c>
      <c r="B24">
        <v>2.5634572921260599</v>
      </c>
      <c r="C24">
        <v>1.6285952791653</v>
      </c>
      <c r="D24">
        <v>865</v>
      </c>
      <c r="E24">
        <v>323</v>
      </c>
      <c r="F24">
        <v>323</v>
      </c>
      <c r="G24">
        <v>323</v>
      </c>
    </row>
    <row r="25" spans="1:7" x14ac:dyDescent="0.3">
      <c r="A25">
        <v>2013</v>
      </c>
      <c r="B25">
        <v>2.4745865499761601</v>
      </c>
      <c r="C25">
        <v>1.6474953170584801</v>
      </c>
      <c r="D25">
        <v>1300</v>
      </c>
      <c r="E25">
        <v>459</v>
      </c>
      <c r="F25">
        <v>459</v>
      </c>
      <c r="G25">
        <v>459</v>
      </c>
    </row>
    <row r="26" spans="1:7" x14ac:dyDescent="0.3">
      <c r="A26">
        <v>2014</v>
      </c>
      <c r="B26">
        <v>2.50044908801702</v>
      </c>
      <c r="C26">
        <v>1.6322028450524999</v>
      </c>
      <c r="D26">
        <v>1455</v>
      </c>
      <c r="E26">
        <v>542</v>
      </c>
      <c r="F26">
        <v>542</v>
      </c>
      <c r="G26">
        <v>542</v>
      </c>
    </row>
    <row r="27" spans="1:7" x14ac:dyDescent="0.3">
      <c r="A27">
        <v>2015</v>
      </c>
      <c r="B27">
        <v>2.5384447237282299</v>
      </c>
      <c r="C27">
        <v>1.72661188573493</v>
      </c>
      <c r="D27">
        <v>1457</v>
      </c>
      <c r="E27">
        <v>570</v>
      </c>
      <c r="F27">
        <v>570</v>
      </c>
      <c r="G27">
        <v>570</v>
      </c>
    </row>
    <row r="28" spans="1:7" x14ac:dyDescent="0.3">
      <c r="A28">
        <v>2016</v>
      </c>
      <c r="B28">
        <v>2.7362842217735799</v>
      </c>
      <c r="C28">
        <v>1.6832958078373901</v>
      </c>
      <c r="D28">
        <v>1479</v>
      </c>
      <c r="E28">
        <v>617</v>
      </c>
      <c r="F28">
        <v>617</v>
      </c>
      <c r="G28">
        <v>617</v>
      </c>
    </row>
    <row r="29" spans="1:7" x14ac:dyDescent="0.3">
      <c r="A29">
        <v>2017</v>
      </c>
      <c r="B29">
        <v>2.4498707842549998</v>
      </c>
      <c r="C29">
        <v>1.5760197022474101</v>
      </c>
      <c r="D29">
        <v>1332</v>
      </c>
      <c r="E29">
        <v>552</v>
      </c>
      <c r="F29">
        <v>552</v>
      </c>
      <c r="G29">
        <v>552</v>
      </c>
    </row>
    <row r="30" spans="1:7" x14ac:dyDescent="0.3">
      <c r="A30">
        <v>2018</v>
      </c>
      <c r="B30">
        <v>2.5020951882348701</v>
      </c>
      <c r="C30">
        <v>1.59025837407674</v>
      </c>
      <c r="D30">
        <v>1821</v>
      </c>
      <c r="E30">
        <v>691</v>
      </c>
      <c r="F30">
        <v>691</v>
      </c>
      <c r="G30">
        <v>691</v>
      </c>
    </row>
    <row r="31" spans="1:7" x14ac:dyDescent="0.3">
      <c r="A31">
        <v>2019</v>
      </c>
      <c r="B31">
        <v>2.49670266299744</v>
      </c>
      <c r="C31">
        <v>1.6222803881886301</v>
      </c>
      <c r="D31">
        <v>2133</v>
      </c>
      <c r="E31">
        <v>820</v>
      </c>
      <c r="F31">
        <v>820</v>
      </c>
      <c r="G31">
        <v>820</v>
      </c>
    </row>
    <row r="32" spans="1:7" x14ac:dyDescent="0.3">
      <c r="A32">
        <v>2020</v>
      </c>
      <c r="B32">
        <v>2.5000243463970402</v>
      </c>
      <c r="C32">
        <v>1.6059645715775801</v>
      </c>
      <c r="D32">
        <v>1919</v>
      </c>
      <c r="E32">
        <v>750</v>
      </c>
      <c r="F32">
        <v>750</v>
      </c>
      <c r="G32">
        <v>750</v>
      </c>
    </row>
    <row r="33" spans="1:7" x14ac:dyDescent="0.3">
      <c r="A33">
        <v>2021</v>
      </c>
      <c r="B33">
        <v>2.5273568437077398</v>
      </c>
      <c r="C33">
        <v>1.58439694625788</v>
      </c>
      <c r="D33">
        <v>2298</v>
      </c>
      <c r="E33">
        <v>885</v>
      </c>
      <c r="F33">
        <v>885</v>
      </c>
      <c r="G33">
        <v>885</v>
      </c>
    </row>
    <row r="34" spans="1:7" x14ac:dyDescent="0.3">
      <c r="A34">
        <v>2022</v>
      </c>
      <c r="B34">
        <v>2.4745696829246202</v>
      </c>
      <c r="C34">
        <v>1.5970566697658399</v>
      </c>
      <c r="D34">
        <v>1415</v>
      </c>
      <c r="E34">
        <v>585</v>
      </c>
      <c r="F34">
        <v>585</v>
      </c>
      <c r="G34">
        <v>585</v>
      </c>
    </row>
    <row r="35" spans="1:7" x14ac:dyDescent="0.3">
      <c r="A35">
        <v>2023</v>
      </c>
      <c r="B35">
        <v>2.44718136451056</v>
      </c>
      <c r="C35">
        <v>1.55001718377951</v>
      </c>
      <c r="D35">
        <v>1059</v>
      </c>
      <c r="E35">
        <v>467</v>
      </c>
      <c r="F35">
        <v>467</v>
      </c>
      <c r="G35">
        <v>467</v>
      </c>
    </row>
    <row r="36" spans="1:7" x14ac:dyDescent="0.3">
      <c r="A36">
        <v>2024</v>
      </c>
      <c r="B36">
        <v>2.4171168176800601</v>
      </c>
      <c r="C36">
        <v>1.50282598052048</v>
      </c>
      <c r="D36">
        <v>893</v>
      </c>
      <c r="E36">
        <v>412</v>
      </c>
      <c r="F36">
        <v>412</v>
      </c>
      <c r="G36">
        <v>412</v>
      </c>
    </row>
    <row r="37" spans="1:7" x14ac:dyDescent="0.3">
      <c r="A37">
        <v>2025</v>
      </c>
      <c r="B37">
        <v>2.4402457653623402</v>
      </c>
      <c r="C37">
        <v>1.6328898166913099</v>
      </c>
      <c r="D37">
        <v>639</v>
      </c>
      <c r="E37">
        <v>328</v>
      </c>
      <c r="F37">
        <v>328</v>
      </c>
      <c r="G37">
        <v>328</v>
      </c>
    </row>
    <row r="38" spans="1:7" x14ac:dyDescent="0.3">
      <c r="A38" t="s">
        <v>1</v>
      </c>
      <c r="B38">
        <f t="shared" ref="B38:G38" si="0">SUM(B2:B37)</f>
        <v>87.235091043860749</v>
      </c>
      <c r="C38">
        <f t="shared" si="0"/>
        <v>61.258896160909671</v>
      </c>
      <c r="D38">
        <f t="shared" si="0"/>
        <v>22949</v>
      </c>
      <c r="E38">
        <f t="shared" si="0"/>
        <v>8899</v>
      </c>
      <c r="F38">
        <f t="shared" si="0"/>
        <v>8899</v>
      </c>
      <c r="G38">
        <f t="shared" si="0"/>
        <v>8899</v>
      </c>
    </row>
    <row r="39" spans="1:7" x14ac:dyDescent="0.3">
      <c r="A39" t="s">
        <v>2</v>
      </c>
      <c r="B39">
        <f>MAX(B2:B37)</f>
        <v>3.4072829165387799</v>
      </c>
      <c r="C39">
        <f t="shared" ref="C39:G39" si="1">MAX(C2:C37)</f>
        <v>2.7670099985546499</v>
      </c>
      <c r="D39">
        <f t="shared" si="1"/>
        <v>2298</v>
      </c>
      <c r="E39">
        <f t="shared" si="1"/>
        <v>885</v>
      </c>
      <c r="F39">
        <f t="shared" si="1"/>
        <v>885</v>
      </c>
      <c r="G39">
        <f t="shared" si="1"/>
        <v>885</v>
      </c>
    </row>
    <row r="40" spans="1:7" x14ac:dyDescent="0.3">
      <c r="A40" t="s">
        <v>3</v>
      </c>
      <c r="B40">
        <f>MIN(B2:B37)</f>
        <v>1.3010299956639799</v>
      </c>
      <c r="C40">
        <f t="shared" ref="C40:G40" si="2">MIN(C2:C37)</f>
        <v>1.12204920639751</v>
      </c>
      <c r="D40">
        <f t="shared" si="2"/>
        <v>10</v>
      </c>
      <c r="E40">
        <f t="shared" si="2"/>
        <v>1</v>
      </c>
      <c r="F40">
        <f t="shared" si="2"/>
        <v>1</v>
      </c>
      <c r="G40">
        <f t="shared" si="2"/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E15" sqref="E15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1990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</row>
    <row r="3" spans="1:7" x14ac:dyDescent="0.3">
      <c r="A3">
        <v>1991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 spans="1:7" x14ac:dyDescent="0.3">
      <c r="A4">
        <v>1992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</row>
    <row r="6" spans="1:7" x14ac:dyDescent="0.3">
      <c r="A6">
        <v>1994</v>
      </c>
      <c r="B6">
        <v>2.9999999999999898</v>
      </c>
      <c r="C6">
        <v>2.9999999999999898</v>
      </c>
      <c r="D6">
        <v>5</v>
      </c>
      <c r="E6">
        <v>1</v>
      </c>
      <c r="F6">
        <v>1</v>
      </c>
      <c r="G6">
        <v>1</v>
      </c>
    </row>
    <row r="7" spans="1:7" x14ac:dyDescent="0.3">
      <c r="A7">
        <v>1995</v>
      </c>
      <c r="B7">
        <v>3.6989700043360099</v>
      </c>
      <c r="C7">
        <v>1.3565473235138099</v>
      </c>
      <c r="D7">
        <v>4</v>
      </c>
      <c r="E7">
        <v>1</v>
      </c>
      <c r="F7">
        <v>1</v>
      </c>
      <c r="G7">
        <v>1</v>
      </c>
    </row>
    <row r="8" spans="1:7" x14ac:dyDescent="0.3">
      <c r="A8">
        <v>1996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</row>
    <row r="9" spans="1:7" x14ac:dyDescent="0.3">
      <c r="A9">
        <v>1997</v>
      </c>
      <c r="B9">
        <v>0</v>
      </c>
      <c r="C9">
        <v>0</v>
      </c>
      <c r="D9">
        <v>3</v>
      </c>
      <c r="E9">
        <v>0</v>
      </c>
      <c r="F9">
        <v>0</v>
      </c>
      <c r="G9">
        <v>0</v>
      </c>
    </row>
    <row r="10" spans="1:7" x14ac:dyDescent="0.3">
      <c r="A10">
        <v>1998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 x14ac:dyDescent="0.3">
      <c r="A11">
        <v>1999</v>
      </c>
      <c r="B11">
        <v>0</v>
      </c>
      <c r="C11">
        <v>0</v>
      </c>
      <c r="D11">
        <v>10</v>
      </c>
      <c r="E11">
        <v>0</v>
      </c>
      <c r="F11">
        <v>0</v>
      </c>
      <c r="G11">
        <v>0</v>
      </c>
    </row>
    <row r="12" spans="1:7" x14ac:dyDescent="0.3">
      <c r="A12">
        <v>2000</v>
      </c>
      <c r="B12">
        <v>3.25</v>
      </c>
      <c r="C12">
        <v>2.0249082178358799</v>
      </c>
      <c r="D12">
        <v>11</v>
      </c>
      <c r="E12">
        <v>4</v>
      </c>
      <c r="F12">
        <v>4</v>
      </c>
      <c r="G12">
        <v>4</v>
      </c>
    </row>
    <row r="13" spans="1:7" x14ac:dyDescent="0.3">
      <c r="A13">
        <v>2001</v>
      </c>
      <c r="B13">
        <v>1.8794240546608001</v>
      </c>
      <c r="C13">
        <v>1.5783940589968199</v>
      </c>
      <c r="D13">
        <v>18</v>
      </c>
      <c r="E13">
        <v>3</v>
      </c>
      <c r="F13">
        <v>3</v>
      </c>
      <c r="G13">
        <v>3</v>
      </c>
    </row>
    <row r="14" spans="1:7" x14ac:dyDescent="0.3">
      <c r="A14">
        <v>2002</v>
      </c>
      <c r="B14">
        <v>3.82525749891599</v>
      </c>
      <c r="C14">
        <v>3.6505149978319902</v>
      </c>
      <c r="D14">
        <v>13</v>
      </c>
      <c r="E14">
        <v>4</v>
      </c>
      <c r="F14">
        <v>4</v>
      </c>
      <c r="G14">
        <v>4</v>
      </c>
    </row>
    <row r="15" spans="1:7" x14ac:dyDescent="0.3">
      <c r="A15">
        <v>2003</v>
      </c>
      <c r="B15">
        <v>2.9247425010839998</v>
      </c>
      <c r="C15">
        <v>1.70743457115126</v>
      </c>
      <c r="D15">
        <v>17</v>
      </c>
      <c r="E15">
        <v>4</v>
      </c>
      <c r="F15">
        <v>4</v>
      </c>
      <c r="G15">
        <v>4</v>
      </c>
    </row>
    <row r="16" spans="1:7" x14ac:dyDescent="0.3">
      <c r="A16">
        <v>2004</v>
      </c>
      <c r="B16">
        <v>1.78216461295712</v>
      </c>
      <c r="C16">
        <v>1.5277835599276901</v>
      </c>
      <c r="D16">
        <v>32</v>
      </c>
      <c r="E16">
        <v>7</v>
      </c>
      <c r="F16">
        <v>7</v>
      </c>
      <c r="G16">
        <v>7</v>
      </c>
    </row>
    <row r="17" spans="1:7" x14ac:dyDescent="0.3">
      <c r="A17">
        <v>2005</v>
      </c>
      <c r="B17">
        <v>2.1300836693740899</v>
      </c>
      <c r="C17">
        <v>1.19684656492996</v>
      </c>
      <c r="D17">
        <v>48</v>
      </c>
      <c r="E17">
        <v>11</v>
      </c>
      <c r="F17">
        <v>11</v>
      </c>
      <c r="G17">
        <v>11</v>
      </c>
    </row>
    <row r="18" spans="1:7" x14ac:dyDescent="0.3">
      <c r="A18">
        <v>2006</v>
      </c>
      <c r="B18">
        <v>2.59094908043163</v>
      </c>
      <c r="C18">
        <v>1.33068531281083</v>
      </c>
      <c r="D18">
        <v>64</v>
      </c>
      <c r="E18">
        <v>18</v>
      </c>
      <c r="F18">
        <v>18</v>
      </c>
      <c r="G18">
        <v>18</v>
      </c>
    </row>
    <row r="19" spans="1:7" x14ac:dyDescent="0.3">
      <c r="A19">
        <v>2007</v>
      </c>
      <c r="B19">
        <v>2.8833207853780798</v>
      </c>
      <c r="C19">
        <v>1.3512277052102799</v>
      </c>
      <c r="D19">
        <v>94</v>
      </c>
      <c r="E19">
        <v>20</v>
      </c>
      <c r="F19">
        <v>20</v>
      </c>
      <c r="G19">
        <v>20</v>
      </c>
    </row>
    <row r="20" spans="1:7" x14ac:dyDescent="0.3">
      <c r="A20">
        <v>2008</v>
      </c>
      <c r="B20">
        <v>2.2132938081303899</v>
      </c>
      <c r="C20">
        <v>1.425202436435</v>
      </c>
      <c r="D20">
        <v>146</v>
      </c>
      <c r="E20">
        <v>42</v>
      </c>
      <c r="F20">
        <v>42</v>
      </c>
      <c r="G20">
        <v>42</v>
      </c>
    </row>
    <row r="21" spans="1:7" x14ac:dyDescent="0.3">
      <c r="A21">
        <v>2009</v>
      </c>
      <c r="B21">
        <v>2.5366160226329399</v>
      </c>
      <c r="C21">
        <v>1.47996065133178</v>
      </c>
      <c r="D21">
        <v>211</v>
      </c>
      <c r="E21">
        <v>73</v>
      </c>
      <c r="F21">
        <v>73</v>
      </c>
      <c r="G21">
        <v>73</v>
      </c>
    </row>
    <row r="22" spans="1:7" x14ac:dyDescent="0.3">
      <c r="A22">
        <v>2010</v>
      </c>
      <c r="B22">
        <v>3.22148858546135</v>
      </c>
      <c r="C22">
        <v>1.80634523902901</v>
      </c>
      <c r="D22">
        <v>322</v>
      </c>
      <c r="E22">
        <v>97</v>
      </c>
      <c r="F22">
        <v>97</v>
      </c>
      <c r="G22">
        <v>97</v>
      </c>
    </row>
    <row r="23" spans="1:7" x14ac:dyDescent="0.3">
      <c r="A23">
        <v>2011</v>
      </c>
      <c r="B23">
        <v>2.65598917063391</v>
      </c>
      <c r="C23">
        <v>1.68420925977999</v>
      </c>
      <c r="D23">
        <v>519</v>
      </c>
      <c r="E23">
        <v>181</v>
      </c>
      <c r="F23">
        <v>181</v>
      </c>
      <c r="G23">
        <v>181</v>
      </c>
    </row>
    <row r="24" spans="1:7" x14ac:dyDescent="0.3">
      <c r="A24">
        <v>2012</v>
      </c>
      <c r="B24">
        <v>2.9741741115082898</v>
      </c>
      <c r="C24">
        <v>1.74854455102102</v>
      </c>
      <c r="D24">
        <v>830</v>
      </c>
      <c r="E24">
        <v>276</v>
      </c>
      <c r="F24">
        <v>276</v>
      </c>
      <c r="G24">
        <v>276</v>
      </c>
    </row>
    <row r="25" spans="1:7" x14ac:dyDescent="0.3">
      <c r="A25">
        <v>2013</v>
      </c>
      <c r="B25">
        <v>2.7188467561822098</v>
      </c>
      <c r="C25">
        <v>1.4902623743189001</v>
      </c>
      <c r="D25">
        <v>1400</v>
      </c>
      <c r="E25">
        <v>514</v>
      </c>
      <c r="F25">
        <v>514</v>
      </c>
      <c r="G25">
        <v>514</v>
      </c>
    </row>
    <row r="26" spans="1:7" x14ac:dyDescent="0.3">
      <c r="A26">
        <v>2014</v>
      </c>
      <c r="B26">
        <v>2.83854319177762</v>
      </c>
      <c r="C26">
        <v>1.48625002937782</v>
      </c>
      <c r="D26">
        <v>1847</v>
      </c>
      <c r="E26">
        <v>730</v>
      </c>
      <c r="F26">
        <v>730</v>
      </c>
      <c r="G26">
        <v>730</v>
      </c>
    </row>
    <row r="27" spans="1:7" x14ac:dyDescent="0.3">
      <c r="A27">
        <v>2015</v>
      </c>
      <c r="B27">
        <v>2.8412969578759699</v>
      </c>
      <c r="C27">
        <v>1.43149963033039</v>
      </c>
      <c r="D27">
        <v>2392</v>
      </c>
      <c r="E27">
        <v>941</v>
      </c>
      <c r="F27">
        <v>941</v>
      </c>
      <c r="G27">
        <v>941</v>
      </c>
    </row>
    <row r="28" spans="1:7" x14ac:dyDescent="0.3">
      <c r="A28">
        <v>2016</v>
      </c>
      <c r="B28">
        <v>2.9410803750046099</v>
      </c>
      <c r="C28">
        <v>1.3666214177664799</v>
      </c>
      <c r="D28">
        <v>2855</v>
      </c>
      <c r="E28">
        <v>1134</v>
      </c>
      <c r="F28">
        <v>1134</v>
      </c>
      <c r="G28">
        <v>1134</v>
      </c>
    </row>
    <row r="29" spans="1:7" x14ac:dyDescent="0.3">
      <c r="A29">
        <v>2017</v>
      </c>
      <c r="B29">
        <v>2.90756757510876</v>
      </c>
      <c r="C29">
        <v>1.4326673204954501</v>
      </c>
      <c r="D29">
        <v>2979</v>
      </c>
      <c r="E29">
        <v>1264</v>
      </c>
      <c r="F29">
        <v>1264</v>
      </c>
      <c r="G29">
        <v>1264</v>
      </c>
    </row>
    <row r="30" spans="1:7" x14ac:dyDescent="0.3">
      <c r="A30">
        <v>2018</v>
      </c>
      <c r="B30">
        <v>2.6794243906088901</v>
      </c>
      <c r="C30">
        <v>1.3530894427418201</v>
      </c>
      <c r="D30">
        <v>2927</v>
      </c>
      <c r="E30">
        <v>1266</v>
      </c>
      <c r="F30">
        <v>1266</v>
      </c>
      <c r="G30">
        <v>1266</v>
      </c>
    </row>
    <row r="31" spans="1:7" x14ac:dyDescent="0.3">
      <c r="A31">
        <v>2019</v>
      </c>
      <c r="B31">
        <v>2.7599489284003602</v>
      </c>
      <c r="C31">
        <v>1.39484538288674</v>
      </c>
      <c r="D31">
        <v>3709</v>
      </c>
      <c r="E31">
        <v>1511</v>
      </c>
      <c r="F31">
        <v>1511</v>
      </c>
      <c r="G31">
        <v>1511</v>
      </c>
    </row>
    <row r="32" spans="1:7" x14ac:dyDescent="0.3">
      <c r="A32">
        <v>2020</v>
      </c>
      <c r="B32">
        <v>2.8008768692438299</v>
      </c>
      <c r="C32">
        <v>1.4777042264841</v>
      </c>
      <c r="D32">
        <v>4681</v>
      </c>
      <c r="E32">
        <v>1884</v>
      </c>
      <c r="F32">
        <v>1884</v>
      </c>
      <c r="G32">
        <v>1884</v>
      </c>
    </row>
    <row r="33" spans="1:7" x14ac:dyDescent="0.3">
      <c r="A33">
        <v>2021</v>
      </c>
      <c r="B33">
        <v>2.7554720665506198</v>
      </c>
      <c r="C33">
        <v>1.42044934347447</v>
      </c>
      <c r="D33">
        <v>5694</v>
      </c>
      <c r="E33">
        <v>2184</v>
      </c>
      <c r="F33">
        <v>2184</v>
      </c>
      <c r="G33">
        <v>2184</v>
      </c>
    </row>
    <row r="34" spans="1:7" x14ac:dyDescent="0.3">
      <c r="A34">
        <v>2022</v>
      </c>
      <c r="B34">
        <v>2.8234422260583001</v>
      </c>
      <c r="C34">
        <v>1.4827408781829501</v>
      </c>
      <c r="D34">
        <v>6683</v>
      </c>
      <c r="E34">
        <v>2740</v>
      </c>
      <c r="F34">
        <v>2740</v>
      </c>
      <c r="G34">
        <v>2740</v>
      </c>
    </row>
    <row r="35" spans="1:7" x14ac:dyDescent="0.3">
      <c r="A35">
        <v>2023</v>
      </c>
      <c r="B35">
        <v>2.9016075675628401</v>
      </c>
      <c r="C35">
        <v>1.46456980558843</v>
      </c>
      <c r="D35">
        <v>6562</v>
      </c>
      <c r="E35">
        <v>2812</v>
      </c>
      <c r="F35">
        <v>2812</v>
      </c>
      <c r="G35">
        <v>2812</v>
      </c>
    </row>
    <row r="36" spans="1:7" x14ac:dyDescent="0.3">
      <c r="A36">
        <v>2024</v>
      </c>
      <c r="B36">
        <v>2.8961826132988202</v>
      </c>
      <c r="C36">
        <v>1.49574942424442</v>
      </c>
      <c r="D36">
        <v>6794</v>
      </c>
      <c r="E36">
        <v>2962</v>
      </c>
      <c r="F36">
        <v>2962</v>
      </c>
      <c r="G36">
        <v>2962</v>
      </c>
    </row>
    <row r="37" spans="1:7" x14ac:dyDescent="0.3">
      <c r="A37">
        <v>2025</v>
      </c>
      <c r="B37">
        <v>2.79082069698556</v>
      </c>
      <c r="C37">
        <v>1.43774691572862</v>
      </c>
      <c r="D37">
        <v>5163</v>
      </c>
      <c r="E37">
        <v>2231</v>
      </c>
      <c r="F37">
        <v>2231</v>
      </c>
      <c r="G37">
        <v>2231</v>
      </c>
    </row>
    <row r="38" spans="1:7" x14ac:dyDescent="0.3">
      <c r="A38" t="s">
        <v>1</v>
      </c>
      <c r="B38">
        <f t="shared" ref="B38:G38" si="0">SUM(B2:B37)</f>
        <v>78.221584120162987</v>
      </c>
      <c r="C38">
        <f t="shared" si="0"/>
        <v>45.602800641425908</v>
      </c>
      <c r="D38">
        <f t="shared" si="0"/>
        <v>56044</v>
      </c>
      <c r="E38">
        <f t="shared" si="0"/>
        <v>22915</v>
      </c>
      <c r="F38">
        <f t="shared" si="0"/>
        <v>22915</v>
      </c>
      <c r="G38">
        <f t="shared" si="0"/>
        <v>22915</v>
      </c>
    </row>
    <row r="39" spans="1:7" x14ac:dyDescent="0.3">
      <c r="A39" t="s">
        <v>2</v>
      </c>
      <c r="B39">
        <f>MAX(B2:B37)</f>
        <v>3.82525749891599</v>
      </c>
      <c r="C39">
        <f t="shared" ref="C39:G39" si="1">MAX(C2:C37)</f>
        <v>3.6505149978319902</v>
      </c>
      <c r="D39">
        <f t="shared" si="1"/>
        <v>6794</v>
      </c>
      <c r="E39">
        <f t="shared" si="1"/>
        <v>2962</v>
      </c>
      <c r="F39">
        <f t="shared" si="1"/>
        <v>2962</v>
      </c>
      <c r="G39">
        <f t="shared" si="1"/>
        <v>2962</v>
      </c>
    </row>
    <row r="40" spans="1:7" x14ac:dyDescent="0.3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1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E2" sqref="E2:E1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1990</v>
      </c>
      <c r="B2">
        <v>1.3010299956639799</v>
      </c>
      <c r="C2">
        <v>1.3010299956639799</v>
      </c>
      <c r="D2">
        <v>164</v>
      </c>
      <c r="E2">
        <v>1</v>
      </c>
      <c r="F2">
        <v>1</v>
      </c>
      <c r="G2">
        <v>1</v>
      </c>
    </row>
    <row r="3" spans="1:7" x14ac:dyDescent="0.3">
      <c r="A3">
        <v>1991</v>
      </c>
      <c r="B3">
        <v>2.9999999999999898</v>
      </c>
      <c r="C3">
        <v>2.9586073148417702</v>
      </c>
      <c r="D3">
        <v>162</v>
      </c>
      <c r="E3">
        <v>1</v>
      </c>
      <c r="F3">
        <v>1</v>
      </c>
      <c r="G3">
        <v>1</v>
      </c>
    </row>
    <row r="4" spans="1:7" x14ac:dyDescent="0.3">
      <c r="A4">
        <v>1992</v>
      </c>
      <c r="B4">
        <v>0</v>
      </c>
      <c r="C4">
        <v>0</v>
      </c>
      <c r="D4">
        <v>102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2.6505149978319902</v>
      </c>
      <c r="C5">
        <v>2.6505149978319902</v>
      </c>
      <c r="D5">
        <v>194</v>
      </c>
      <c r="E5">
        <v>2</v>
      </c>
      <c r="F5">
        <v>2</v>
      </c>
      <c r="G5">
        <v>2</v>
      </c>
    </row>
    <row r="6" spans="1:7" x14ac:dyDescent="0.3">
      <c r="A6">
        <v>1994</v>
      </c>
      <c r="B6">
        <v>3.6989700043360099</v>
      </c>
      <c r="C6">
        <v>3.6989700043360099</v>
      </c>
      <c r="D6">
        <v>244</v>
      </c>
      <c r="E6">
        <v>1</v>
      </c>
      <c r="F6">
        <v>1</v>
      </c>
      <c r="G6">
        <v>1</v>
      </c>
    </row>
    <row r="7" spans="1:7" x14ac:dyDescent="0.3">
      <c r="A7">
        <v>1995</v>
      </c>
      <c r="B7">
        <v>2.2218487496163499</v>
      </c>
      <c r="C7">
        <v>2.2218487496163499</v>
      </c>
      <c r="D7">
        <v>206</v>
      </c>
      <c r="E7">
        <v>1</v>
      </c>
      <c r="F7">
        <v>1</v>
      </c>
      <c r="G7">
        <v>1</v>
      </c>
    </row>
    <row r="8" spans="1:7" x14ac:dyDescent="0.3">
      <c r="A8">
        <v>1996</v>
      </c>
      <c r="B8">
        <v>0</v>
      </c>
      <c r="C8">
        <v>0</v>
      </c>
      <c r="D8">
        <v>197</v>
      </c>
      <c r="E8">
        <v>0</v>
      </c>
      <c r="F8">
        <v>0</v>
      </c>
      <c r="G8">
        <v>0</v>
      </c>
    </row>
    <row r="9" spans="1:7" x14ac:dyDescent="0.3">
      <c r="A9">
        <v>1997</v>
      </c>
      <c r="B9">
        <v>2.1978477738928501</v>
      </c>
      <c r="C9">
        <v>1.4223123549303001</v>
      </c>
      <c r="D9">
        <v>287</v>
      </c>
      <c r="E9">
        <v>6</v>
      </c>
      <c r="F9">
        <v>6</v>
      </c>
      <c r="G9">
        <v>6</v>
      </c>
    </row>
    <row r="10" spans="1:7" x14ac:dyDescent="0.3">
      <c r="A10">
        <v>1998</v>
      </c>
      <c r="B10">
        <v>3.3979400086720299</v>
      </c>
      <c r="C10">
        <v>2.8239087409443102</v>
      </c>
      <c r="D10">
        <v>321</v>
      </c>
      <c r="E10">
        <v>1</v>
      </c>
      <c r="F10">
        <v>1</v>
      </c>
      <c r="G10">
        <v>1</v>
      </c>
    </row>
    <row r="11" spans="1:7" x14ac:dyDescent="0.3">
      <c r="A11">
        <v>1999</v>
      </c>
      <c r="B11">
        <v>4.5</v>
      </c>
      <c r="C11">
        <v>1.17339374311232</v>
      </c>
      <c r="D11">
        <v>246</v>
      </c>
      <c r="E11">
        <v>2</v>
      </c>
      <c r="F11">
        <v>2</v>
      </c>
      <c r="G11">
        <v>2</v>
      </c>
    </row>
    <row r="12" spans="1:7" x14ac:dyDescent="0.3">
      <c r="A12">
        <v>2000</v>
      </c>
      <c r="B12">
        <v>2.1505149978319902</v>
      </c>
      <c r="C12">
        <v>2.1505149978319902</v>
      </c>
      <c r="D12">
        <v>432</v>
      </c>
      <c r="E12">
        <v>2</v>
      </c>
      <c r="F12">
        <v>2</v>
      </c>
      <c r="G12">
        <v>2</v>
      </c>
    </row>
    <row r="13" spans="1:7" x14ac:dyDescent="0.3">
      <c r="A13">
        <v>2001</v>
      </c>
      <c r="B13">
        <v>3.17429291509344</v>
      </c>
      <c r="C13">
        <v>2.07394958320545</v>
      </c>
      <c r="D13">
        <v>531</v>
      </c>
      <c r="E13">
        <v>3</v>
      </c>
      <c r="F13">
        <v>3</v>
      </c>
      <c r="G13">
        <v>3</v>
      </c>
    </row>
    <row r="14" spans="1:7" x14ac:dyDescent="0.3">
      <c r="A14">
        <v>2002</v>
      </c>
      <c r="B14">
        <v>0</v>
      </c>
      <c r="C14">
        <v>0</v>
      </c>
      <c r="D14">
        <v>578</v>
      </c>
      <c r="E14">
        <v>0</v>
      </c>
      <c r="F14">
        <v>0</v>
      </c>
      <c r="G14">
        <v>0</v>
      </c>
    </row>
    <row r="15" spans="1:7" x14ac:dyDescent="0.3">
      <c r="A15">
        <v>2003</v>
      </c>
      <c r="B15">
        <v>1.55534914874684</v>
      </c>
      <c r="C15">
        <v>1.32878865958889</v>
      </c>
      <c r="D15">
        <v>610</v>
      </c>
      <c r="E15">
        <v>2</v>
      </c>
      <c r="F15">
        <v>2</v>
      </c>
      <c r="G15">
        <v>2</v>
      </c>
    </row>
    <row r="16" spans="1:7" x14ac:dyDescent="0.3">
      <c r="A16">
        <v>2004</v>
      </c>
      <c r="B16">
        <v>2.3121924265584601</v>
      </c>
      <c r="C16">
        <v>1.76760072679785</v>
      </c>
      <c r="D16">
        <v>799</v>
      </c>
      <c r="E16">
        <v>6</v>
      </c>
      <c r="F16">
        <v>6</v>
      </c>
      <c r="G16">
        <v>6</v>
      </c>
    </row>
    <row r="17" spans="1:7" x14ac:dyDescent="0.3">
      <c r="A17">
        <v>2005</v>
      </c>
      <c r="B17">
        <v>3.2614393726401598</v>
      </c>
      <c r="C17">
        <v>2.0774509799928702</v>
      </c>
      <c r="D17">
        <v>895</v>
      </c>
      <c r="E17">
        <v>2</v>
      </c>
      <c r="F17">
        <v>2</v>
      </c>
      <c r="G17">
        <v>2</v>
      </c>
    </row>
    <row r="18" spans="1:7" x14ac:dyDescent="0.3">
      <c r="A18">
        <v>2006</v>
      </c>
      <c r="B18">
        <v>2.9892790030352101</v>
      </c>
      <c r="C18">
        <v>2.3089759907641301</v>
      </c>
      <c r="D18">
        <v>1531</v>
      </c>
      <c r="E18">
        <v>10</v>
      </c>
      <c r="F18">
        <v>10</v>
      </c>
      <c r="G18">
        <v>10</v>
      </c>
    </row>
    <row r="19" spans="1:7" x14ac:dyDescent="0.3">
      <c r="A19">
        <v>2007</v>
      </c>
      <c r="B19">
        <v>2.2742120437467799</v>
      </c>
      <c r="C19">
        <v>1.2439558388132099</v>
      </c>
      <c r="D19">
        <v>1705</v>
      </c>
      <c r="E19">
        <v>9</v>
      </c>
      <c r="F19">
        <v>9</v>
      </c>
      <c r="G19">
        <v>9</v>
      </c>
    </row>
    <row r="20" spans="1:7" x14ac:dyDescent="0.3">
      <c r="A20">
        <v>2008</v>
      </c>
      <c r="B20">
        <v>2.2233681088194999</v>
      </c>
      <c r="C20">
        <v>1.7256835945505899</v>
      </c>
      <c r="D20">
        <v>2089</v>
      </c>
      <c r="E20">
        <v>13</v>
      </c>
      <c r="F20">
        <v>13</v>
      </c>
      <c r="G20">
        <v>13</v>
      </c>
    </row>
    <row r="21" spans="1:7" x14ac:dyDescent="0.3">
      <c r="A21">
        <v>2009</v>
      </c>
      <c r="B21">
        <v>2.6028028723600198</v>
      </c>
      <c r="C21">
        <v>2.20737862141609</v>
      </c>
      <c r="D21">
        <v>2562</v>
      </c>
      <c r="E21">
        <v>10</v>
      </c>
      <c r="F21">
        <v>10</v>
      </c>
      <c r="G21">
        <v>10</v>
      </c>
    </row>
    <row r="22" spans="1:7" x14ac:dyDescent="0.3">
      <c r="A22">
        <v>2010</v>
      </c>
      <c r="B22">
        <v>2.3335770479150102</v>
      </c>
      <c r="C22">
        <v>1.68042123493513</v>
      </c>
      <c r="D22">
        <v>3866</v>
      </c>
      <c r="E22">
        <v>28</v>
      </c>
      <c r="F22">
        <v>28</v>
      </c>
      <c r="G22">
        <v>28</v>
      </c>
    </row>
    <row r="23" spans="1:7" x14ac:dyDescent="0.3">
      <c r="A23">
        <v>2011</v>
      </c>
      <c r="B23">
        <v>2.8438440796978299</v>
      </c>
      <c r="C23">
        <v>2.3071691583204799</v>
      </c>
      <c r="D23">
        <v>4395</v>
      </c>
      <c r="E23">
        <v>35</v>
      </c>
      <c r="F23">
        <v>35</v>
      </c>
      <c r="G23">
        <v>35</v>
      </c>
    </row>
    <row r="24" spans="1:7" x14ac:dyDescent="0.3">
      <c r="A24">
        <v>2012</v>
      </c>
      <c r="B24">
        <v>2.4606047622346501</v>
      </c>
      <c r="C24">
        <v>1.9407959362192599</v>
      </c>
      <c r="D24">
        <v>5900</v>
      </c>
      <c r="E24">
        <v>36</v>
      </c>
      <c r="F24">
        <v>36</v>
      </c>
      <c r="G24">
        <v>36</v>
      </c>
    </row>
    <row r="25" spans="1:7" x14ac:dyDescent="0.3">
      <c r="A25">
        <v>2013</v>
      </c>
      <c r="B25">
        <v>2.7285839274871502</v>
      </c>
      <c r="C25">
        <v>1.9567354226704401</v>
      </c>
      <c r="D25">
        <v>10518</v>
      </c>
      <c r="E25">
        <v>82</v>
      </c>
      <c r="F25">
        <v>82</v>
      </c>
      <c r="G25">
        <v>82</v>
      </c>
    </row>
    <row r="26" spans="1:7" x14ac:dyDescent="0.3">
      <c r="A26">
        <v>2014</v>
      </c>
      <c r="B26">
        <v>2.4712433612456199</v>
      </c>
      <c r="C26">
        <v>1.63949402946664</v>
      </c>
      <c r="D26">
        <v>16871</v>
      </c>
      <c r="E26">
        <v>147</v>
      </c>
      <c r="F26">
        <v>147</v>
      </c>
      <c r="G26">
        <v>147</v>
      </c>
    </row>
    <row r="27" spans="1:7" x14ac:dyDescent="0.3">
      <c r="A27">
        <v>2015</v>
      </c>
      <c r="B27">
        <v>2.5110360465928299</v>
      </c>
      <c r="C27">
        <v>1.59077517773431</v>
      </c>
      <c r="D27">
        <v>18749</v>
      </c>
      <c r="E27">
        <v>208</v>
      </c>
      <c r="F27">
        <v>208</v>
      </c>
      <c r="G27">
        <v>208</v>
      </c>
    </row>
    <row r="28" spans="1:7" x14ac:dyDescent="0.3">
      <c r="A28">
        <v>2016</v>
      </c>
      <c r="B28">
        <v>2.65526493307638</v>
      </c>
      <c r="C28">
        <v>1.7020175712163099</v>
      </c>
      <c r="D28">
        <v>21081</v>
      </c>
      <c r="E28">
        <v>270</v>
      </c>
      <c r="F28">
        <v>270</v>
      </c>
      <c r="G28">
        <v>270</v>
      </c>
    </row>
    <row r="29" spans="1:7" x14ac:dyDescent="0.3">
      <c r="A29">
        <v>2017</v>
      </c>
      <c r="B29">
        <v>2.6677197872137102</v>
      </c>
      <c r="C29">
        <v>1.49048244090715</v>
      </c>
      <c r="D29">
        <v>23799</v>
      </c>
      <c r="E29">
        <v>269</v>
      </c>
      <c r="F29">
        <v>269</v>
      </c>
      <c r="G29">
        <v>269</v>
      </c>
    </row>
    <row r="30" spans="1:7" x14ac:dyDescent="0.3">
      <c r="A30">
        <v>2018</v>
      </c>
      <c r="B30">
        <v>2.7142473573677099</v>
      </c>
      <c r="C30">
        <v>1.5448231671883099</v>
      </c>
      <c r="D30">
        <v>28176</v>
      </c>
      <c r="E30">
        <v>407</v>
      </c>
      <c r="F30">
        <v>407</v>
      </c>
      <c r="G30">
        <v>407</v>
      </c>
    </row>
    <row r="31" spans="1:7" x14ac:dyDescent="0.3">
      <c r="A31">
        <v>2019</v>
      </c>
      <c r="B31">
        <v>2.74499153860158</v>
      </c>
      <c r="C31">
        <v>1.5238399087828201</v>
      </c>
      <c r="D31">
        <v>32576</v>
      </c>
      <c r="E31">
        <v>476</v>
      </c>
      <c r="F31">
        <v>476</v>
      </c>
      <c r="G31">
        <v>476</v>
      </c>
    </row>
    <row r="32" spans="1:7" x14ac:dyDescent="0.3">
      <c r="A32">
        <v>2020</v>
      </c>
      <c r="B32">
        <v>2.8523483795020899</v>
      </c>
      <c r="C32">
        <v>1.6035428022411899</v>
      </c>
      <c r="D32">
        <v>51478</v>
      </c>
      <c r="E32">
        <v>665</v>
      </c>
      <c r="F32">
        <v>665</v>
      </c>
      <c r="G32">
        <v>665</v>
      </c>
    </row>
    <row r="33" spans="1:7" x14ac:dyDescent="0.3">
      <c r="A33">
        <v>2021</v>
      </c>
      <c r="B33">
        <v>2.7197640173012099</v>
      </c>
      <c r="C33">
        <v>1.54319601185513</v>
      </c>
      <c r="D33">
        <v>72610</v>
      </c>
      <c r="E33">
        <v>1051</v>
      </c>
      <c r="F33">
        <v>1051</v>
      </c>
      <c r="G33">
        <v>1051</v>
      </c>
    </row>
    <row r="34" spans="1:7" x14ac:dyDescent="0.3">
      <c r="A34">
        <v>2022</v>
      </c>
      <c r="B34">
        <v>2.6280023792147</v>
      </c>
      <c r="C34">
        <v>1.55467347855809</v>
      </c>
      <c r="D34">
        <v>77474</v>
      </c>
      <c r="E34">
        <v>1613</v>
      </c>
      <c r="F34">
        <v>1613</v>
      </c>
      <c r="G34">
        <v>1613</v>
      </c>
    </row>
    <row r="35" spans="1:7" x14ac:dyDescent="0.3">
      <c r="A35">
        <v>2023</v>
      </c>
      <c r="B35">
        <v>2.6340815901544601</v>
      </c>
      <c r="C35">
        <v>1.53802571091163</v>
      </c>
      <c r="D35">
        <v>70690</v>
      </c>
      <c r="E35">
        <v>1635</v>
      </c>
      <c r="F35">
        <v>1635</v>
      </c>
      <c r="G35">
        <v>1635</v>
      </c>
    </row>
    <row r="36" spans="1:7" x14ac:dyDescent="0.3">
      <c r="A36">
        <v>2024</v>
      </c>
      <c r="B36">
        <v>2.6218507194802698</v>
      </c>
      <c r="C36">
        <v>1.44563654134038</v>
      </c>
      <c r="D36">
        <v>65048</v>
      </c>
      <c r="E36">
        <v>1413</v>
      </c>
      <c r="F36">
        <v>1413</v>
      </c>
      <c r="G36">
        <v>1413</v>
      </c>
    </row>
    <row r="37" spans="1:7" x14ac:dyDescent="0.3">
      <c r="A37">
        <v>2025</v>
      </c>
      <c r="B37">
        <v>2.6164264253084601</v>
      </c>
      <c r="C37">
        <v>1.51943444601389</v>
      </c>
      <c r="D37">
        <v>41045</v>
      </c>
      <c r="E37">
        <v>953</v>
      </c>
      <c r="F37">
        <v>953</v>
      </c>
      <c r="G37">
        <v>953</v>
      </c>
    </row>
    <row r="38" spans="1:7" x14ac:dyDescent="0.3">
      <c r="A38" t="s">
        <v>1</v>
      </c>
      <c r="B38">
        <f t="shared" ref="B38:G38" si="0">SUM(B2:B37)</f>
        <v>87.715188771239269</v>
      </c>
      <c r="C38">
        <f t="shared" si="0"/>
        <v>61.715947932599256</v>
      </c>
      <c r="D38">
        <f t="shared" si="0"/>
        <v>558131</v>
      </c>
      <c r="E38">
        <f t="shared" si="0"/>
        <v>9360</v>
      </c>
      <c r="F38">
        <f t="shared" si="0"/>
        <v>9360</v>
      </c>
      <c r="G38">
        <f t="shared" si="0"/>
        <v>9360</v>
      </c>
    </row>
    <row r="39" spans="1:7" x14ac:dyDescent="0.3">
      <c r="A39" t="s">
        <v>2</v>
      </c>
      <c r="B39">
        <f>MAX(B2:B37)</f>
        <v>4.5</v>
      </c>
      <c r="C39">
        <f t="shared" ref="C39:G39" si="1">MAX(C2:C37)</f>
        <v>3.6989700043360099</v>
      </c>
      <c r="D39">
        <f t="shared" si="1"/>
        <v>77474</v>
      </c>
      <c r="E39">
        <f t="shared" si="1"/>
        <v>1635</v>
      </c>
      <c r="F39">
        <f t="shared" si="1"/>
        <v>1635</v>
      </c>
      <c r="G39">
        <f t="shared" si="1"/>
        <v>1635</v>
      </c>
    </row>
    <row r="40" spans="1:7" x14ac:dyDescent="0.3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102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1990</v>
      </c>
      <c r="B2">
        <v>2.6218338081623802</v>
      </c>
      <c r="C2">
        <v>1.8636521102508099</v>
      </c>
      <c r="D2">
        <v>338</v>
      </c>
      <c r="E2">
        <v>52</v>
      </c>
      <c r="F2">
        <v>52</v>
      </c>
      <c r="G2">
        <v>52</v>
      </c>
    </row>
    <row r="3" spans="1:7" x14ac:dyDescent="0.3">
      <c r="A3">
        <v>1991</v>
      </c>
      <c r="B3">
        <v>2.6454907334922302</v>
      </c>
      <c r="C3">
        <v>1.8836030978876599</v>
      </c>
      <c r="D3">
        <v>380</v>
      </c>
      <c r="E3">
        <v>75</v>
      </c>
      <c r="F3">
        <v>75</v>
      </c>
      <c r="G3">
        <v>75</v>
      </c>
    </row>
    <row r="4" spans="1:7" x14ac:dyDescent="0.3">
      <c r="A4">
        <v>1992</v>
      </c>
      <c r="B4">
        <v>2.43706433596771</v>
      </c>
      <c r="C4">
        <v>1.74991697570383</v>
      </c>
      <c r="D4">
        <v>371</v>
      </c>
      <c r="E4">
        <v>78</v>
      </c>
      <c r="F4">
        <v>78</v>
      </c>
      <c r="G4">
        <v>78</v>
      </c>
    </row>
    <row r="5" spans="1:7" x14ac:dyDescent="0.3">
      <c r="A5">
        <v>1993</v>
      </c>
      <c r="B5">
        <v>2.5761254434298499</v>
      </c>
      <c r="C5">
        <v>1.65418451679192</v>
      </c>
      <c r="D5">
        <v>453</v>
      </c>
      <c r="E5">
        <v>98</v>
      </c>
      <c r="F5">
        <v>98</v>
      </c>
      <c r="G5">
        <v>98</v>
      </c>
    </row>
    <row r="6" spans="1:7" x14ac:dyDescent="0.3">
      <c r="A6">
        <v>1994</v>
      </c>
      <c r="B6">
        <v>2.4427875405480899</v>
      </c>
      <c r="C6">
        <v>1.8184057449698601</v>
      </c>
      <c r="D6">
        <v>436</v>
      </c>
      <c r="E6">
        <v>115</v>
      </c>
      <c r="F6">
        <v>115</v>
      </c>
      <c r="G6">
        <v>115</v>
      </c>
    </row>
    <row r="7" spans="1:7" x14ac:dyDescent="0.3">
      <c r="A7">
        <v>1995</v>
      </c>
      <c r="B7">
        <v>2.51262734336657</v>
      </c>
      <c r="C7">
        <v>1.71597334122693</v>
      </c>
      <c r="D7">
        <v>520</v>
      </c>
      <c r="E7">
        <v>122</v>
      </c>
      <c r="F7">
        <v>122</v>
      </c>
      <c r="G7">
        <v>122</v>
      </c>
    </row>
    <row r="8" spans="1:7" x14ac:dyDescent="0.3">
      <c r="A8">
        <v>1996</v>
      </c>
      <c r="B8">
        <v>2.4751918917612099</v>
      </c>
      <c r="C8">
        <v>1.74898891526781</v>
      </c>
      <c r="D8">
        <v>632</v>
      </c>
      <c r="E8">
        <v>143</v>
      </c>
      <c r="F8">
        <v>143</v>
      </c>
      <c r="G8">
        <v>143</v>
      </c>
    </row>
    <row r="9" spans="1:7" x14ac:dyDescent="0.3">
      <c r="A9">
        <v>1997</v>
      </c>
      <c r="B9">
        <v>2.6203081433945101</v>
      </c>
      <c r="C9">
        <v>1.75153791718924</v>
      </c>
      <c r="D9">
        <v>564</v>
      </c>
      <c r="E9">
        <v>142</v>
      </c>
      <c r="F9">
        <v>142</v>
      </c>
      <c r="G9">
        <v>142</v>
      </c>
    </row>
    <row r="10" spans="1:7" x14ac:dyDescent="0.3">
      <c r="A10">
        <v>1998</v>
      </c>
      <c r="B10">
        <v>2.6612413988663599</v>
      </c>
      <c r="C10">
        <v>1.7068705672126501</v>
      </c>
      <c r="D10">
        <v>670</v>
      </c>
      <c r="E10">
        <v>181</v>
      </c>
      <c r="F10">
        <v>181</v>
      </c>
      <c r="G10">
        <v>181</v>
      </c>
    </row>
    <row r="11" spans="1:7" x14ac:dyDescent="0.3">
      <c r="A11">
        <v>1999</v>
      </c>
      <c r="B11">
        <v>2.6896367643205399</v>
      </c>
      <c r="C11">
        <v>1.6365851050062401</v>
      </c>
      <c r="D11">
        <v>811</v>
      </c>
      <c r="E11">
        <v>199</v>
      </c>
      <c r="F11">
        <v>199</v>
      </c>
      <c r="G11">
        <v>199</v>
      </c>
    </row>
    <row r="12" spans="1:7" x14ac:dyDescent="0.3">
      <c r="A12">
        <v>2000</v>
      </c>
      <c r="B12">
        <v>2.6782461805620801</v>
      </c>
      <c r="C12">
        <v>1.83052343834992</v>
      </c>
      <c r="D12">
        <v>588</v>
      </c>
      <c r="E12">
        <v>153</v>
      </c>
      <c r="F12">
        <v>153</v>
      </c>
      <c r="G12">
        <v>153</v>
      </c>
    </row>
    <row r="13" spans="1:7" x14ac:dyDescent="0.3">
      <c r="A13">
        <v>2001</v>
      </c>
      <c r="B13">
        <v>2.4578830403435301</v>
      </c>
      <c r="C13">
        <v>1.6725231546256101</v>
      </c>
      <c r="D13">
        <v>591</v>
      </c>
      <c r="E13">
        <v>150</v>
      </c>
      <c r="F13">
        <v>150</v>
      </c>
      <c r="G13">
        <v>150</v>
      </c>
    </row>
    <row r="14" spans="1:7" x14ac:dyDescent="0.3">
      <c r="A14">
        <v>2002</v>
      </c>
      <c r="B14">
        <v>2.7555474130973998</v>
      </c>
      <c r="C14">
        <v>1.9343636147386101</v>
      </c>
      <c r="D14">
        <v>619</v>
      </c>
      <c r="E14">
        <v>146</v>
      </c>
      <c r="F14">
        <v>146</v>
      </c>
      <c r="G14">
        <v>146</v>
      </c>
    </row>
    <row r="15" spans="1:7" x14ac:dyDescent="0.3">
      <c r="A15">
        <v>2003</v>
      </c>
      <c r="B15">
        <v>2.64197174170017</v>
      </c>
      <c r="C15">
        <v>1.7035804312662901</v>
      </c>
      <c r="D15">
        <v>733</v>
      </c>
      <c r="E15">
        <v>181</v>
      </c>
      <c r="F15">
        <v>181</v>
      </c>
      <c r="G15">
        <v>181</v>
      </c>
    </row>
    <row r="16" spans="1:7" x14ac:dyDescent="0.3">
      <c r="A16">
        <v>2004</v>
      </c>
      <c r="B16">
        <v>2.6025392360061499</v>
      </c>
      <c r="C16">
        <v>1.6387847705834</v>
      </c>
      <c r="D16">
        <v>783</v>
      </c>
      <c r="E16">
        <v>210</v>
      </c>
      <c r="F16">
        <v>210</v>
      </c>
      <c r="G16">
        <v>210</v>
      </c>
    </row>
    <row r="17" spans="1:7" x14ac:dyDescent="0.3">
      <c r="A17">
        <v>2005</v>
      </c>
      <c r="B17">
        <v>2.5986754229071098</v>
      </c>
      <c r="C17">
        <v>1.74330330581834</v>
      </c>
      <c r="D17">
        <v>630</v>
      </c>
      <c r="E17">
        <v>176</v>
      </c>
      <c r="F17">
        <v>176</v>
      </c>
      <c r="G17">
        <v>176</v>
      </c>
    </row>
    <row r="18" spans="1:7" x14ac:dyDescent="0.3">
      <c r="A18">
        <v>2006</v>
      </c>
      <c r="B18">
        <v>2.5811329052763399</v>
      </c>
      <c r="C18">
        <v>1.6170699337557499</v>
      </c>
      <c r="D18">
        <v>655</v>
      </c>
      <c r="E18">
        <v>181</v>
      </c>
      <c r="F18">
        <v>181</v>
      </c>
      <c r="G18">
        <v>181</v>
      </c>
    </row>
    <row r="19" spans="1:7" x14ac:dyDescent="0.3">
      <c r="A19">
        <v>2007</v>
      </c>
      <c r="B19">
        <v>2.7675060558904101</v>
      </c>
      <c r="C19">
        <v>1.82775427163385</v>
      </c>
      <c r="D19">
        <v>844</v>
      </c>
      <c r="E19">
        <v>244</v>
      </c>
      <c r="F19">
        <v>244</v>
      </c>
      <c r="G19">
        <v>244</v>
      </c>
    </row>
    <row r="20" spans="1:7" x14ac:dyDescent="0.3">
      <c r="A20">
        <v>2008</v>
      </c>
      <c r="B20">
        <v>2.6950894611059</v>
      </c>
      <c r="C20">
        <v>1.8482652692905599</v>
      </c>
      <c r="D20">
        <v>1513</v>
      </c>
      <c r="E20">
        <v>484</v>
      </c>
      <c r="F20">
        <v>484</v>
      </c>
      <c r="G20">
        <v>484</v>
      </c>
    </row>
    <row r="21" spans="1:7" x14ac:dyDescent="0.3">
      <c r="A21">
        <v>2009</v>
      </c>
      <c r="B21">
        <v>2.6261204359959902</v>
      </c>
      <c r="C21">
        <v>1.68755838822143</v>
      </c>
      <c r="D21">
        <v>1928</v>
      </c>
      <c r="E21">
        <v>683</v>
      </c>
      <c r="F21">
        <v>683</v>
      </c>
      <c r="G21">
        <v>683</v>
      </c>
    </row>
    <row r="22" spans="1:7" x14ac:dyDescent="0.3">
      <c r="A22">
        <v>2010</v>
      </c>
      <c r="B22">
        <v>2.5905647086835901</v>
      </c>
      <c r="C22">
        <v>1.6913254279955601</v>
      </c>
      <c r="D22">
        <v>2081</v>
      </c>
      <c r="E22">
        <v>770</v>
      </c>
      <c r="F22">
        <v>770</v>
      </c>
      <c r="G22">
        <v>770</v>
      </c>
    </row>
    <row r="23" spans="1:7" x14ac:dyDescent="0.3">
      <c r="A23">
        <v>2011</v>
      </c>
      <c r="B23">
        <v>2.6015774256515698</v>
      </c>
      <c r="C23">
        <v>1.65528587159399</v>
      </c>
      <c r="D23">
        <v>2205</v>
      </c>
      <c r="E23">
        <v>771</v>
      </c>
      <c r="F23">
        <v>771</v>
      </c>
      <c r="G23">
        <v>771</v>
      </c>
    </row>
    <row r="24" spans="1:7" x14ac:dyDescent="0.3">
      <c r="A24">
        <v>2012</v>
      </c>
      <c r="B24">
        <v>2.75396606000833</v>
      </c>
      <c r="C24">
        <v>1.7815904967009</v>
      </c>
      <c r="D24">
        <v>2464</v>
      </c>
      <c r="E24">
        <v>773</v>
      </c>
      <c r="F24">
        <v>773</v>
      </c>
      <c r="G24">
        <v>773</v>
      </c>
    </row>
    <row r="25" spans="1:7" x14ac:dyDescent="0.3">
      <c r="A25">
        <v>2013</v>
      </c>
      <c r="B25">
        <v>2.6900486886570198</v>
      </c>
      <c r="C25">
        <v>1.7054459398231101</v>
      </c>
      <c r="D25">
        <v>3238</v>
      </c>
      <c r="E25">
        <v>1100</v>
      </c>
      <c r="F25">
        <v>1100</v>
      </c>
      <c r="G25">
        <v>1100</v>
      </c>
    </row>
    <row r="26" spans="1:7" x14ac:dyDescent="0.3">
      <c r="A26">
        <v>2014</v>
      </c>
      <c r="B26">
        <v>2.5699504972844802</v>
      </c>
      <c r="C26">
        <v>1.6837930922097599</v>
      </c>
      <c r="D26">
        <v>3718</v>
      </c>
      <c r="E26">
        <v>1146</v>
      </c>
      <c r="F26">
        <v>1146</v>
      </c>
      <c r="G26">
        <v>1146</v>
      </c>
    </row>
    <row r="27" spans="1:7" x14ac:dyDescent="0.3">
      <c r="A27">
        <v>2015</v>
      </c>
      <c r="B27">
        <v>2.5921420345834898</v>
      </c>
      <c r="C27">
        <v>1.61080386152945</v>
      </c>
      <c r="D27">
        <v>5328</v>
      </c>
      <c r="E27">
        <v>1806</v>
      </c>
      <c r="F27">
        <v>1806</v>
      </c>
      <c r="G27">
        <v>1806</v>
      </c>
    </row>
    <row r="28" spans="1:7" x14ac:dyDescent="0.3">
      <c r="A28">
        <v>2016</v>
      </c>
      <c r="B28">
        <v>2.5812142669567599</v>
      </c>
      <c r="C28">
        <v>1.5885307117706799</v>
      </c>
      <c r="D28">
        <v>6736</v>
      </c>
      <c r="E28">
        <v>2505</v>
      </c>
      <c r="F28">
        <v>2505</v>
      </c>
      <c r="G28">
        <v>2505</v>
      </c>
    </row>
    <row r="29" spans="1:7" x14ac:dyDescent="0.3">
      <c r="A29">
        <v>2017</v>
      </c>
      <c r="B29">
        <v>2.5039053618591498</v>
      </c>
      <c r="C29">
        <v>1.57692191264286</v>
      </c>
      <c r="D29">
        <v>7385</v>
      </c>
      <c r="E29">
        <v>2409</v>
      </c>
      <c r="F29">
        <v>2409</v>
      </c>
      <c r="G29">
        <v>2409</v>
      </c>
    </row>
    <row r="30" spans="1:7" x14ac:dyDescent="0.3">
      <c r="A30">
        <v>2018</v>
      </c>
      <c r="B30">
        <v>2.51579366689253</v>
      </c>
      <c r="C30">
        <v>1.55063634564571</v>
      </c>
      <c r="D30">
        <v>8296</v>
      </c>
      <c r="E30">
        <v>2509</v>
      </c>
      <c r="F30">
        <v>2509</v>
      </c>
      <c r="G30">
        <v>2509</v>
      </c>
    </row>
    <row r="31" spans="1:7" x14ac:dyDescent="0.3">
      <c r="A31">
        <v>2019</v>
      </c>
      <c r="B31">
        <v>2.5088377818108301</v>
      </c>
      <c r="C31">
        <v>1.54681934615994</v>
      </c>
      <c r="D31">
        <v>9155</v>
      </c>
      <c r="E31">
        <v>2712</v>
      </c>
      <c r="F31">
        <v>2712</v>
      </c>
      <c r="G31">
        <v>2712</v>
      </c>
    </row>
    <row r="32" spans="1:7" x14ac:dyDescent="0.3">
      <c r="A32">
        <v>2020</v>
      </c>
      <c r="B32">
        <v>2.5955137095461498</v>
      </c>
      <c r="C32">
        <v>1.6433472347667899</v>
      </c>
      <c r="D32">
        <v>12859</v>
      </c>
      <c r="E32">
        <v>3380</v>
      </c>
      <c r="F32">
        <v>3380</v>
      </c>
      <c r="G32">
        <v>3380</v>
      </c>
    </row>
    <row r="33" spans="1:7" x14ac:dyDescent="0.3">
      <c r="A33">
        <v>2021</v>
      </c>
      <c r="B33">
        <v>2.5376919857211999</v>
      </c>
      <c r="C33">
        <v>1.57728241731355</v>
      </c>
      <c r="D33">
        <v>13836</v>
      </c>
      <c r="E33">
        <v>3989</v>
      </c>
      <c r="F33">
        <v>3989</v>
      </c>
      <c r="G33">
        <v>3989</v>
      </c>
    </row>
    <row r="34" spans="1:7" x14ac:dyDescent="0.3">
      <c r="A34">
        <v>2022</v>
      </c>
      <c r="B34">
        <v>2.55825496271807</v>
      </c>
      <c r="C34">
        <v>1.6421817130602501</v>
      </c>
      <c r="D34">
        <v>14222</v>
      </c>
      <c r="E34">
        <v>4245</v>
      </c>
      <c r="F34">
        <v>4245</v>
      </c>
      <c r="G34">
        <v>4245</v>
      </c>
    </row>
    <row r="35" spans="1:7" x14ac:dyDescent="0.3">
      <c r="A35">
        <v>2023</v>
      </c>
      <c r="B35">
        <v>2.49171328660699</v>
      </c>
      <c r="C35">
        <v>1.55299387501291</v>
      </c>
      <c r="D35">
        <v>12499</v>
      </c>
      <c r="E35">
        <v>3999</v>
      </c>
      <c r="F35">
        <v>3999</v>
      </c>
      <c r="G35">
        <v>3999</v>
      </c>
    </row>
    <row r="36" spans="1:7" x14ac:dyDescent="0.3">
      <c r="A36">
        <v>2024</v>
      </c>
      <c r="B36">
        <v>2.5288876098210098</v>
      </c>
      <c r="C36">
        <v>1.6199920942967601</v>
      </c>
      <c r="D36">
        <v>11634</v>
      </c>
      <c r="E36">
        <v>4035</v>
      </c>
      <c r="F36">
        <v>4035</v>
      </c>
      <c r="G36">
        <v>4035</v>
      </c>
    </row>
    <row r="37" spans="1:7" x14ac:dyDescent="0.3">
      <c r="A37">
        <v>2025</v>
      </c>
      <c r="B37">
        <v>2.49669028427952</v>
      </c>
      <c r="C37">
        <v>1.4977675143990701</v>
      </c>
      <c r="D37">
        <v>10930</v>
      </c>
      <c r="E37">
        <v>3795</v>
      </c>
      <c r="F37">
        <v>3795</v>
      </c>
      <c r="G37">
        <v>3795</v>
      </c>
    </row>
    <row r="38" spans="1:7" x14ac:dyDescent="0.3">
      <c r="A38" t="s">
        <v>1</v>
      </c>
      <c r="B38">
        <f t="shared" ref="B38:G38" si="0">SUM(B2:B37)</f>
        <v>93.203771627275231</v>
      </c>
      <c r="C38">
        <f t="shared" si="0"/>
        <v>60.958162724712004</v>
      </c>
      <c r="D38">
        <f t="shared" si="0"/>
        <v>140645</v>
      </c>
      <c r="E38">
        <f t="shared" si="0"/>
        <v>43757</v>
      </c>
      <c r="F38">
        <f t="shared" si="0"/>
        <v>43757</v>
      </c>
      <c r="G38">
        <f t="shared" si="0"/>
        <v>43757</v>
      </c>
    </row>
    <row r="39" spans="1:7" x14ac:dyDescent="0.3">
      <c r="A39" t="s">
        <v>2</v>
      </c>
      <c r="B39">
        <f>MAX(B2:B37)</f>
        <v>2.7675060558904101</v>
      </c>
      <c r="C39">
        <f t="shared" ref="C39:G39" si="1">MAX(C2:C37)</f>
        <v>1.9343636147386101</v>
      </c>
      <c r="D39">
        <f t="shared" si="1"/>
        <v>14222</v>
      </c>
      <c r="E39">
        <f t="shared" si="1"/>
        <v>4245</v>
      </c>
      <c r="F39">
        <f t="shared" si="1"/>
        <v>4245</v>
      </c>
      <c r="G39">
        <f t="shared" si="1"/>
        <v>4245</v>
      </c>
    </row>
    <row r="40" spans="1:7" x14ac:dyDescent="0.3">
      <c r="A40" t="s">
        <v>3</v>
      </c>
      <c r="B40">
        <f>MIN(B2:B37)</f>
        <v>2.43706433596771</v>
      </c>
      <c r="C40">
        <f t="shared" ref="C40:G40" si="2">MIN(C2:C37)</f>
        <v>1.4977675143990701</v>
      </c>
      <c r="D40">
        <f t="shared" si="2"/>
        <v>338</v>
      </c>
      <c r="E40">
        <f t="shared" si="2"/>
        <v>52</v>
      </c>
      <c r="F40">
        <f t="shared" si="2"/>
        <v>52</v>
      </c>
      <c r="G40">
        <f t="shared" si="2"/>
        <v>52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workbookViewId="0">
      <selection activeCell="F27" sqref="F2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1990</v>
      </c>
      <c r="B2">
        <v>2.5386321780319001</v>
      </c>
      <c r="C2">
        <v>1.9515514591034899</v>
      </c>
      <c r="D2">
        <v>2340</v>
      </c>
      <c r="E2">
        <v>90</v>
      </c>
      <c r="F2">
        <v>90</v>
      </c>
      <c r="G2">
        <v>90</v>
      </c>
    </row>
    <row r="3" spans="1:7" x14ac:dyDescent="0.3">
      <c r="A3">
        <v>1991</v>
      </c>
      <c r="B3">
        <v>2.5613050349312001</v>
      </c>
      <c r="C3">
        <v>1.89160770873596</v>
      </c>
      <c r="D3">
        <v>2408</v>
      </c>
      <c r="E3">
        <v>139</v>
      </c>
      <c r="F3">
        <v>139</v>
      </c>
      <c r="G3">
        <v>139</v>
      </c>
    </row>
    <row r="4" spans="1:7" x14ac:dyDescent="0.3">
      <c r="A4">
        <v>1992</v>
      </c>
      <c r="B4">
        <v>2.36552151280052</v>
      </c>
      <c r="C4">
        <v>1.8141669777536</v>
      </c>
      <c r="D4">
        <v>2444</v>
      </c>
      <c r="E4">
        <v>143</v>
      </c>
      <c r="F4">
        <v>143</v>
      </c>
      <c r="G4">
        <v>143</v>
      </c>
    </row>
    <row r="5" spans="1:7" x14ac:dyDescent="0.3">
      <c r="A5">
        <v>1993</v>
      </c>
      <c r="B5">
        <v>2.3851329224280602</v>
      </c>
      <c r="C5">
        <v>1.68859532916945</v>
      </c>
      <c r="D5">
        <v>2815</v>
      </c>
      <c r="E5">
        <v>198</v>
      </c>
      <c r="F5">
        <v>198</v>
      </c>
      <c r="G5">
        <v>198</v>
      </c>
    </row>
    <row r="6" spans="1:7" x14ac:dyDescent="0.3">
      <c r="A6">
        <v>1994</v>
      </c>
      <c r="B6">
        <v>2.3928304640981501</v>
      </c>
      <c r="C6">
        <v>1.8315689959350401</v>
      </c>
      <c r="D6">
        <v>3102</v>
      </c>
      <c r="E6">
        <v>230</v>
      </c>
      <c r="F6">
        <v>230</v>
      </c>
      <c r="G6">
        <v>230</v>
      </c>
    </row>
    <row r="7" spans="1:7" x14ac:dyDescent="0.3">
      <c r="A7">
        <v>1995</v>
      </c>
      <c r="B7">
        <v>2.3500944967449602</v>
      </c>
      <c r="C7">
        <v>1.6769511587537</v>
      </c>
      <c r="D7">
        <v>2947</v>
      </c>
      <c r="E7">
        <v>224</v>
      </c>
      <c r="F7">
        <v>224</v>
      </c>
      <c r="G7">
        <v>224</v>
      </c>
    </row>
    <row r="8" spans="1:7" x14ac:dyDescent="0.3">
      <c r="A8">
        <v>1996</v>
      </c>
      <c r="B8">
        <v>2.4463872423935702</v>
      </c>
      <c r="C8">
        <v>1.7358577094505001</v>
      </c>
      <c r="D8">
        <v>3102</v>
      </c>
      <c r="E8">
        <v>271</v>
      </c>
      <c r="F8">
        <v>271</v>
      </c>
      <c r="G8">
        <v>271</v>
      </c>
    </row>
    <row r="9" spans="1:7" x14ac:dyDescent="0.3">
      <c r="A9">
        <v>1997</v>
      </c>
      <c r="B9">
        <v>2.4178074694179399</v>
      </c>
      <c r="C9">
        <v>1.66210883532105</v>
      </c>
      <c r="D9">
        <v>3244</v>
      </c>
      <c r="E9">
        <v>292</v>
      </c>
      <c r="F9">
        <v>292</v>
      </c>
      <c r="G9">
        <v>292</v>
      </c>
    </row>
    <row r="10" spans="1:7" x14ac:dyDescent="0.3">
      <c r="A10">
        <v>1998</v>
      </c>
      <c r="B10">
        <v>2.5323582674161398</v>
      </c>
      <c r="C10">
        <v>1.70786322508731</v>
      </c>
      <c r="D10">
        <v>3421</v>
      </c>
      <c r="E10">
        <v>328</v>
      </c>
      <c r="F10">
        <v>328</v>
      </c>
      <c r="G10">
        <v>328</v>
      </c>
    </row>
    <row r="11" spans="1:7" x14ac:dyDescent="0.3">
      <c r="A11">
        <v>1999</v>
      </c>
      <c r="B11">
        <v>3.02130626412157</v>
      </c>
      <c r="C11">
        <v>2.1592578064269898</v>
      </c>
      <c r="D11">
        <v>3516</v>
      </c>
      <c r="E11">
        <v>364</v>
      </c>
      <c r="F11">
        <v>364</v>
      </c>
      <c r="G11">
        <v>364</v>
      </c>
    </row>
    <row r="12" spans="1:7" x14ac:dyDescent="0.3">
      <c r="A12">
        <v>2000</v>
      </c>
      <c r="B12">
        <v>2.4387308780071</v>
      </c>
      <c r="C12">
        <v>1.7391240833038599</v>
      </c>
      <c r="D12">
        <v>3833</v>
      </c>
      <c r="E12">
        <v>354</v>
      </c>
      <c r="F12">
        <v>354</v>
      </c>
      <c r="G12">
        <v>354</v>
      </c>
    </row>
    <row r="13" spans="1:7" x14ac:dyDescent="0.3">
      <c r="A13">
        <v>2001</v>
      </c>
      <c r="B13">
        <v>2.3922268234829298</v>
      </c>
      <c r="C13">
        <v>1.7109974979574201</v>
      </c>
      <c r="D13">
        <v>4861</v>
      </c>
      <c r="E13">
        <v>449</v>
      </c>
      <c r="F13">
        <v>449</v>
      </c>
      <c r="G13">
        <v>449</v>
      </c>
    </row>
    <row r="14" spans="1:7" x14ac:dyDescent="0.3">
      <c r="A14">
        <v>2002</v>
      </c>
      <c r="B14">
        <v>2.47127517829384</v>
      </c>
      <c r="C14">
        <v>1.7771547045785601</v>
      </c>
      <c r="D14">
        <v>5456</v>
      </c>
      <c r="E14">
        <v>538</v>
      </c>
      <c r="F14">
        <v>538</v>
      </c>
      <c r="G14">
        <v>538</v>
      </c>
    </row>
    <row r="15" spans="1:7" x14ac:dyDescent="0.3">
      <c r="A15">
        <v>2003</v>
      </c>
      <c r="B15">
        <v>2.4538294459098799</v>
      </c>
      <c r="C15">
        <v>1.7363324953871899</v>
      </c>
      <c r="D15">
        <v>6348</v>
      </c>
      <c r="E15">
        <v>663</v>
      </c>
      <c r="F15">
        <v>663</v>
      </c>
      <c r="G15">
        <v>663</v>
      </c>
    </row>
    <row r="16" spans="1:7" x14ac:dyDescent="0.3">
      <c r="A16">
        <v>2004</v>
      </c>
      <c r="B16">
        <v>2.4639881674923099</v>
      </c>
      <c r="C16">
        <v>1.72111702271619</v>
      </c>
      <c r="D16">
        <v>8615</v>
      </c>
      <c r="E16">
        <v>936</v>
      </c>
      <c r="F16">
        <v>936</v>
      </c>
      <c r="G16">
        <v>936</v>
      </c>
    </row>
    <row r="17" spans="1:7" x14ac:dyDescent="0.3">
      <c r="A17">
        <v>2005</v>
      </c>
      <c r="B17">
        <v>2.4362354619019801</v>
      </c>
      <c r="C17">
        <v>1.7091644064993099</v>
      </c>
      <c r="D17">
        <v>13145</v>
      </c>
      <c r="E17">
        <v>1374</v>
      </c>
      <c r="F17">
        <v>1374</v>
      </c>
      <c r="G17">
        <v>1374</v>
      </c>
    </row>
    <row r="18" spans="1:7" x14ac:dyDescent="0.3">
      <c r="A18">
        <v>2006</v>
      </c>
      <c r="B18">
        <v>2.46249001155689</v>
      </c>
      <c r="C18">
        <v>1.73657637632631</v>
      </c>
      <c r="D18">
        <v>17503</v>
      </c>
      <c r="E18">
        <v>1978</v>
      </c>
      <c r="F18">
        <v>1978</v>
      </c>
      <c r="G18">
        <v>1978</v>
      </c>
    </row>
    <row r="19" spans="1:7" x14ac:dyDescent="0.3">
      <c r="A19">
        <v>2007</v>
      </c>
      <c r="B19">
        <v>2.46496066224501</v>
      </c>
      <c r="C19">
        <v>1.6952075258738799</v>
      </c>
      <c r="D19">
        <v>24455</v>
      </c>
      <c r="E19">
        <v>2682</v>
      </c>
      <c r="F19">
        <v>2682</v>
      </c>
      <c r="G19">
        <v>2682</v>
      </c>
    </row>
    <row r="20" spans="1:7" x14ac:dyDescent="0.3">
      <c r="A20">
        <v>2008</v>
      </c>
      <c r="B20">
        <v>2.45352538176141</v>
      </c>
      <c r="C20">
        <v>1.6917157825343201</v>
      </c>
      <c r="D20">
        <v>38979</v>
      </c>
      <c r="E20">
        <v>4055</v>
      </c>
      <c r="F20">
        <v>4055</v>
      </c>
      <c r="G20">
        <v>4055</v>
      </c>
    </row>
    <row r="21" spans="1:7" x14ac:dyDescent="0.3">
      <c r="A21">
        <v>2009</v>
      </c>
      <c r="B21">
        <v>2.4878623733151701</v>
      </c>
      <c r="C21">
        <v>1.7143534182485001</v>
      </c>
      <c r="D21">
        <v>52975</v>
      </c>
      <c r="E21">
        <v>5604</v>
      </c>
      <c r="F21">
        <v>5604</v>
      </c>
      <c r="G21">
        <v>5604</v>
      </c>
    </row>
    <row r="22" spans="1:7" x14ac:dyDescent="0.3">
      <c r="A22">
        <v>2010</v>
      </c>
      <c r="B22">
        <v>2.44150410341337</v>
      </c>
      <c r="C22">
        <v>1.6759032703258601</v>
      </c>
      <c r="D22">
        <v>71976</v>
      </c>
      <c r="E22">
        <v>8241</v>
      </c>
      <c r="F22">
        <v>8241</v>
      </c>
      <c r="G22">
        <v>8241</v>
      </c>
    </row>
    <row r="23" spans="1:7" x14ac:dyDescent="0.3">
      <c r="A23">
        <v>2011</v>
      </c>
      <c r="B23">
        <v>2.4713392260827001</v>
      </c>
      <c r="C23">
        <v>1.6957765694105</v>
      </c>
      <c r="D23">
        <v>98163</v>
      </c>
      <c r="E23">
        <v>11843</v>
      </c>
      <c r="F23">
        <v>11843</v>
      </c>
      <c r="G23">
        <v>11843</v>
      </c>
    </row>
    <row r="24" spans="1:7" x14ac:dyDescent="0.3">
      <c r="A24">
        <v>2012</v>
      </c>
      <c r="B24">
        <v>2.4091119812934698</v>
      </c>
      <c r="C24">
        <v>1.6516192912699199</v>
      </c>
      <c r="D24">
        <v>132750</v>
      </c>
      <c r="E24">
        <v>17471</v>
      </c>
      <c r="F24">
        <v>17471</v>
      </c>
      <c r="G24">
        <v>17471</v>
      </c>
    </row>
    <row r="25" spans="1:7" x14ac:dyDescent="0.3">
      <c r="A25">
        <v>2013</v>
      </c>
      <c r="B25">
        <v>2.4180170268170702</v>
      </c>
      <c r="C25">
        <v>1.64569887951512</v>
      </c>
      <c r="D25">
        <v>165606</v>
      </c>
      <c r="E25">
        <v>23618</v>
      </c>
      <c r="F25">
        <v>23618</v>
      </c>
      <c r="G25">
        <v>23618</v>
      </c>
    </row>
    <row r="26" spans="1:7" x14ac:dyDescent="0.3">
      <c r="A26">
        <v>2014</v>
      </c>
      <c r="B26">
        <v>2.4104318924191599</v>
      </c>
      <c r="C26">
        <v>1.64134021168638</v>
      </c>
      <c r="D26">
        <v>199504</v>
      </c>
      <c r="E26">
        <v>29512</v>
      </c>
      <c r="F26">
        <v>29512</v>
      </c>
      <c r="G26">
        <v>29512</v>
      </c>
    </row>
    <row r="27" spans="1:7" x14ac:dyDescent="0.3">
      <c r="A27">
        <v>2015</v>
      </c>
      <c r="B27">
        <v>2.4533365871231498</v>
      </c>
      <c r="C27">
        <v>1.6398913272814399</v>
      </c>
      <c r="D27">
        <v>224992</v>
      </c>
      <c r="E27">
        <v>34265</v>
      </c>
      <c r="F27">
        <v>34265</v>
      </c>
      <c r="G27">
        <v>34265</v>
      </c>
    </row>
    <row r="28" spans="1:7" x14ac:dyDescent="0.3">
      <c r="A28">
        <v>2016</v>
      </c>
      <c r="B28">
        <v>2.4413706284738699</v>
      </c>
      <c r="C28">
        <v>1.60948390646349</v>
      </c>
      <c r="D28">
        <v>254848</v>
      </c>
      <c r="E28">
        <v>39710</v>
      </c>
      <c r="F28">
        <v>39710</v>
      </c>
      <c r="G28">
        <v>39710</v>
      </c>
    </row>
    <row r="29" spans="1:7" x14ac:dyDescent="0.3">
      <c r="A29">
        <v>2017</v>
      </c>
      <c r="B29">
        <v>2.4346215308411998</v>
      </c>
      <c r="C29">
        <v>1.6030516204796901</v>
      </c>
      <c r="D29">
        <v>288944</v>
      </c>
      <c r="E29">
        <v>45295</v>
      </c>
      <c r="F29">
        <v>45295</v>
      </c>
      <c r="G29">
        <v>45295</v>
      </c>
    </row>
    <row r="30" spans="1:7" x14ac:dyDescent="0.3">
      <c r="A30">
        <v>2018</v>
      </c>
      <c r="B30">
        <v>2.4173309301930601</v>
      </c>
      <c r="C30">
        <v>1.5905160324395</v>
      </c>
      <c r="D30">
        <v>321135</v>
      </c>
      <c r="E30">
        <v>50687</v>
      </c>
      <c r="F30">
        <v>50687</v>
      </c>
      <c r="G30">
        <v>50687</v>
      </c>
    </row>
    <row r="31" spans="1:7" x14ac:dyDescent="0.3">
      <c r="A31">
        <v>2019</v>
      </c>
      <c r="B31">
        <v>2.4349102453772198</v>
      </c>
      <c r="C31">
        <v>1.58807817058698</v>
      </c>
      <c r="D31">
        <v>376411</v>
      </c>
      <c r="E31">
        <v>60196</v>
      </c>
      <c r="F31">
        <v>60196</v>
      </c>
      <c r="G31">
        <v>60196</v>
      </c>
    </row>
    <row r="32" spans="1:7" x14ac:dyDescent="0.3">
      <c r="A32">
        <v>2020</v>
      </c>
      <c r="B32">
        <v>2.4456064797242898</v>
      </c>
      <c r="C32">
        <v>1.60261518395194</v>
      </c>
      <c r="D32">
        <v>503238</v>
      </c>
      <c r="E32">
        <v>79539</v>
      </c>
      <c r="F32">
        <v>79539</v>
      </c>
      <c r="G32">
        <v>79539</v>
      </c>
    </row>
    <row r="33" spans="1:7" x14ac:dyDescent="0.3">
      <c r="A33">
        <v>2021</v>
      </c>
      <c r="B33">
        <v>2.4530119576785201</v>
      </c>
      <c r="C33">
        <v>1.60554287708304</v>
      </c>
      <c r="D33">
        <v>636841</v>
      </c>
      <c r="E33">
        <v>105271</v>
      </c>
      <c r="F33">
        <v>105271</v>
      </c>
      <c r="G33">
        <v>105271</v>
      </c>
    </row>
    <row r="34" spans="1:7" x14ac:dyDescent="0.3">
      <c r="A34">
        <v>2022</v>
      </c>
      <c r="B34">
        <v>2.4296050090008401</v>
      </c>
      <c r="C34">
        <v>1.5917090910216301</v>
      </c>
      <c r="D34">
        <v>728254</v>
      </c>
      <c r="E34">
        <v>122606</v>
      </c>
      <c r="F34">
        <v>122606</v>
      </c>
      <c r="G34">
        <v>122606</v>
      </c>
    </row>
    <row r="35" spans="1:7" x14ac:dyDescent="0.3">
      <c r="A35">
        <v>2023</v>
      </c>
      <c r="B35">
        <v>2.44014749399738</v>
      </c>
      <c r="C35">
        <v>1.5845237392844</v>
      </c>
      <c r="D35">
        <v>653607</v>
      </c>
      <c r="E35">
        <v>109684</v>
      </c>
      <c r="F35">
        <v>109684</v>
      </c>
      <c r="G35">
        <v>109684</v>
      </c>
    </row>
    <row r="36" spans="1:7" x14ac:dyDescent="0.3">
      <c r="A36">
        <v>2024</v>
      </c>
      <c r="B36">
        <v>2.4416565517582298</v>
      </c>
      <c r="C36">
        <v>1.5878938792667601</v>
      </c>
      <c r="D36">
        <v>656318</v>
      </c>
      <c r="E36">
        <v>115246</v>
      </c>
      <c r="F36">
        <v>115246</v>
      </c>
      <c r="G36">
        <v>115246</v>
      </c>
    </row>
    <row r="37" spans="1:7" x14ac:dyDescent="0.3">
      <c r="A37">
        <v>2025</v>
      </c>
      <c r="B37">
        <v>2.4506316895697098</v>
      </c>
      <c r="C37">
        <v>1.59485451843311</v>
      </c>
      <c r="D37">
        <v>513363</v>
      </c>
      <c r="E37">
        <v>99906</v>
      </c>
      <c r="F37">
        <v>99906</v>
      </c>
      <c r="G37">
        <v>99906</v>
      </c>
    </row>
    <row r="38" spans="1:7" x14ac:dyDescent="0.3">
      <c r="A38" t="s">
        <v>1</v>
      </c>
      <c r="B38">
        <f t="shared" ref="B38:G38" si="0">SUM(B2:B37)</f>
        <v>88.529133570113785</v>
      </c>
      <c r="C38">
        <f t="shared" si="0"/>
        <v>61.259771087662386</v>
      </c>
      <c r="D38">
        <f t="shared" si="0"/>
        <v>6031459</v>
      </c>
      <c r="E38">
        <f t="shared" si="0"/>
        <v>974002</v>
      </c>
      <c r="F38">
        <f t="shared" si="0"/>
        <v>974002</v>
      </c>
      <c r="G38">
        <f t="shared" si="0"/>
        <v>974002</v>
      </c>
    </row>
    <row r="39" spans="1:7" x14ac:dyDescent="0.3">
      <c r="A39" t="s">
        <v>2</v>
      </c>
      <c r="B39">
        <f>MAX(B2:B37)</f>
        <v>3.02130626412157</v>
      </c>
      <c r="C39">
        <f t="shared" ref="C39:G39" si="1">MAX(C2:C37)</f>
        <v>2.1592578064269898</v>
      </c>
      <c r="D39">
        <f t="shared" si="1"/>
        <v>728254</v>
      </c>
      <c r="E39">
        <f t="shared" si="1"/>
        <v>122606</v>
      </c>
      <c r="F39">
        <f t="shared" si="1"/>
        <v>122606</v>
      </c>
      <c r="G39">
        <f t="shared" si="1"/>
        <v>122606</v>
      </c>
    </row>
    <row r="40" spans="1:7" x14ac:dyDescent="0.3">
      <c r="A40" t="s">
        <v>3</v>
      </c>
      <c r="B40">
        <f>MIN(B2:B37)</f>
        <v>2.3500944967449602</v>
      </c>
      <c r="C40">
        <f t="shared" ref="C40:G40" si="2">MIN(C2:C37)</f>
        <v>1.5845237392844</v>
      </c>
      <c r="D40">
        <f t="shared" si="2"/>
        <v>2340</v>
      </c>
      <c r="E40">
        <f t="shared" si="2"/>
        <v>90</v>
      </c>
      <c r="F40">
        <f t="shared" si="2"/>
        <v>90</v>
      </c>
      <c r="G40">
        <f t="shared" si="2"/>
        <v>90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77DD-D425-C946-9381-1BC14D24376A}">
  <dimension ref="A1:G37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2006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 x14ac:dyDescent="0.3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>
        <v>2011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 x14ac:dyDescent="0.3">
      <c r="A24">
        <v>2012</v>
      </c>
      <c r="B24">
        <v>2.66380662008733</v>
      </c>
      <c r="C24">
        <v>1.4776705938929899</v>
      </c>
      <c r="D24">
        <v>49</v>
      </c>
      <c r="E24">
        <v>29</v>
      </c>
      <c r="F24">
        <v>29</v>
      </c>
      <c r="G24">
        <v>29</v>
      </c>
    </row>
    <row r="25" spans="1:7" x14ac:dyDescent="0.3">
      <c r="A25">
        <v>2013</v>
      </c>
      <c r="B25">
        <v>2.6930777259283998</v>
      </c>
      <c r="C25">
        <v>1.75063481008161</v>
      </c>
      <c r="D25">
        <v>595</v>
      </c>
      <c r="E25">
        <v>294</v>
      </c>
      <c r="F25">
        <v>291</v>
      </c>
      <c r="G25">
        <v>291</v>
      </c>
    </row>
    <row r="26" spans="1:7" x14ac:dyDescent="0.3">
      <c r="A26">
        <v>2014</v>
      </c>
      <c r="B26">
        <v>2.6668878281413599</v>
      </c>
      <c r="C26">
        <v>1.69910997590681</v>
      </c>
      <c r="D26">
        <v>1464</v>
      </c>
      <c r="E26">
        <v>674</v>
      </c>
      <c r="F26">
        <v>662</v>
      </c>
      <c r="G26">
        <v>662</v>
      </c>
    </row>
    <row r="27" spans="1:7" x14ac:dyDescent="0.3">
      <c r="A27">
        <v>2015</v>
      </c>
      <c r="B27">
        <v>2.61293132684697</v>
      </c>
      <c r="C27">
        <v>1.67980714961559</v>
      </c>
      <c r="D27">
        <v>2388</v>
      </c>
      <c r="E27">
        <v>1199</v>
      </c>
      <c r="F27">
        <v>1195</v>
      </c>
      <c r="G27">
        <v>1195</v>
      </c>
    </row>
    <row r="28" spans="1:7" x14ac:dyDescent="0.3">
      <c r="A28">
        <v>2016</v>
      </c>
      <c r="B28">
        <v>2.5964912491523102</v>
      </c>
      <c r="C28">
        <v>1.6756523245808099</v>
      </c>
      <c r="D28">
        <v>3060</v>
      </c>
      <c r="E28">
        <v>1566</v>
      </c>
      <c r="F28">
        <v>1551</v>
      </c>
      <c r="G28">
        <v>1551</v>
      </c>
    </row>
    <row r="29" spans="1:7" x14ac:dyDescent="0.3">
      <c r="A29">
        <v>2017</v>
      </c>
      <c r="B29">
        <v>2.6028527024468699</v>
      </c>
      <c r="C29">
        <v>1.6548974094672999</v>
      </c>
      <c r="D29">
        <v>3546</v>
      </c>
      <c r="E29">
        <v>1743</v>
      </c>
      <c r="F29">
        <v>1721</v>
      </c>
      <c r="G29">
        <v>1721</v>
      </c>
    </row>
    <row r="30" spans="1:7" x14ac:dyDescent="0.3">
      <c r="A30">
        <v>2018</v>
      </c>
      <c r="B30">
        <v>2.5492038076107701</v>
      </c>
      <c r="C30">
        <v>1.63302030210204</v>
      </c>
      <c r="D30">
        <v>3964</v>
      </c>
      <c r="E30">
        <v>1939</v>
      </c>
      <c r="F30">
        <v>1916</v>
      </c>
      <c r="G30">
        <v>1916</v>
      </c>
    </row>
    <row r="31" spans="1:7" x14ac:dyDescent="0.3">
      <c r="A31">
        <v>2019</v>
      </c>
      <c r="B31">
        <v>2.59665839354401</v>
      </c>
      <c r="C31">
        <v>1.6202363612033099</v>
      </c>
      <c r="D31">
        <v>5016</v>
      </c>
      <c r="E31">
        <v>2380</v>
      </c>
      <c r="F31">
        <v>2355</v>
      </c>
      <c r="G31">
        <v>2355</v>
      </c>
    </row>
    <row r="32" spans="1:7" x14ac:dyDescent="0.3">
      <c r="A32">
        <v>2020</v>
      </c>
      <c r="B32">
        <v>2.6674736532191901</v>
      </c>
      <c r="C32">
        <v>1.6520043233595001</v>
      </c>
      <c r="D32">
        <v>6422</v>
      </c>
      <c r="E32">
        <v>3033</v>
      </c>
      <c r="F32">
        <v>2999</v>
      </c>
      <c r="G32">
        <v>2999</v>
      </c>
    </row>
    <row r="33" spans="1:7" x14ac:dyDescent="0.3">
      <c r="A33">
        <v>2021</v>
      </c>
      <c r="B33">
        <v>2.6048428734819602</v>
      </c>
      <c r="C33">
        <v>1.6654942620240201</v>
      </c>
      <c r="D33">
        <v>7916</v>
      </c>
      <c r="E33">
        <v>3682</v>
      </c>
      <c r="F33">
        <v>3636</v>
      </c>
      <c r="G33">
        <v>3636</v>
      </c>
    </row>
    <row r="34" spans="1:7" x14ac:dyDescent="0.3">
      <c r="A34">
        <v>2022</v>
      </c>
      <c r="B34">
        <v>2.60753330335542</v>
      </c>
      <c r="C34">
        <v>1.6652610285421801</v>
      </c>
      <c r="D34">
        <v>6510</v>
      </c>
      <c r="E34">
        <v>3109</v>
      </c>
      <c r="F34">
        <v>3061</v>
      </c>
      <c r="G34">
        <v>3061</v>
      </c>
    </row>
    <row r="35" spans="1:7" x14ac:dyDescent="0.3">
      <c r="A35">
        <v>2023</v>
      </c>
      <c r="B35">
        <v>2.5454850737547301</v>
      </c>
      <c r="C35">
        <v>1.65662450315247</v>
      </c>
      <c r="D35">
        <v>5550</v>
      </c>
      <c r="E35">
        <v>2668</v>
      </c>
      <c r="F35">
        <v>2639</v>
      </c>
      <c r="G35">
        <v>2639</v>
      </c>
    </row>
    <row r="36" spans="1:7" x14ac:dyDescent="0.3">
      <c r="A36">
        <v>2024</v>
      </c>
      <c r="B36">
        <v>2.54004406090873</v>
      </c>
      <c r="C36">
        <v>1.6717359397702201</v>
      </c>
      <c r="D36">
        <v>6845</v>
      </c>
      <c r="E36">
        <v>3357</v>
      </c>
      <c r="F36">
        <v>3338</v>
      </c>
      <c r="G36">
        <v>3338</v>
      </c>
    </row>
    <row r="37" spans="1:7" x14ac:dyDescent="0.3">
      <c r="A37">
        <v>2025</v>
      </c>
      <c r="B37">
        <v>2.5309207343071298</v>
      </c>
      <c r="C37">
        <v>1.60355453251779</v>
      </c>
      <c r="D37">
        <v>5852</v>
      </c>
      <c r="E37">
        <v>2950</v>
      </c>
      <c r="F37">
        <v>2938</v>
      </c>
      <c r="G37">
        <v>2938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DE23-56B2-744F-B34F-85B8D49B110F}">
  <dimension ref="A1:G37"/>
  <sheetViews>
    <sheetView workbookViewId="0">
      <selection activeCell="J10" sqref="J10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1994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3">
      <c r="A7">
        <v>1995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</row>
    <row r="8" spans="1:7" x14ac:dyDescent="0.3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1997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</row>
    <row r="10" spans="1:7" x14ac:dyDescent="0.3">
      <c r="A10">
        <v>1998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 x14ac:dyDescent="0.3">
      <c r="A11">
        <v>1999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 x14ac:dyDescent="0.3">
      <c r="A12">
        <v>2000</v>
      </c>
      <c r="B12">
        <v>0</v>
      </c>
      <c r="C12">
        <v>0</v>
      </c>
      <c r="D12">
        <v>3</v>
      </c>
      <c r="E12">
        <v>0</v>
      </c>
      <c r="F12">
        <v>0</v>
      </c>
      <c r="G12">
        <v>0</v>
      </c>
    </row>
    <row r="13" spans="1:7" x14ac:dyDescent="0.3">
      <c r="A13">
        <v>2001</v>
      </c>
      <c r="B13">
        <v>2.1505149978319902</v>
      </c>
      <c r="C13">
        <v>2.1505149978319902</v>
      </c>
      <c r="D13">
        <v>11</v>
      </c>
      <c r="E13">
        <v>2</v>
      </c>
      <c r="F13">
        <v>2</v>
      </c>
      <c r="G13">
        <v>2</v>
      </c>
    </row>
    <row r="14" spans="1:7" x14ac:dyDescent="0.3">
      <c r="A14">
        <v>2002</v>
      </c>
      <c r="B14">
        <v>3.5</v>
      </c>
      <c r="C14">
        <v>2.6164950007226699</v>
      </c>
      <c r="D14">
        <v>17</v>
      </c>
      <c r="E14">
        <v>6</v>
      </c>
      <c r="F14">
        <v>6</v>
      </c>
      <c r="G14">
        <v>6</v>
      </c>
    </row>
    <row r="15" spans="1:7" x14ac:dyDescent="0.3">
      <c r="A15">
        <v>2003</v>
      </c>
      <c r="B15">
        <v>3.09691001300805</v>
      </c>
      <c r="C15">
        <v>3.09691001300805</v>
      </c>
      <c r="D15">
        <v>15</v>
      </c>
      <c r="E15">
        <v>1</v>
      </c>
      <c r="F15">
        <v>1</v>
      </c>
      <c r="G15">
        <v>1</v>
      </c>
    </row>
    <row r="16" spans="1:7" x14ac:dyDescent="0.3">
      <c r="A16">
        <v>2004</v>
      </c>
      <c r="B16">
        <v>1.7312733420053701</v>
      </c>
      <c r="C16">
        <v>1.35995889123642</v>
      </c>
      <c r="D16">
        <v>30</v>
      </c>
      <c r="E16">
        <v>3</v>
      </c>
      <c r="F16">
        <v>3</v>
      </c>
      <c r="G16">
        <v>3</v>
      </c>
    </row>
    <row r="17" spans="1:7" x14ac:dyDescent="0.3">
      <c r="A17">
        <v>2005</v>
      </c>
      <c r="B17">
        <v>2.2831616673893298</v>
      </c>
      <c r="C17">
        <v>1.56632333477867</v>
      </c>
      <c r="D17">
        <v>48</v>
      </c>
      <c r="E17">
        <v>6</v>
      </c>
      <c r="F17">
        <v>6</v>
      </c>
      <c r="G17">
        <v>6</v>
      </c>
    </row>
    <row r="18" spans="1:7" x14ac:dyDescent="0.3">
      <c r="A18">
        <v>2006</v>
      </c>
      <c r="B18">
        <v>2.89586073148417</v>
      </c>
      <c r="C18">
        <v>1.24383694932712</v>
      </c>
      <c r="D18">
        <v>86</v>
      </c>
      <c r="E18">
        <v>11</v>
      </c>
      <c r="F18">
        <v>10</v>
      </c>
      <c r="G18">
        <v>10</v>
      </c>
    </row>
    <row r="19" spans="1:7" x14ac:dyDescent="0.3">
      <c r="A19">
        <v>2007</v>
      </c>
      <c r="B19">
        <v>2.1092333523872999</v>
      </c>
      <c r="C19">
        <v>1.7089164306445299</v>
      </c>
      <c r="D19">
        <v>95</v>
      </c>
      <c r="E19">
        <v>13</v>
      </c>
      <c r="F19">
        <v>13</v>
      </c>
      <c r="G19">
        <v>13</v>
      </c>
    </row>
    <row r="20" spans="1:7" x14ac:dyDescent="0.3">
      <c r="A20">
        <v>2008</v>
      </c>
      <c r="B20">
        <v>2.9310826838609998</v>
      </c>
      <c r="C20">
        <v>1.8305832912365101</v>
      </c>
      <c r="D20">
        <v>160</v>
      </c>
      <c r="E20">
        <v>21</v>
      </c>
      <c r="F20">
        <v>21</v>
      </c>
      <c r="G20">
        <v>21</v>
      </c>
    </row>
    <row r="21" spans="1:7" x14ac:dyDescent="0.3">
      <c r="A21">
        <v>2009</v>
      </c>
      <c r="B21">
        <v>2.5677214958461798</v>
      </c>
      <c r="C21">
        <v>1.59393531740436</v>
      </c>
      <c r="D21">
        <v>222</v>
      </c>
      <c r="E21">
        <v>34</v>
      </c>
      <c r="F21">
        <v>32</v>
      </c>
      <c r="G21">
        <v>32</v>
      </c>
    </row>
    <row r="22" spans="1:7" x14ac:dyDescent="0.3">
      <c r="A22">
        <v>2010</v>
      </c>
      <c r="B22">
        <v>2.5971528295119199</v>
      </c>
      <c r="C22">
        <v>1.2196762508083001</v>
      </c>
      <c r="D22">
        <v>354</v>
      </c>
      <c r="E22">
        <v>57</v>
      </c>
      <c r="F22">
        <v>55</v>
      </c>
      <c r="G22">
        <v>55</v>
      </c>
    </row>
    <row r="23" spans="1:7" x14ac:dyDescent="0.3">
      <c r="A23">
        <v>2011</v>
      </c>
      <c r="B23">
        <v>2.65527220075198</v>
      </c>
      <c r="C23">
        <v>1.7006412790472101</v>
      </c>
      <c r="D23">
        <v>515</v>
      </c>
      <c r="E23">
        <v>65</v>
      </c>
      <c r="F23">
        <v>64</v>
      </c>
      <c r="G23">
        <v>64</v>
      </c>
    </row>
    <row r="24" spans="1:7" x14ac:dyDescent="0.3">
      <c r="A24">
        <v>2012</v>
      </c>
      <c r="B24">
        <v>2.5643867822944699</v>
      </c>
      <c r="C24">
        <v>1.46161638398055</v>
      </c>
      <c r="D24">
        <v>744</v>
      </c>
      <c r="E24">
        <v>118</v>
      </c>
      <c r="F24">
        <v>115</v>
      </c>
      <c r="G24">
        <v>115</v>
      </c>
    </row>
    <row r="25" spans="1:7" x14ac:dyDescent="0.3">
      <c r="A25">
        <v>2013</v>
      </c>
      <c r="B25">
        <v>2.6847053689161702</v>
      </c>
      <c r="C25">
        <v>1.47014565457055</v>
      </c>
      <c r="D25">
        <v>1178</v>
      </c>
      <c r="E25">
        <v>206</v>
      </c>
      <c r="F25">
        <v>202</v>
      </c>
      <c r="G25">
        <v>202</v>
      </c>
    </row>
    <row r="26" spans="1:7" x14ac:dyDescent="0.3">
      <c r="A26">
        <v>2014</v>
      </c>
      <c r="B26">
        <v>3.09416598117445</v>
      </c>
      <c r="C26">
        <v>1.77224815237922</v>
      </c>
      <c r="D26">
        <v>1666</v>
      </c>
      <c r="E26">
        <v>316</v>
      </c>
      <c r="F26">
        <v>310</v>
      </c>
      <c r="G26">
        <v>310</v>
      </c>
    </row>
    <row r="27" spans="1:7" x14ac:dyDescent="0.3">
      <c r="A27">
        <v>2015</v>
      </c>
      <c r="B27">
        <v>2.8237430894207201</v>
      </c>
      <c r="C27">
        <v>1.45468310781754</v>
      </c>
      <c r="D27">
        <v>2147</v>
      </c>
      <c r="E27">
        <v>456</v>
      </c>
      <c r="F27">
        <v>447</v>
      </c>
      <c r="G27">
        <v>447</v>
      </c>
    </row>
    <row r="28" spans="1:7" x14ac:dyDescent="0.3">
      <c r="A28">
        <v>2016</v>
      </c>
      <c r="B28">
        <v>2.80955143779524</v>
      </c>
      <c r="C28">
        <v>1.3327557217043899</v>
      </c>
      <c r="D28">
        <v>2652</v>
      </c>
      <c r="E28">
        <v>577</v>
      </c>
      <c r="F28">
        <v>573</v>
      </c>
      <c r="G28">
        <v>573</v>
      </c>
    </row>
    <row r="29" spans="1:7" x14ac:dyDescent="0.3">
      <c r="A29">
        <v>2017</v>
      </c>
      <c r="B29">
        <v>2.8498636315522998</v>
      </c>
      <c r="C29">
        <v>1.4600039833065599</v>
      </c>
      <c r="D29">
        <v>3157</v>
      </c>
      <c r="E29">
        <v>682</v>
      </c>
      <c r="F29">
        <v>671</v>
      </c>
      <c r="G29">
        <v>671</v>
      </c>
    </row>
    <row r="30" spans="1:7" x14ac:dyDescent="0.3">
      <c r="A30">
        <v>2018</v>
      </c>
      <c r="B30">
        <v>2.6184324049240399</v>
      </c>
      <c r="C30">
        <v>1.3573017735147599</v>
      </c>
      <c r="D30">
        <v>3460</v>
      </c>
      <c r="E30">
        <v>771</v>
      </c>
      <c r="F30">
        <v>742</v>
      </c>
      <c r="G30">
        <v>742</v>
      </c>
    </row>
    <row r="31" spans="1:7" x14ac:dyDescent="0.3">
      <c r="A31">
        <v>2019</v>
      </c>
      <c r="B31">
        <v>2.76867278721934</v>
      </c>
      <c r="C31">
        <v>1.4008292513420999</v>
      </c>
      <c r="D31">
        <v>5341</v>
      </c>
      <c r="E31">
        <v>1300</v>
      </c>
      <c r="F31">
        <v>1261</v>
      </c>
      <c r="G31">
        <v>1261</v>
      </c>
    </row>
    <row r="32" spans="1:7" x14ac:dyDescent="0.3">
      <c r="A32">
        <v>2020</v>
      </c>
      <c r="B32">
        <v>2.8150992851055801</v>
      </c>
      <c r="C32">
        <v>1.4810664735482899</v>
      </c>
      <c r="D32">
        <v>7293</v>
      </c>
      <c r="E32">
        <v>1710</v>
      </c>
      <c r="F32">
        <v>1683</v>
      </c>
      <c r="G32">
        <v>1683</v>
      </c>
    </row>
    <row r="33" spans="1:7" x14ac:dyDescent="0.3">
      <c r="A33">
        <v>2021</v>
      </c>
      <c r="B33">
        <v>2.76801042100753</v>
      </c>
      <c r="C33">
        <v>1.4254370796821201</v>
      </c>
      <c r="D33">
        <v>10296</v>
      </c>
      <c r="E33">
        <v>2433</v>
      </c>
      <c r="F33">
        <v>2395</v>
      </c>
      <c r="G33">
        <v>2395</v>
      </c>
    </row>
    <row r="34" spans="1:7" x14ac:dyDescent="0.3">
      <c r="A34">
        <v>2022</v>
      </c>
      <c r="B34">
        <v>2.83512189028749</v>
      </c>
      <c r="C34">
        <v>1.45760885708791</v>
      </c>
      <c r="D34">
        <v>13058</v>
      </c>
      <c r="E34">
        <v>3171</v>
      </c>
      <c r="F34">
        <v>3138</v>
      </c>
      <c r="G34">
        <v>3138</v>
      </c>
    </row>
    <row r="35" spans="1:7" x14ac:dyDescent="0.3">
      <c r="A35">
        <v>2023</v>
      </c>
      <c r="B35">
        <v>2.8563483363483502</v>
      </c>
      <c r="C35">
        <v>1.4393666357534201</v>
      </c>
      <c r="D35">
        <v>11272</v>
      </c>
      <c r="E35">
        <v>2863</v>
      </c>
      <c r="F35">
        <v>2821</v>
      </c>
      <c r="G35">
        <v>2821</v>
      </c>
    </row>
    <row r="36" spans="1:7" x14ac:dyDescent="0.3">
      <c r="A36">
        <v>2024</v>
      </c>
      <c r="B36">
        <v>2.8508462660855201</v>
      </c>
      <c r="C36">
        <v>1.49401183470638</v>
      </c>
      <c r="D36">
        <v>12580</v>
      </c>
      <c r="E36">
        <v>3332</v>
      </c>
      <c r="F36">
        <v>3289</v>
      </c>
      <c r="G36">
        <v>3289</v>
      </c>
    </row>
    <row r="37" spans="1:7" x14ac:dyDescent="0.3">
      <c r="A37">
        <v>2025</v>
      </c>
      <c r="B37">
        <v>2.79544145439178</v>
      </c>
      <c r="C37">
        <v>1.45560083910967</v>
      </c>
      <c r="D37">
        <v>10242</v>
      </c>
      <c r="E37">
        <v>2661</v>
      </c>
      <c r="F37">
        <v>2635</v>
      </c>
      <c r="G37">
        <v>2635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F9C1-C18F-4F8E-BB42-DEB99C787CBC}">
  <dimension ref="A1:AV37"/>
  <sheetViews>
    <sheetView tabSelected="1" zoomScale="70" zoomScaleNormal="70" workbookViewId="0">
      <selection activeCell="F1" sqref="F1:G1"/>
    </sheetView>
  </sheetViews>
  <sheetFormatPr defaultColWidth="8.77734375" defaultRowHeight="17.25" x14ac:dyDescent="0.3"/>
  <sheetData>
    <row r="1" spans="1:48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L1" t="str" cm="1">
        <f t="array" ref="L1:AV9">TRANSPOSE(A1:I37)</f>
        <v>Year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  <c r="AT1">
        <v>2023</v>
      </c>
      <c r="AU1">
        <v>2024</v>
      </c>
      <c r="AV1">
        <v>2025</v>
      </c>
    </row>
    <row r="2" spans="1:48" x14ac:dyDescent="0.3">
      <c r="A2">
        <v>1990</v>
      </c>
      <c r="B2">
        <f>RCT!B2</f>
        <v>1.57566624264542</v>
      </c>
      <c r="C2">
        <f>CT!B2</f>
        <v>1.3010299956639799</v>
      </c>
      <c r="D2">
        <f>META!B2</f>
        <v>0</v>
      </c>
      <c r="E2">
        <f>REVIEW!B2</f>
        <v>1.3010299956639799</v>
      </c>
      <c r="F2">
        <f>CCJ!B2</f>
        <v>2.6218338081623802</v>
      </c>
      <c r="G2">
        <f>ALL!B2</f>
        <v>2.5386321780319001</v>
      </c>
      <c r="H2">
        <f>OBS!B2</f>
        <v>0</v>
      </c>
      <c r="I2">
        <f>SYSREV!B2</f>
        <v>0</v>
      </c>
      <c r="L2" t="str">
        <v>Randomized controlled trial</v>
      </c>
      <c r="M2">
        <v>1.57566624264542</v>
      </c>
      <c r="N2">
        <v>2.3137868620686901</v>
      </c>
      <c r="O2">
        <v>1.9072829165387799</v>
      </c>
      <c r="P2">
        <v>2.2955143563401101</v>
      </c>
      <c r="Q2">
        <v>2.1009985327614902</v>
      </c>
      <c r="R2">
        <v>2.2534351923277698</v>
      </c>
      <c r="S2">
        <v>2.0173714513700798</v>
      </c>
      <c r="T2">
        <v>2.0281373622944399</v>
      </c>
      <c r="U2">
        <v>2.39825354291529</v>
      </c>
      <c r="V2">
        <v>2.5817853029909901</v>
      </c>
      <c r="W2">
        <v>2.0075016101853702</v>
      </c>
      <c r="X2">
        <v>1.8204935165867999</v>
      </c>
      <c r="Y2">
        <v>2.2447269022891199</v>
      </c>
      <c r="Z2">
        <v>2.1544531055793401</v>
      </c>
      <c r="AA2">
        <v>2.2569324094498602</v>
      </c>
      <c r="AB2">
        <v>2.3528851824178099</v>
      </c>
      <c r="AC2">
        <v>2.4360083678162501</v>
      </c>
      <c r="AD2">
        <v>2.2540851027883702</v>
      </c>
      <c r="AE2">
        <v>2.3180859229694102</v>
      </c>
      <c r="AF2">
        <v>2.28423361713162</v>
      </c>
      <c r="AG2">
        <v>2.3430286147016299</v>
      </c>
      <c r="AH2">
        <v>2.36041335586529</v>
      </c>
      <c r="AI2">
        <v>2.3184508366514298</v>
      </c>
      <c r="AJ2">
        <v>2.3633050432764202</v>
      </c>
      <c r="AK2">
        <v>2.3440335285667899</v>
      </c>
      <c r="AL2">
        <v>2.2907252422045699</v>
      </c>
      <c r="AM2">
        <v>2.31274331568765</v>
      </c>
      <c r="AN2">
        <v>2.2924964878229899</v>
      </c>
      <c r="AO2">
        <v>2.2913744762808901</v>
      </c>
      <c r="AP2">
        <v>2.3050945014439899</v>
      </c>
      <c r="AQ2">
        <v>2.2732438477527999</v>
      </c>
      <c r="AR2">
        <v>2.27195845992608</v>
      </c>
      <c r="AS2">
        <v>2.2393635443374902</v>
      </c>
      <c r="AT2">
        <v>2.2504084093241601</v>
      </c>
      <c r="AU2">
        <v>2.2643936296092</v>
      </c>
      <c r="AV2">
        <v>2.2871906846872099</v>
      </c>
    </row>
    <row r="3" spans="1:48" x14ac:dyDescent="0.3">
      <c r="A3">
        <v>1991</v>
      </c>
      <c r="B3">
        <f>RCT!B3</f>
        <v>2.3137868620686901</v>
      </c>
      <c r="C3">
        <f>CT!B3</f>
        <v>3.4072829165387799</v>
      </c>
      <c r="D3">
        <f>META!B3</f>
        <v>0</v>
      </c>
      <c r="E3">
        <f>REVIEW!B3</f>
        <v>2.9999999999999898</v>
      </c>
      <c r="F3">
        <f>CCJ!B3</f>
        <v>2.6454907334922302</v>
      </c>
      <c r="G3">
        <f>ALL!B3</f>
        <v>2.5613050349312001</v>
      </c>
      <c r="H3">
        <f>OBS!B3</f>
        <v>0</v>
      </c>
      <c r="I3">
        <f>SYSREV!B3</f>
        <v>0</v>
      </c>
      <c r="L3" t="str">
        <v>Clinical trial</v>
      </c>
      <c r="M3">
        <v>1.3010299956639799</v>
      </c>
      <c r="N3">
        <v>3.4072829165387799</v>
      </c>
      <c r="O3">
        <v>1.3010299956639799</v>
      </c>
      <c r="P3">
        <v>2.5660826612501699</v>
      </c>
      <c r="Q3">
        <v>2.5430042850948502</v>
      </c>
      <c r="R3">
        <v>1.8683275360492899</v>
      </c>
      <c r="S3">
        <v>2.3159054438353399</v>
      </c>
      <c r="T3">
        <v>2.6428571428571401</v>
      </c>
      <c r="U3">
        <v>2.2182557844459199</v>
      </c>
      <c r="V3">
        <v>2.2167637330286998</v>
      </c>
      <c r="W3">
        <v>2.4172440391091801</v>
      </c>
      <c r="X3">
        <v>2.22297293533292</v>
      </c>
      <c r="Y3">
        <v>2.6219670461731499</v>
      </c>
      <c r="Z3">
        <v>2.5659104695647499</v>
      </c>
      <c r="AA3">
        <v>2.4165963952054601</v>
      </c>
      <c r="AB3">
        <v>2.4867704187577999</v>
      </c>
      <c r="AC3">
        <v>2.5994456711740601</v>
      </c>
      <c r="AD3">
        <v>2.1197074270343301</v>
      </c>
      <c r="AE3">
        <v>2.4697023161057099</v>
      </c>
      <c r="AF3">
        <v>2.6643352400658098</v>
      </c>
      <c r="AG3">
        <v>2.5374016261858299</v>
      </c>
      <c r="AH3">
        <v>2.6641126330328899</v>
      </c>
      <c r="AI3">
        <v>2.5634572921260599</v>
      </c>
      <c r="AJ3">
        <v>2.4745865499761601</v>
      </c>
      <c r="AK3">
        <v>2.50044908801702</v>
      </c>
      <c r="AL3">
        <v>2.5384447237282299</v>
      </c>
      <c r="AM3">
        <v>2.7362842217735799</v>
      </c>
      <c r="AN3">
        <v>2.4498707842549998</v>
      </c>
      <c r="AO3">
        <v>2.5020951882348701</v>
      </c>
      <c r="AP3">
        <v>2.49670266299744</v>
      </c>
      <c r="AQ3">
        <v>2.5000243463970402</v>
      </c>
      <c r="AR3">
        <v>2.5273568437077398</v>
      </c>
      <c r="AS3">
        <v>2.4745696829246202</v>
      </c>
      <c r="AT3">
        <v>2.44718136451056</v>
      </c>
      <c r="AU3">
        <v>2.4171168176800601</v>
      </c>
      <c r="AV3">
        <v>2.4402457653623402</v>
      </c>
    </row>
    <row r="4" spans="1:48" x14ac:dyDescent="0.3">
      <c r="A4">
        <f>A2+2</f>
        <v>1992</v>
      </c>
      <c r="B4">
        <f>RCT!B4</f>
        <v>1.9072829165387799</v>
      </c>
      <c r="C4">
        <f>CT!B4</f>
        <v>1.3010299956639799</v>
      </c>
      <c r="D4">
        <f>META!B4</f>
        <v>0</v>
      </c>
      <c r="E4">
        <f>REVIEW!B4</f>
        <v>0</v>
      </c>
      <c r="F4">
        <f>CCJ!B4</f>
        <v>2.43706433596771</v>
      </c>
      <c r="G4">
        <f>ALL!B4</f>
        <v>2.36552151280052</v>
      </c>
      <c r="H4">
        <f>OBS!B4</f>
        <v>0</v>
      </c>
      <c r="I4">
        <f>SYSREV!B4</f>
        <v>0</v>
      </c>
      <c r="L4" t="str">
        <v>Meta-analysis</v>
      </c>
      <c r="M4">
        <v>0</v>
      </c>
      <c r="N4">
        <v>0</v>
      </c>
      <c r="O4">
        <v>0</v>
      </c>
      <c r="P4">
        <v>0</v>
      </c>
      <c r="Q4">
        <v>2.9999999999999898</v>
      </c>
      <c r="R4">
        <v>3.6989700043360099</v>
      </c>
      <c r="S4">
        <v>0</v>
      </c>
      <c r="T4">
        <v>0</v>
      </c>
      <c r="U4">
        <v>0</v>
      </c>
      <c r="V4">
        <v>0</v>
      </c>
      <c r="W4">
        <v>3.25</v>
      </c>
      <c r="X4">
        <v>1.8794240546608001</v>
      </c>
      <c r="Y4">
        <v>3.82525749891599</v>
      </c>
      <c r="Z4">
        <v>2.9247425010839998</v>
      </c>
      <c r="AA4">
        <v>1.78216461295712</v>
      </c>
      <c r="AB4">
        <v>2.1300836693740899</v>
      </c>
      <c r="AC4">
        <v>2.59094908043163</v>
      </c>
      <c r="AD4">
        <v>2.8833207853780798</v>
      </c>
      <c r="AE4">
        <v>2.2132938081303899</v>
      </c>
      <c r="AF4">
        <v>2.5366160226329399</v>
      </c>
      <c r="AG4">
        <v>3.22148858546135</v>
      </c>
      <c r="AH4">
        <v>2.65598917063391</v>
      </c>
      <c r="AI4">
        <v>2.9741741115082898</v>
      </c>
      <c r="AJ4">
        <v>2.7188467561822098</v>
      </c>
      <c r="AK4">
        <v>2.83854319177762</v>
      </c>
      <c r="AL4">
        <v>2.8412969578759699</v>
      </c>
      <c r="AM4">
        <v>2.9410803750046099</v>
      </c>
      <c r="AN4">
        <v>2.90756757510876</v>
      </c>
      <c r="AO4">
        <v>2.6794243906088901</v>
      </c>
      <c r="AP4">
        <v>2.7599489284003602</v>
      </c>
      <c r="AQ4">
        <v>2.8008768692438299</v>
      </c>
      <c r="AR4">
        <v>2.7554720665506198</v>
      </c>
      <c r="AS4">
        <v>2.8234422260583001</v>
      </c>
      <c r="AT4">
        <v>2.9016075675628401</v>
      </c>
      <c r="AU4">
        <v>2.8961826132988202</v>
      </c>
      <c r="AV4">
        <v>2.79082069698556</v>
      </c>
    </row>
    <row r="5" spans="1:48" x14ac:dyDescent="0.3">
      <c r="A5">
        <f t="shared" ref="A5:A36" si="0">A3+2</f>
        <v>1993</v>
      </c>
      <c r="B5">
        <f>RCT!B5</f>
        <v>2.2955143563401101</v>
      </c>
      <c r="C5">
        <f>CT!B5</f>
        <v>2.5660826612501699</v>
      </c>
      <c r="D5">
        <f>META!B5</f>
        <v>0</v>
      </c>
      <c r="E5">
        <f>REVIEW!B5</f>
        <v>2.6505149978319902</v>
      </c>
      <c r="F5">
        <f>CCJ!B5</f>
        <v>2.5761254434298499</v>
      </c>
      <c r="G5">
        <f>ALL!B5</f>
        <v>2.3851329224280602</v>
      </c>
      <c r="H5">
        <f>OBS!B5</f>
        <v>0</v>
      </c>
      <c r="I5">
        <f>SYSREV!B5</f>
        <v>0</v>
      </c>
      <c r="L5" t="str">
        <v>Review</v>
      </c>
      <c r="M5">
        <v>1.3010299956639799</v>
      </c>
      <c r="N5">
        <v>2.9999999999999898</v>
      </c>
      <c r="O5">
        <v>0</v>
      </c>
      <c r="P5">
        <v>2.6505149978319902</v>
      </c>
      <c r="Q5">
        <v>3.6989700043360099</v>
      </c>
      <c r="R5">
        <v>2.2218487496163499</v>
      </c>
      <c r="S5">
        <v>0</v>
      </c>
      <c r="T5">
        <v>2.1978477738928501</v>
      </c>
      <c r="U5">
        <v>3.3979400086720299</v>
      </c>
      <c r="V5">
        <v>4.5</v>
      </c>
      <c r="W5">
        <v>2.1505149978319902</v>
      </c>
      <c r="X5">
        <v>3.17429291509344</v>
      </c>
      <c r="Y5">
        <v>0</v>
      </c>
      <c r="Z5">
        <v>1.55534914874684</v>
      </c>
      <c r="AA5">
        <v>2.3121924265584601</v>
      </c>
      <c r="AB5">
        <v>3.2614393726401598</v>
      </c>
      <c r="AC5">
        <v>2.9892790030352101</v>
      </c>
      <c r="AD5">
        <v>2.2742120437467799</v>
      </c>
      <c r="AE5">
        <v>2.2233681088194999</v>
      </c>
      <c r="AF5">
        <v>2.6028028723600198</v>
      </c>
      <c r="AG5">
        <v>2.3335770479150102</v>
      </c>
      <c r="AH5">
        <v>2.8438440796978299</v>
      </c>
      <c r="AI5">
        <v>2.4606047622346501</v>
      </c>
      <c r="AJ5">
        <v>2.7285839274871502</v>
      </c>
      <c r="AK5">
        <v>2.4712433612456199</v>
      </c>
      <c r="AL5">
        <v>2.5110360465928299</v>
      </c>
      <c r="AM5">
        <v>2.65526493307638</v>
      </c>
      <c r="AN5">
        <v>2.6677197872137102</v>
      </c>
      <c r="AO5">
        <v>2.7142473573677099</v>
      </c>
      <c r="AP5">
        <v>2.74499153860158</v>
      </c>
      <c r="AQ5">
        <v>2.8523483795020899</v>
      </c>
      <c r="AR5">
        <v>2.7197640173012099</v>
      </c>
      <c r="AS5">
        <v>2.6280023792147</v>
      </c>
      <c r="AT5">
        <v>2.6340815901544601</v>
      </c>
      <c r="AU5">
        <v>2.6218507194802698</v>
      </c>
      <c r="AV5">
        <v>2.6164264253084601</v>
      </c>
    </row>
    <row r="6" spans="1:48" x14ac:dyDescent="0.3">
      <c r="A6">
        <f t="shared" si="0"/>
        <v>1994</v>
      </c>
      <c r="B6">
        <f>RCT!B6</f>
        <v>2.1009985327614902</v>
      </c>
      <c r="C6">
        <f>CT!B6</f>
        <v>2.5430042850948502</v>
      </c>
      <c r="D6">
        <f>META!B6</f>
        <v>2.9999999999999898</v>
      </c>
      <c r="E6">
        <f>REVIEW!B6</f>
        <v>3.6989700043360099</v>
      </c>
      <c r="F6">
        <f>CCJ!B6</f>
        <v>2.4427875405480899</v>
      </c>
      <c r="G6">
        <f>ALL!B6</f>
        <v>2.3928304640981501</v>
      </c>
      <c r="H6">
        <f>OBS!B6</f>
        <v>0</v>
      </c>
      <c r="I6">
        <f>SYSREV!B6</f>
        <v>0</v>
      </c>
      <c r="L6" t="str">
        <v>Core clinical journal</v>
      </c>
      <c r="M6">
        <v>2.6218338081623802</v>
      </c>
      <c r="N6">
        <v>2.6454907334922302</v>
      </c>
      <c r="O6">
        <v>2.43706433596771</v>
      </c>
      <c r="P6">
        <v>2.5761254434298499</v>
      </c>
      <c r="Q6">
        <v>2.4427875405480899</v>
      </c>
      <c r="R6">
        <v>2.51262734336657</v>
      </c>
      <c r="S6">
        <v>2.4751918917612099</v>
      </c>
      <c r="T6">
        <v>2.6203081433945101</v>
      </c>
      <c r="U6">
        <v>2.6612413988663599</v>
      </c>
      <c r="V6">
        <v>2.6896367643205399</v>
      </c>
      <c r="W6">
        <v>2.6782461805620801</v>
      </c>
      <c r="X6">
        <v>2.4578830403435301</v>
      </c>
      <c r="Y6">
        <v>2.7555474130973998</v>
      </c>
      <c r="Z6">
        <v>2.64197174170017</v>
      </c>
      <c r="AA6">
        <v>2.6025392360061499</v>
      </c>
      <c r="AB6">
        <v>2.5986754229071098</v>
      </c>
      <c r="AC6">
        <v>2.5811329052763399</v>
      </c>
      <c r="AD6">
        <v>2.7675060558904101</v>
      </c>
      <c r="AE6">
        <v>2.6950894611059</v>
      </c>
      <c r="AF6">
        <v>2.6261204359959902</v>
      </c>
      <c r="AG6">
        <v>2.5905647086835901</v>
      </c>
      <c r="AH6">
        <v>2.6015774256515698</v>
      </c>
      <c r="AI6">
        <v>2.75396606000833</v>
      </c>
      <c r="AJ6">
        <v>2.6900486886570198</v>
      </c>
      <c r="AK6">
        <v>2.5699504972844802</v>
      </c>
      <c r="AL6">
        <v>2.5921420345834898</v>
      </c>
      <c r="AM6">
        <v>2.5812142669567599</v>
      </c>
      <c r="AN6">
        <v>2.5039053618591498</v>
      </c>
      <c r="AO6">
        <v>2.51579366689253</v>
      </c>
      <c r="AP6">
        <v>2.5088377818108301</v>
      </c>
      <c r="AQ6">
        <v>2.5955137095461498</v>
      </c>
      <c r="AR6">
        <v>2.5376919857211999</v>
      </c>
      <c r="AS6">
        <v>2.55825496271807</v>
      </c>
      <c r="AT6">
        <v>2.49171328660699</v>
      </c>
      <c r="AU6">
        <v>2.5288876098210098</v>
      </c>
      <c r="AV6">
        <v>2.49669028427952</v>
      </c>
    </row>
    <row r="7" spans="1:48" x14ac:dyDescent="0.3">
      <c r="A7">
        <f t="shared" si="0"/>
        <v>1995</v>
      </c>
      <c r="B7">
        <f>RCT!B7</f>
        <v>2.2534351923277698</v>
      </c>
      <c r="C7">
        <f>CT!B7</f>
        <v>1.8683275360492899</v>
      </c>
      <c r="D7">
        <f>META!B7</f>
        <v>3.6989700043360099</v>
      </c>
      <c r="E7">
        <f>REVIEW!B7</f>
        <v>2.2218487496163499</v>
      </c>
      <c r="F7">
        <f>CCJ!B7</f>
        <v>2.51262734336657</v>
      </c>
      <c r="G7">
        <f>ALL!B7</f>
        <v>2.3500944967449602</v>
      </c>
      <c r="H7">
        <f>OBS!B7</f>
        <v>0</v>
      </c>
      <c r="I7">
        <f>SYSREV!B7</f>
        <v>0</v>
      </c>
      <c r="L7" t="str">
        <v>All MEDLINE</v>
      </c>
      <c r="M7">
        <v>2.5386321780319001</v>
      </c>
      <c r="N7">
        <v>2.5613050349312001</v>
      </c>
      <c r="O7">
        <v>2.36552151280052</v>
      </c>
      <c r="P7">
        <v>2.3851329224280602</v>
      </c>
      <c r="Q7">
        <v>2.3928304640981501</v>
      </c>
      <c r="R7">
        <v>2.3500944967449602</v>
      </c>
      <c r="S7">
        <v>2.4463872423935702</v>
      </c>
      <c r="T7">
        <v>2.4178074694179399</v>
      </c>
      <c r="U7">
        <v>2.5323582674161398</v>
      </c>
      <c r="V7">
        <v>3.02130626412157</v>
      </c>
      <c r="W7">
        <v>2.4387308780071</v>
      </c>
      <c r="X7">
        <v>2.3922268234829298</v>
      </c>
      <c r="Y7">
        <v>2.47127517829384</v>
      </c>
      <c r="Z7">
        <v>2.4538294459098799</v>
      </c>
      <c r="AA7">
        <v>2.4639881674923099</v>
      </c>
      <c r="AB7">
        <v>2.4362354619019801</v>
      </c>
      <c r="AC7">
        <v>2.46249001155689</v>
      </c>
      <c r="AD7">
        <v>2.46496066224501</v>
      </c>
      <c r="AE7">
        <v>2.45352538176141</v>
      </c>
      <c r="AF7">
        <v>2.4878623733151701</v>
      </c>
      <c r="AG7">
        <v>2.44150410341337</v>
      </c>
      <c r="AH7">
        <v>2.4713392260827001</v>
      </c>
      <c r="AI7">
        <v>2.4091119812934698</v>
      </c>
      <c r="AJ7">
        <v>2.4180170268170702</v>
      </c>
      <c r="AK7">
        <v>2.4104318924191599</v>
      </c>
      <c r="AL7">
        <v>2.4533365871231498</v>
      </c>
      <c r="AM7">
        <v>2.4413706284738699</v>
      </c>
      <c r="AN7">
        <v>2.4346215308411998</v>
      </c>
      <c r="AO7">
        <v>2.4173309301930601</v>
      </c>
      <c r="AP7">
        <v>2.4349102453772198</v>
      </c>
      <c r="AQ7">
        <v>2.4456064797242898</v>
      </c>
      <c r="AR7">
        <v>2.4530119576785201</v>
      </c>
      <c r="AS7">
        <v>2.4296050090008401</v>
      </c>
      <c r="AT7">
        <v>2.44014749399738</v>
      </c>
      <c r="AU7">
        <v>2.4416565517582298</v>
      </c>
      <c r="AV7">
        <v>2.4506316895697098</v>
      </c>
    </row>
    <row r="8" spans="1:48" x14ac:dyDescent="0.3">
      <c r="A8">
        <f t="shared" si="0"/>
        <v>1996</v>
      </c>
      <c r="B8">
        <f>RCT!B8</f>
        <v>2.0173714513700798</v>
      </c>
      <c r="C8">
        <f>CT!B8</f>
        <v>2.3159054438353399</v>
      </c>
      <c r="D8">
        <f>META!B8</f>
        <v>0</v>
      </c>
      <c r="E8">
        <f>REVIEW!B8</f>
        <v>0</v>
      </c>
      <c r="F8">
        <f>CCJ!B8</f>
        <v>2.4751918917612099</v>
      </c>
      <c r="G8">
        <f>ALL!B8</f>
        <v>2.4463872423935702</v>
      </c>
      <c r="H8">
        <f>OBS!B8</f>
        <v>0</v>
      </c>
      <c r="I8">
        <f>SYSREV!B8</f>
        <v>0</v>
      </c>
      <c r="L8" t="str">
        <v>Observational_Study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2.66380662008733</v>
      </c>
      <c r="AJ8">
        <v>2.6930777259283998</v>
      </c>
      <c r="AK8">
        <v>2.6668878281413599</v>
      </c>
      <c r="AL8">
        <v>2.61293132684697</v>
      </c>
      <c r="AM8">
        <v>2.5964912491523102</v>
      </c>
      <c r="AN8">
        <v>2.6028527024468699</v>
      </c>
      <c r="AO8">
        <v>2.5492038076107701</v>
      </c>
      <c r="AP8">
        <v>2.59665839354401</v>
      </c>
      <c r="AQ8">
        <v>2.6674736532191901</v>
      </c>
      <c r="AR8">
        <v>2.6048428734819602</v>
      </c>
      <c r="AS8">
        <v>2.60753330335542</v>
      </c>
      <c r="AT8">
        <v>2.5454850737547301</v>
      </c>
      <c r="AU8">
        <v>2.54004406090873</v>
      </c>
      <c r="AV8">
        <v>2.5309207343071298</v>
      </c>
    </row>
    <row r="9" spans="1:48" x14ac:dyDescent="0.3">
      <c r="A9">
        <f t="shared" si="0"/>
        <v>1997</v>
      </c>
      <c r="B9">
        <f>RCT!B9</f>
        <v>2.0281373622944399</v>
      </c>
      <c r="C9">
        <f>CT!B9</f>
        <v>2.6428571428571401</v>
      </c>
      <c r="D9">
        <f>META!B9</f>
        <v>0</v>
      </c>
      <c r="E9">
        <f>REVIEW!B9</f>
        <v>2.1978477738928501</v>
      </c>
      <c r="F9">
        <f>CCJ!B9</f>
        <v>2.6203081433945101</v>
      </c>
      <c r="G9">
        <f>ALL!B9</f>
        <v>2.4178074694179399</v>
      </c>
      <c r="H9">
        <f>OBS!B9</f>
        <v>0</v>
      </c>
      <c r="I9">
        <f>SYSREV!B9</f>
        <v>0</v>
      </c>
      <c r="L9" t="str">
        <v>Systematical_review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2.1505149978319902</v>
      </c>
      <c r="Y9">
        <v>3.5</v>
      </c>
      <c r="Z9">
        <v>3.09691001300805</v>
      </c>
      <c r="AA9">
        <v>1.7312733420053701</v>
      </c>
      <c r="AB9">
        <v>2.2831616673893298</v>
      </c>
      <c r="AC9">
        <v>2.89586073148417</v>
      </c>
      <c r="AD9">
        <v>2.1092333523872999</v>
      </c>
      <c r="AE9">
        <v>2.9310826838609998</v>
      </c>
      <c r="AF9">
        <v>2.5677214958461798</v>
      </c>
      <c r="AG9">
        <v>2.5971528295119199</v>
      </c>
      <c r="AH9">
        <v>2.65527220075198</v>
      </c>
      <c r="AI9">
        <v>2.5643867822944699</v>
      </c>
      <c r="AJ9">
        <v>2.6847053689161702</v>
      </c>
      <c r="AK9">
        <v>3.09416598117445</v>
      </c>
      <c r="AL9">
        <v>2.8237430894207201</v>
      </c>
      <c r="AM9">
        <v>2.80955143779524</v>
      </c>
      <c r="AN9">
        <v>2.8498636315522998</v>
      </c>
      <c r="AO9">
        <v>2.6184324049240399</v>
      </c>
      <c r="AP9">
        <v>2.76867278721934</v>
      </c>
      <c r="AQ9">
        <v>2.8150992851055801</v>
      </c>
      <c r="AR9">
        <v>2.76801042100753</v>
      </c>
      <c r="AS9">
        <v>2.83512189028749</v>
      </c>
      <c r="AT9">
        <v>2.8563483363483502</v>
      </c>
      <c r="AU9">
        <v>2.8508462660855201</v>
      </c>
      <c r="AV9">
        <v>2.79544145439178</v>
      </c>
    </row>
    <row r="10" spans="1:48" x14ac:dyDescent="0.3">
      <c r="A10">
        <f t="shared" si="0"/>
        <v>1998</v>
      </c>
      <c r="B10">
        <f>RCT!B10</f>
        <v>2.39825354291529</v>
      </c>
      <c r="C10">
        <f>CT!B10</f>
        <v>2.2182557844459199</v>
      </c>
      <c r="D10">
        <f>META!B10</f>
        <v>0</v>
      </c>
      <c r="E10">
        <f>REVIEW!B10</f>
        <v>3.3979400086720299</v>
      </c>
      <c r="F10">
        <f>CCJ!B10</f>
        <v>2.6612413988663599</v>
      </c>
      <c r="G10">
        <f>ALL!B10</f>
        <v>2.5323582674161398</v>
      </c>
      <c r="H10">
        <f>OBS!B10</f>
        <v>0</v>
      </c>
      <c r="I10">
        <f>SYSREV!B10</f>
        <v>0</v>
      </c>
    </row>
    <row r="11" spans="1:48" x14ac:dyDescent="0.3">
      <c r="A11">
        <f t="shared" si="0"/>
        <v>1999</v>
      </c>
      <c r="B11">
        <f>RCT!B11</f>
        <v>2.5817853029909901</v>
      </c>
      <c r="C11">
        <f>CT!B11</f>
        <v>2.2167637330286998</v>
      </c>
      <c r="D11">
        <f>META!B11</f>
        <v>0</v>
      </c>
      <c r="E11">
        <f>REVIEW!B11</f>
        <v>4.5</v>
      </c>
      <c r="F11">
        <f>CCJ!B11</f>
        <v>2.6896367643205399</v>
      </c>
      <c r="G11">
        <f>ALL!B11</f>
        <v>3.02130626412157</v>
      </c>
      <c r="H11">
        <f>OBS!B11</f>
        <v>0</v>
      </c>
      <c r="I11">
        <f>SYSREV!B11</f>
        <v>0</v>
      </c>
    </row>
    <row r="12" spans="1:48" x14ac:dyDescent="0.3">
      <c r="A12">
        <f t="shared" si="0"/>
        <v>2000</v>
      </c>
      <c r="B12">
        <f>RCT!B12</f>
        <v>2.0075016101853702</v>
      </c>
      <c r="C12">
        <f>CT!B12</f>
        <v>2.4172440391091801</v>
      </c>
      <c r="D12">
        <f>META!B12</f>
        <v>3.25</v>
      </c>
      <c r="E12">
        <f>REVIEW!B12</f>
        <v>2.1505149978319902</v>
      </c>
      <c r="F12">
        <f>CCJ!B12</f>
        <v>2.6782461805620801</v>
      </c>
      <c r="G12">
        <f>ALL!B12</f>
        <v>2.4387308780071</v>
      </c>
      <c r="H12">
        <f>OBS!B12</f>
        <v>0</v>
      </c>
      <c r="I12">
        <f>SYSREV!B12</f>
        <v>0</v>
      </c>
    </row>
    <row r="13" spans="1:48" x14ac:dyDescent="0.3">
      <c r="A13">
        <f t="shared" si="0"/>
        <v>2001</v>
      </c>
      <c r="B13">
        <f>RCT!B13</f>
        <v>1.8204935165867999</v>
      </c>
      <c r="C13">
        <f>CT!B13</f>
        <v>2.22297293533292</v>
      </c>
      <c r="D13">
        <f>META!B13</f>
        <v>1.8794240546608001</v>
      </c>
      <c r="E13">
        <f>REVIEW!B13</f>
        <v>3.17429291509344</v>
      </c>
      <c r="F13">
        <f>CCJ!B13</f>
        <v>2.4578830403435301</v>
      </c>
      <c r="G13">
        <f>ALL!B13</f>
        <v>2.3922268234829298</v>
      </c>
      <c r="H13">
        <f>OBS!B13</f>
        <v>0</v>
      </c>
      <c r="I13">
        <f>SYSREV!B13</f>
        <v>2.1505149978319902</v>
      </c>
    </row>
    <row r="14" spans="1:48" x14ac:dyDescent="0.3">
      <c r="A14">
        <f t="shared" si="0"/>
        <v>2002</v>
      </c>
      <c r="B14">
        <f>RCT!B14</f>
        <v>2.2447269022891199</v>
      </c>
      <c r="C14">
        <f>CT!B14</f>
        <v>2.6219670461731499</v>
      </c>
      <c r="D14">
        <f>META!B14</f>
        <v>3.82525749891599</v>
      </c>
      <c r="E14">
        <f>REVIEW!B14</f>
        <v>0</v>
      </c>
      <c r="F14">
        <f>CCJ!B14</f>
        <v>2.7555474130973998</v>
      </c>
      <c r="G14">
        <f>ALL!B14</f>
        <v>2.47127517829384</v>
      </c>
      <c r="H14">
        <f>OBS!B14</f>
        <v>0</v>
      </c>
      <c r="I14">
        <f>SYSREV!B14</f>
        <v>3.5</v>
      </c>
    </row>
    <row r="15" spans="1:48" x14ac:dyDescent="0.3">
      <c r="A15">
        <f t="shared" si="0"/>
        <v>2003</v>
      </c>
      <c r="B15">
        <f>RCT!B15</f>
        <v>2.1544531055793401</v>
      </c>
      <c r="C15">
        <f>CT!B15</f>
        <v>2.5659104695647499</v>
      </c>
      <c r="D15">
        <f>META!B15</f>
        <v>2.9247425010839998</v>
      </c>
      <c r="E15">
        <f>REVIEW!B15</f>
        <v>1.55534914874684</v>
      </c>
      <c r="F15">
        <f>CCJ!B15</f>
        <v>2.64197174170017</v>
      </c>
      <c r="G15">
        <f>ALL!B15</f>
        <v>2.4538294459098799</v>
      </c>
      <c r="H15">
        <f>OBS!B15</f>
        <v>0</v>
      </c>
      <c r="I15">
        <f>SYSREV!B15</f>
        <v>3.09691001300805</v>
      </c>
    </row>
    <row r="16" spans="1:48" x14ac:dyDescent="0.3">
      <c r="A16">
        <f t="shared" si="0"/>
        <v>2004</v>
      </c>
      <c r="B16">
        <f>RCT!B16</f>
        <v>2.2569324094498602</v>
      </c>
      <c r="C16">
        <f>CT!B16</f>
        <v>2.4165963952054601</v>
      </c>
      <c r="D16">
        <f>META!B16</f>
        <v>1.78216461295712</v>
      </c>
      <c r="E16">
        <f>REVIEW!B16</f>
        <v>2.3121924265584601</v>
      </c>
      <c r="F16">
        <f>CCJ!B16</f>
        <v>2.6025392360061499</v>
      </c>
      <c r="G16">
        <f>ALL!B16</f>
        <v>2.4639881674923099</v>
      </c>
      <c r="H16">
        <f>OBS!B16</f>
        <v>0</v>
      </c>
      <c r="I16">
        <f>SYSREV!B16</f>
        <v>1.7312733420053701</v>
      </c>
    </row>
    <row r="17" spans="1:9" x14ac:dyDescent="0.3">
      <c r="A17">
        <f t="shared" si="0"/>
        <v>2005</v>
      </c>
      <c r="B17">
        <f>RCT!B17</f>
        <v>2.3528851824178099</v>
      </c>
      <c r="C17">
        <f>CT!B17</f>
        <v>2.4867704187577999</v>
      </c>
      <c r="D17">
        <f>META!B17</f>
        <v>2.1300836693740899</v>
      </c>
      <c r="E17">
        <f>REVIEW!B17</f>
        <v>3.2614393726401598</v>
      </c>
      <c r="F17">
        <f>CCJ!B17</f>
        <v>2.5986754229071098</v>
      </c>
      <c r="G17">
        <f>ALL!B17</f>
        <v>2.4362354619019801</v>
      </c>
      <c r="H17">
        <f>OBS!B17</f>
        <v>0</v>
      </c>
      <c r="I17">
        <f>SYSREV!B17</f>
        <v>2.2831616673893298</v>
      </c>
    </row>
    <row r="18" spans="1:9" x14ac:dyDescent="0.3">
      <c r="A18">
        <f t="shared" si="0"/>
        <v>2006</v>
      </c>
      <c r="B18">
        <f>RCT!B18</f>
        <v>2.4360083678162501</v>
      </c>
      <c r="C18">
        <f>CT!B18</f>
        <v>2.5994456711740601</v>
      </c>
      <c r="D18">
        <f>META!B18</f>
        <v>2.59094908043163</v>
      </c>
      <c r="E18">
        <f>REVIEW!B18</f>
        <v>2.9892790030352101</v>
      </c>
      <c r="F18">
        <f>CCJ!B18</f>
        <v>2.5811329052763399</v>
      </c>
      <c r="G18">
        <f>ALL!B18</f>
        <v>2.46249001155689</v>
      </c>
      <c r="H18">
        <f>OBS!B18</f>
        <v>0</v>
      </c>
      <c r="I18">
        <f>SYSREV!B18</f>
        <v>2.89586073148417</v>
      </c>
    </row>
    <row r="19" spans="1:9" x14ac:dyDescent="0.3">
      <c r="A19">
        <f t="shared" si="0"/>
        <v>2007</v>
      </c>
      <c r="B19">
        <f>RCT!B19</f>
        <v>2.2540851027883702</v>
      </c>
      <c r="C19">
        <f>CT!B19</f>
        <v>2.1197074270343301</v>
      </c>
      <c r="D19">
        <f>META!B19</f>
        <v>2.8833207853780798</v>
      </c>
      <c r="E19">
        <f>REVIEW!B19</f>
        <v>2.2742120437467799</v>
      </c>
      <c r="F19">
        <f>CCJ!B19</f>
        <v>2.7675060558904101</v>
      </c>
      <c r="G19">
        <f>ALL!B19</f>
        <v>2.46496066224501</v>
      </c>
      <c r="H19">
        <f>OBS!B19</f>
        <v>0</v>
      </c>
      <c r="I19">
        <f>SYSREV!B19</f>
        <v>2.1092333523872999</v>
      </c>
    </row>
    <row r="20" spans="1:9" x14ac:dyDescent="0.3">
      <c r="A20">
        <f t="shared" si="0"/>
        <v>2008</v>
      </c>
      <c r="B20">
        <f>RCT!B20</f>
        <v>2.3180859229694102</v>
      </c>
      <c r="C20">
        <f>CT!B20</f>
        <v>2.4697023161057099</v>
      </c>
      <c r="D20">
        <f>META!B20</f>
        <v>2.2132938081303899</v>
      </c>
      <c r="E20">
        <f>REVIEW!B20</f>
        <v>2.2233681088194999</v>
      </c>
      <c r="F20">
        <f>CCJ!B20</f>
        <v>2.6950894611059</v>
      </c>
      <c r="G20">
        <f>ALL!B20</f>
        <v>2.45352538176141</v>
      </c>
      <c r="H20">
        <f>OBS!B20</f>
        <v>0</v>
      </c>
      <c r="I20">
        <f>SYSREV!B20</f>
        <v>2.9310826838609998</v>
      </c>
    </row>
    <row r="21" spans="1:9" x14ac:dyDescent="0.3">
      <c r="A21">
        <f t="shared" si="0"/>
        <v>2009</v>
      </c>
      <c r="B21">
        <f>RCT!B21</f>
        <v>2.28423361713162</v>
      </c>
      <c r="C21">
        <f>CT!B21</f>
        <v>2.6643352400658098</v>
      </c>
      <c r="D21">
        <f>META!B21</f>
        <v>2.5366160226329399</v>
      </c>
      <c r="E21">
        <f>REVIEW!B21</f>
        <v>2.6028028723600198</v>
      </c>
      <c r="F21">
        <f>CCJ!B21</f>
        <v>2.6261204359959902</v>
      </c>
      <c r="G21">
        <f>ALL!B21</f>
        <v>2.4878623733151701</v>
      </c>
      <c r="H21">
        <f>OBS!B21</f>
        <v>0</v>
      </c>
      <c r="I21">
        <f>SYSREV!B21</f>
        <v>2.5677214958461798</v>
      </c>
    </row>
    <row r="22" spans="1:9" x14ac:dyDescent="0.3">
      <c r="A22">
        <f t="shared" si="0"/>
        <v>2010</v>
      </c>
      <c r="B22">
        <f>RCT!B22</f>
        <v>2.3430286147016299</v>
      </c>
      <c r="C22">
        <f>CT!B22</f>
        <v>2.5374016261858299</v>
      </c>
      <c r="D22">
        <f>META!B22</f>
        <v>3.22148858546135</v>
      </c>
      <c r="E22">
        <f>REVIEW!B22</f>
        <v>2.3335770479150102</v>
      </c>
      <c r="F22">
        <f>CCJ!B22</f>
        <v>2.5905647086835901</v>
      </c>
      <c r="G22">
        <f>ALL!B22</f>
        <v>2.44150410341337</v>
      </c>
      <c r="H22">
        <f>OBS!B22</f>
        <v>0</v>
      </c>
      <c r="I22">
        <f>SYSREV!B22</f>
        <v>2.5971528295119199</v>
      </c>
    </row>
    <row r="23" spans="1:9" x14ac:dyDescent="0.3">
      <c r="A23">
        <f t="shared" si="0"/>
        <v>2011</v>
      </c>
      <c r="B23">
        <f>RCT!B23</f>
        <v>2.36041335586529</v>
      </c>
      <c r="C23">
        <f>CT!B23</f>
        <v>2.6641126330328899</v>
      </c>
      <c r="D23">
        <f>META!B23</f>
        <v>2.65598917063391</v>
      </c>
      <c r="E23">
        <f>REVIEW!B23</f>
        <v>2.8438440796978299</v>
      </c>
      <c r="F23">
        <f>CCJ!B23</f>
        <v>2.6015774256515698</v>
      </c>
      <c r="G23">
        <f>ALL!B23</f>
        <v>2.4713392260827001</v>
      </c>
      <c r="H23">
        <f>OBS!B23</f>
        <v>0</v>
      </c>
      <c r="I23">
        <f>SYSREV!B23</f>
        <v>2.65527220075198</v>
      </c>
    </row>
    <row r="24" spans="1:9" x14ac:dyDescent="0.3">
      <c r="A24">
        <f>A22+2</f>
        <v>2012</v>
      </c>
      <c r="B24">
        <f>RCT!B24</f>
        <v>2.3184508366514298</v>
      </c>
      <c r="C24">
        <f>CT!B24</f>
        <v>2.5634572921260599</v>
      </c>
      <c r="D24">
        <f>META!B24</f>
        <v>2.9741741115082898</v>
      </c>
      <c r="E24">
        <f>REVIEW!B24</f>
        <v>2.4606047622346501</v>
      </c>
      <c r="F24">
        <f>CCJ!B24</f>
        <v>2.75396606000833</v>
      </c>
      <c r="G24">
        <f>ALL!B24</f>
        <v>2.4091119812934698</v>
      </c>
      <c r="H24">
        <f>OBS!B24</f>
        <v>2.66380662008733</v>
      </c>
      <c r="I24">
        <f>SYSREV!B24</f>
        <v>2.5643867822944699</v>
      </c>
    </row>
    <row r="25" spans="1:9" x14ac:dyDescent="0.3">
      <c r="A25">
        <f t="shared" si="0"/>
        <v>2013</v>
      </c>
      <c r="B25">
        <f>RCT!B25</f>
        <v>2.3633050432764202</v>
      </c>
      <c r="C25">
        <f>CT!B25</f>
        <v>2.4745865499761601</v>
      </c>
      <c r="D25">
        <f>META!B25</f>
        <v>2.7188467561822098</v>
      </c>
      <c r="E25">
        <f>REVIEW!B25</f>
        <v>2.7285839274871502</v>
      </c>
      <c r="F25">
        <f>CCJ!B25</f>
        <v>2.6900486886570198</v>
      </c>
      <c r="G25">
        <f>ALL!B25</f>
        <v>2.4180170268170702</v>
      </c>
      <c r="H25">
        <f>OBS!B25</f>
        <v>2.6930777259283998</v>
      </c>
      <c r="I25">
        <f>SYSREV!B25</f>
        <v>2.6847053689161702</v>
      </c>
    </row>
    <row r="26" spans="1:9" x14ac:dyDescent="0.3">
      <c r="A26">
        <f t="shared" si="0"/>
        <v>2014</v>
      </c>
      <c r="B26">
        <f>RCT!B26</f>
        <v>2.3440335285667899</v>
      </c>
      <c r="C26">
        <f>CT!B26</f>
        <v>2.50044908801702</v>
      </c>
      <c r="D26">
        <f>META!B26</f>
        <v>2.83854319177762</v>
      </c>
      <c r="E26">
        <f>REVIEW!B26</f>
        <v>2.4712433612456199</v>
      </c>
      <c r="F26">
        <f>CCJ!B26</f>
        <v>2.5699504972844802</v>
      </c>
      <c r="G26">
        <f>ALL!B26</f>
        <v>2.4104318924191599</v>
      </c>
      <c r="H26">
        <f>OBS!B26</f>
        <v>2.6668878281413599</v>
      </c>
      <c r="I26">
        <f>SYSREV!B26</f>
        <v>3.09416598117445</v>
      </c>
    </row>
    <row r="27" spans="1:9" x14ac:dyDescent="0.3">
      <c r="A27">
        <f t="shared" si="0"/>
        <v>2015</v>
      </c>
      <c r="B27">
        <f>RCT!B27</f>
        <v>2.2907252422045699</v>
      </c>
      <c r="C27">
        <f>CT!B27</f>
        <v>2.5384447237282299</v>
      </c>
      <c r="D27">
        <f>META!B27</f>
        <v>2.8412969578759699</v>
      </c>
      <c r="E27">
        <f>REVIEW!B27</f>
        <v>2.5110360465928299</v>
      </c>
      <c r="F27">
        <f>CCJ!B27</f>
        <v>2.5921420345834898</v>
      </c>
      <c r="G27">
        <f>ALL!B27</f>
        <v>2.4533365871231498</v>
      </c>
      <c r="H27">
        <f>OBS!B27</f>
        <v>2.61293132684697</v>
      </c>
      <c r="I27">
        <f>SYSREV!B27</f>
        <v>2.8237430894207201</v>
      </c>
    </row>
    <row r="28" spans="1:9" x14ac:dyDescent="0.3">
      <c r="A28">
        <f t="shared" si="0"/>
        <v>2016</v>
      </c>
      <c r="B28">
        <f>RCT!B28</f>
        <v>2.31274331568765</v>
      </c>
      <c r="C28">
        <f>CT!B28</f>
        <v>2.7362842217735799</v>
      </c>
      <c r="D28">
        <f>META!B28</f>
        <v>2.9410803750046099</v>
      </c>
      <c r="E28">
        <f>REVIEW!B28</f>
        <v>2.65526493307638</v>
      </c>
      <c r="F28">
        <f>CCJ!B28</f>
        <v>2.5812142669567599</v>
      </c>
      <c r="G28">
        <f>ALL!B28</f>
        <v>2.4413706284738699</v>
      </c>
      <c r="H28">
        <f>OBS!B28</f>
        <v>2.5964912491523102</v>
      </c>
      <c r="I28">
        <f>SYSREV!B28</f>
        <v>2.80955143779524</v>
      </c>
    </row>
    <row r="29" spans="1:9" x14ac:dyDescent="0.3">
      <c r="A29">
        <f t="shared" si="0"/>
        <v>2017</v>
      </c>
      <c r="B29">
        <f>RCT!B29</f>
        <v>2.2924964878229899</v>
      </c>
      <c r="C29">
        <f>CT!B29</f>
        <v>2.4498707842549998</v>
      </c>
      <c r="D29">
        <f>META!B29</f>
        <v>2.90756757510876</v>
      </c>
      <c r="E29">
        <f>REVIEW!B29</f>
        <v>2.6677197872137102</v>
      </c>
      <c r="F29">
        <f>CCJ!B29</f>
        <v>2.5039053618591498</v>
      </c>
      <c r="G29">
        <f>ALL!B29</f>
        <v>2.4346215308411998</v>
      </c>
      <c r="H29">
        <f>OBS!B29</f>
        <v>2.6028527024468699</v>
      </c>
      <c r="I29">
        <f>SYSREV!B29</f>
        <v>2.8498636315522998</v>
      </c>
    </row>
    <row r="30" spans="1:9" x14ac:dyDescent="0.3">
      <c r="A30">
        <f t="shared" si="0"/>
        <v>2018</v>
      </c>
      <c r="B30">
        <f>RCT!B30</f>
        <v>2.2913744762808901</v>
      </c>
      <c r="C30">
        <f>CT!B30</f>
        <v>2.5020951882348701</v>
      </c>
      <c r="D30">
        <f>META!B30</f>
        <v>2.6794243906088901</v>
      </c>
      <c r="E30">
        <f>REVIEW!B30</f>
        <v>2.7142473573677099</v>
      </c>
      <c r="F30">
        <f>CCJ!B30</f>
        <v>2.51579366689253</v>
      </c>
      <c r="G30">
        <f>ALL!B30</f>
        <v>2.4173309301930601</v>
      </c>
      <c r="H30">
        <f>OBS!B30</f>
        <v>2.5492038076107701</v>
      </c>
      <c r="I30">
        <f>SYSREV!B30</f>
        <v>2.6184324049240399</v>
      </c>
    </row>
    <row r="31" spans="1:9" x14ac:dyDescent="0.3">
      <c r="A31">
        <f t="shared" si="0"/>
        <v>2019</v>
      </c>
      <c r="B31">
        <f>RCT!B31</f>
        <v>2.3050945014439899</v>
      </c>
      <c r="C31">
        <f>CT!B31</f>
        <v>2.49670266299744</v>
      </c>
      <c r="D31">
        <f>META!B31</f>
        <v>2.7599489284003602</v>
      </c>
      <c r="E31">
        <f>REVIEW!B31</f>
        <v>2.74499153860158</v>
      </c>
      <c r="F31">
        <f>CCJ!B31</f>
        <v>2.5088377818108301</v>
      </c>
      <c r="G31">
        <f>ALL!B31</f>
        <v>2.4349102453772198</v>
      </c>
      <c r="H31">
        <f>OBS!B31</f>
        <v>2.59665839354401</v>
      </c>
      <c r="I31">
        <f>SYSREV!B31</f>
        <v>2.76867278721934</v>
      </c>
    </row>
    <row r="32" spans="1:9" x14ac:dyDescent="0.3">
      <c r="A32">
        <f t="shared" si="0"/>
        <v>2020</v>
      </c>
      <c r="B32">
        <f>RCT!B32</f>
        <v>2.2732438477527999</v>
      </c>
      <c r="C32">
        <f>CT!B32</f>
        <v>2.5000243463970402</v>
      </c>
      <c r="D32">
        <f>META!B32</f>
        <v>2.8008768692438299</v>
      </c>
      <c r="E32">
        <f>REVIEW!B32</f>
        <v>2.8523483795020899</v>
      </c>
      <c r="F32">
        <f>CCJ!B32</f>
        <v>2.5955137095461498</v>
      </c>
      <c r="G32">
        <f>ALL!B32</f>
        <v>2.4456064797242898</v>
      </c>
      <c r="H32">
        <f>OBS!B32</f>
        <v>2.6674736532191901</v>
      </c>
      <c r="I32">
        <f>SYSREV!B32</f>
        <v>2.8150992851055801</v>
      </c>
    </row>
    <row r="33" spans="1:9" x14ac:dyDescent="0.3">
      <c r="A33">
        <f t="shared" si="0"/>
        <v>2021</v>
      </c>
      <c r="B33">
        <f>RCT!B33</f>
        <v>2.27195845992608</v>
      </c>
      <c r="C33">
        <f>CT!B33</f>
        <v>2.5273568437077398</v>
      </c>
      <c r="D33">
        <f>META!B33</f>
        <v>2.7554720665506198</v>
      </c>
      <c r="E33">
        <f>REVIEW!B33</f>
        <v>2.7197640173012099</v>
      </c>
      <c r="F33">
        <f>CCJ!B33</f>
        <v>2.5376919857211999</v>
      </c>
      <c r="G33">
        <f>ALL!B33</f>
        <v>2.4530119576785201</v>
      </c>
      <c r="H33">
        <f>OBS!B33</f>
        <v>2.6048428734819602</v>
      </c>
      <c r="I33">
        <f>SYSREV!B33</f>
        <v>2.76801042100753</v>
      </c>
    </row>
    <row r="34" spans="1:9" x14ac:dyDescent="0.3">
      <c r="A34">
        <f t="shared" si="0"/>
        <v>2022</v>
      </c>
      <c r="B34">
        <f>RCT!B34</f>
        <v>2.2393635443374902</v>
      </c>
      <c r="C34">
        <f>CT!B34</f>
        <v>2.4745696829246202</v>
      </c>
      <c r="D34">
        <f>META!B34</f>
        <v>2.8234422260583001</v>
      </c>
      <c r="E34">
        <f>REVIEW!B34</f>
        <v>2.6280023792147</v>
      </c>
      <c r="F34">
        <f>CCJ!B34</f>
        <v>2.55825496271807</v>
      </c>
      <c r="G34">
        <f>ALL!B34</f>
        <v>2.4296050090008401</v>
      </c>
      <c r="H34">
        <f>OBS!B34</f>
        <v>2.60753330335542</v>
      </c>
      <c r="I34">
        <f>SYSREV!B34</f>
        <v>2.83512189028749</v>
      </c>
    </row>
    <row r="35" spans="1:9" x14ac:dyDescent="0.3">
      <c r="A35">
        <f t="shared" si="0"/>
        <v>2023</v>
      </c>
      <c r="B35">
        <f>RCT!B35</f>
        <v>2.2504084093241601</v>
      </c>
      <c r="C35">
        <f>CT!B35</f>
        <v>2.44718136451056</v>
      </c>
      <c r="D35">
        <f>META!B35</f>
        <v>2.9016075675628401</v>
      </c>
      <c r="E35">
        <f>REVIEW!B35</f>
        <v>2.6340815901544601</v>
      </c>
      <c r="F35">
        <f>CCJ!B35</f>
        <v>2.49171328660699</v>
      </c>
      <c r="G35">
        <f>ALL!B35</f>
        <v>2.44014749399738</v>
      </c>
      <c r="H35">
        <f>OBS!B35</f>
        <v>2.5454850737547301</v>
      </c>
      <c r="I35">
        <f>SYSREV!B35</f>
        <v>2.8563483363483502</v>
      </c>
    </row>
    <row r="36" spans="1:9" x14ac:dyDescent="0.3">
      <c r="A36">
        <f t="shared" si="0"/>
        <v>2024</v>
      </c>
      <c r="B36">
        <f>RCT!B36</f>
        <v>2.2643936296092</v>
      </c>
      <c r="C36">
        <f>CT!B36</f>
        <v>2.4171168176800601</v>
      </c>
      <c r="D36">
        <f>META!B36</f>
        <v>2.8961826132988202</v>
      </c>
      <c r="E36">
        <f>REVIEW!B36</f>
        <v>2.6218507194802698</v>
      </c>
      <c r="F36">
        <f>CCJ!B36</f>
        <v>2.5288876098210098</v>
      </c>
      <c r="G36">
        <f>ALL!B36</f>
        <v>2.4416565517582298</v>
      </c>
      <c r="H36">
        <f>OBS!B36</f>
        <v>2.54004406090873</v>
      </c>
      <c r="I36">
        <f>SYSREV!B36</f>
        <v>2.8508462660855201</v>
      </c>
    </row>
    <row r="37" spans="1:9" x14ac:dyDescent="0.3">
      <c r="A37">
        <v>2025</v>
      </c>
      <c r="B37">
        <f>RCT!B37</f>
        <v>2.2871906846872099</v>
      </c>
      <c r="C37">
        <f>CT!B37</f>
        <v>2.4402457653623402</v>
      </c>
      <c r="D37">
        <f>META!B37</f>
        <v>2.79082069698556</v>
      </c>
      <c r="E37">
        <f>REVIEW!B37</f>
        <v>2.6164264253084601</v>
      </c>
      <c r="F37">
        <f>CCJ!B37</f>
        <v>2.49669028427952</v>
      </c>
      <c r="G37">
        <f>ALL!B37</f>
        <v>2.4506316895697098</v>
      </c>
      <c r="H37">
        <f>OBS!B37</f>
        <v>2.5309207343071298</v>
      </c>
      <c r="I37">
        <f>SYSREV!B37</f>
        <v>2.79544145439178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B9D3-5EF0-44DD-B0A9-FF7FCB243F63}">
  <dimension ref="A1:AV37"/>
  <sheetViews>
    <sheetView zoomScale="70" zoomScaleNormal="70" workbookViewId="0">
      <selection activeCell="F1" sqref="F1:G1"/>
    </sheetView>
  </sheetViews>
  <sheetFormatPr defaultColWidth="8.77734375" defaultRowHeight="17.25" x14ac:dyDescent="0.3"/>
  <sheetData>
    <row r="1" spans="1:48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L1" t="str" cm="1">
        <f t="array" ref="L1:AV9">TRANSPOSE(A1:I37)</f>
        <v>Year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  <c r="AT1">
        <v>2023</v>
      </c>
      <c r="AU1">
        <v>2024</v>
      </c>
      <c r="AV1">
        <v>2025</v>
      </c>
    </row>
    <row r="2" spans="1:48" x14ac:dyDescent="0.3">
      <c r="A2">
        <v>1990</v>
      </c>
      <c r="B2">
        <f>RCT!C2</f>
        <v>1.36118201715002</v>
      </c>
      <c r="C2">
        <f>CT!C2</f>
        <v>1.3010299956639799</v>
      </c>
      <c r="D2">
        <f>META!C2</f>
        <v>0</v>
      </c>
      <c r="E2">
        <f>REVIEW!C2</f>
        <v>1.3010299956639799</v>
      </c>
      <c r="F2">
        <f>CCJ!C2</f>
        <v>1.8636521102508099</v>
      </c>
      <c r="G2">
        <f>ALL!C2</f>
        <v>1.9515514591034899</v>
      </c>
      <c r="H2">
        <f>OBS!C2</f>
        <v>0</v>
      </c>
      <c r="I2">
        <f>SYSREV!C2</f>
        <v>0</v>
      </c>
      <c r="L2" t="str">
        <v>Randomized controlled trial</v>
      </c>
      <c r="M2">
        <v>1.36118201715002</v>
      </c>
      <c r="N2">
        <v>1.51993758376911</v>
      </c>
      <c r="O2">
        <v>1.0159907968680699</v>
      </c>
      <c r="P2">
        <v>1.4929239661136</v>
      </c>
      <c r="Q2">
        <v>1.3382795826032301</v>
      </c>
      <c r="R2">
        <v>1.6229833623299199</v>
      </c>
      <c r="S2">
        <v>1.3125552823501301</v>
      </c>
      <c r="T2">
        <v>1.1042201411794501</v>
      </c>
      <c r="U2">
        <v>1.6978616999704701</v>
      </c>
      <c r="V2">
        <v>1.3115353162488499</v>
      </c>
      <c r="W2">
        <v>1.3590932018192901</v>
      </c>
      <c r="X2">
        <v>1.3194326164836301</v>
      </c>
      <c r="Y2">
        <v>1.78225171117223</v>
      </c>
      <c r="Z2">
        <v>1.30791641007837</v>
      </c>
      <c r="AA2">
        <v>1.30516626051591</v>
      </c>
      <c r="AB2">
        <v>1.3188326946115301</v>
      </c>
      <c r="AC2">
        <v>1.4671022414681301</v>
      </c>
      <c r="AD2">
        <v>1.4642554683273701</v>
      </c>
      <c r="AE2">
        <v>1.4552189711885299</v>
      </c>
      <c r="AF2">
        <v>1.3717478704791499</v>
      </c>
      <c r="AG2">
        <v>1.4967646008880999</v>
      </c>
      <c r="AH2">
        <v>1.4268251009914801</v>
      </c>
      <c r="AI2">
        <v>1.4478975938873799</v>
      </c>
      <c r="AJ2">
        <v>1.4304588882432701</v>
      </c>
      <c r="AK2">
        <v>1.4311158282598699</v>
      </c>
      <c r="AL2">
        <v>1.4152657037634</v>
      </c>
      <c r="AM2">
        <v>1.4019407555299499</v>
      </c>
      <c r="AN2">
        <v>1.3882299603308701</v>
      </c>
      <c r="AO2">
        <v>1.40801515667544</v>
      </c>
      <c r="AP2">
        <v>1.3822490980337501</v>
      </c>
      <c r="AQ2">
        <v>1.3809020839036501</v>
      </c>
      <c r="AR2">
        <v>1.35408337204922</v>
      </c>
      <c r="AS2">
        <v>1.3525896898549501</v>
      </c>
      <c r="AT2">
        <v>1.32780612353428</v>
      </c>
      <c r="AU2">
        <v>1.35062563428837</v>
      </c>
      <c r="AV2">
        <v>1.3642598705868201</v>
      </c>
    </row>
    <row r="3" spans="1:48" x14ac:dyDescent="0.3">
      <c r="A3">
        <v>1991</v>
      </c>
      <c r="B3">
        <f>RCT!C3</f>
        <v>1.51993758376911</v>
      </c>
      <c r="C3">
        <f>CT!C3</f>
        <v>2.7670099985546499</v>
      </c>
      <c r="D3">
        <f>META!C3</f>
        <v>0</v>
      </c>
      <c r="E3">
        <f>REVIEW!C3</f>
        <v>2.9586073148417702</v>
      </c>
      <c r="F3">
        <f>CCJ!C3</f>
        <v>1.8836030978876599</v>
      </c>
      <c r="G3">
        <f>ALL!C3</f>
        <v>1.89160770873596</v>
      </c>
      <c r="H3">
        <f>OBS!C3</f>
        <v>0</v>
      </c>
      <c r="I3">
        <f>SYSREV!C3</f>
        <v>0</v>
      </c>
      <c r="L3" t="str">
        <v>Clinical trial</v>
      </c>
      <c r="M3">
        <v>1.3010299956639799</v>
      </c>
      <c r="N3">
        <v>2.7670099985546499</v>
      </c>
      <c r="O3">
        <v>1.3010299956639799</v>
      </c>
      <c r="P3">
        <v>1.92020339940096</v>
      </c>
      <c r="Q3">
        <v>2.0091733617467198</v>
      </c>
      <c r="R3">
        <v>1.6103040255507499</v>
      </c>
      <c r="S3">
        <v>1.67553542250707</v>
      </c>
      <c r="T3">
        <v>1.93828100863641</v>
      </c>
      <c r="U3">
        <v>1.12204920639751</v>
      </c>
      <c r="V3">
        <v>1.52180680336291</v>
      </c>
      <c r="W3">
        <v>1.87432093903057</v>
      </c>
      <c r="X3">
        <v>1.7358600160433999</v>
      </c>
      <c r="Y3">
        <v>2.1413087087933</v>
      </c>
      <c r="Z3">
        <v>1.86280869049564</v>
      </c>
      <c r="AA3">
        <v>1.6678483945662299</v>
      </c>
      <c r="AB3">
        <v>1.9546831401277101</v>
      </c>
      <c r="AC3">
        <v>1.64539242156085</v>
      </c>
      <c r="AD3">
        <v>1.49150479507477</v>
      </c>
      <c r="AE3">
        <v>1.8318985048254</v>
      </c>
      <c r="AF3">
        <v>1.76419799507604</v>
      </c>
      <c r="AG3">
        <v>1.75954065215902</v>
      </c>
      <c r="AH3">
        <v>1.7831979177178301</v>
      </c>
      <c r="AI3">
        <v>1.6285952791653</v>
      </c>
      <c r="AJ3">
        <v>1.6474953170584801</v>
      </c>
      <c r="AK3">
        <v>1.6322028450524999</v>
      </c>
      <c r="AL3">
        <v>1.72661188573493</v>
      </c>
      <c r="AM3">
        <v>1.6832958078373901</v>
      </c>
      <c r="AN3">
        <v>1.5760197022474101</v>
      </c>
      <c r="AO3">
        <v>1.59025837407674</v>
      </c>
      <c r="AP3">
        <v>1.6222803881886301</v>
      </c>
      <c r="AQ3">
        <v>1.6059645715775801</v>
      </c>
      <c r="AR3">
        <v>1.58439694625788</v>
      </c>
      <c r="AS3">
        <v>1.5970566697658399</v>
      </c>
      <c r="AT3">
        <v>1.55001718377951</v>
      </c>
      <c r="AU3">
        <v>1.50282598052048</v>
      </c>
      <c r="AV3">
        <v>1.6328898166913099</v>
      </c>
    </row>
    <row r="4" spans="1:48" x14ac:dyDescent="0.3">
      <c r="A4">
        <f>A2+2</f>
        <v>1992</v>
      </c>
      <c r="B4">
        <f>RCT!C4</f>
        <v>1.0159907968680699</v>
      </c>
      <c r="C4">
        <f>CT!C4</f>
        <v>1.3010299956639799</v>
      </c>
      <c r="D4">
        <f>META!C4</f>
        <v>0</v>
      </c>
      <c r="E4">
        <f>REVIEW!C4</f>
        <v>0</v>
      </c>
      <c r="F4">
        <f>CCJ!C4</f>
        <v>1.74991697570383</v>
      </c>
      <c r="G4">
        <f>ALL!C4</f>
        <v>1.8141669777536</v>
      </c>
      <c r="H4">
        <f>OBS!C4</f>
        <v>0</v>
      </c>
      <c r="I4">
        <f>SYSREV!C4</f>
        <v>0</v>
      </c>
      <c r="L4" t="str">
        <v>Meta-analysis</v>
      </c>
      <c r="M4">
        <v>0</v>
      </c>
      <c r="N4">
        <v>0</v>
      </c>
      <c r="O4">
        <v>0</v>
      </c>
      <c r="P4">
        <v>0</v>
      </c>
      <c r="Q4">
        <v>2.9999999999999898</v>
      </c>
      <c r="R4">
        <v>1.3565473235138099</v>
      </c>
      <c r="S4">
        <v>0</v>
      </c>
      <c r="T4">
        <v>0</v>
      </c>
      <c r="U4">
        <v>0</v>
      </c>
      <c r="V4">
        <v>0</v>
      </c>
      <c r="W4">
        <v>2.0249082178358799</v>
      </c>
      <c r="X4">
        <v>1.5783940589968199</v>
      </c>
      <c r="Y4">
        <v>3.6505149978319902</v>
      </c>
      <c r="Z4">
        <v>1.70743457115126</v>
      </c>
      <c r="AA4">
        <v>1.5277835599276901</v>
      </c>
      <c r="AB4">
        <v>1.19684656492996</v>
      </c>
      <c r="AC4">
        <v>1.33068531281083</v>
      </c>
      <c r="AD4">
        <v>1.3512277052102799</v>
      </c>
      <c r="AE4">
        <v>1.425202436435</v>
      </c>
      <c r="AF4">
        <v>1.47996065133178</v>
      </c>
      <c r="AG4">
        <v>1.80634523902901</v>
      </c>
      <c r="AH4">
        <v>1.68420925977999</v>
      </c>
      <c r="AI4">
        <v>1.74854455102102</v>
      </c>
      <c r="AJ4">
        <v>1.4902623743189001</v>
      </c>
      <c r="AK4">
        <v>1.48625002937782</v>
      </c>
      <c r="AL4">
        <v>1.43149963033039</v>
      </c>
      <c r="AM4">
        <v>1.3666214177664799</v>
      </c>
      <c r="AN4">
        <v>1.4326673204954501</v>
      </c>
      <c r="AO4">
        <v>1.3530894427418201</v>
      </c>
      <c r="AP4">
        <v>1.39484538288674</v>
      </c>
      <c r="AQ4">
        <v>1.4777042264841</v>
      </c>
      <c r="AR4">
        <v>1.42044934347447</v>
      </c>
      <c r="AS4">
        <v>1.4827408781829501</v>
      </c>
      <c r="AT4">
        <v>1.46456980558843</v>
      </c>
      <c r="AU4">
        <v>1.49574942424442</v>
      </c>
      <c r="AV4">
        <v>1.43774691572862</v>
      </c>
    </row>
    <row r="5" spans="1:48" x14ac:dyDescent="0.3">
      <c r="A5">
        <f t="shared" ref="A5:A36" si="0">A3+2</f>
        <v>1993</v>
      </c>
      <c r="B5">
        <f>RCT!C5</f>
        <v>1.4929239661136</v>
      </c>
      <c r="C5">
        <f>CT!C5</f>
        <v>1.92020339940096</v>
      </c>
      <c r="D5">
        <f>META!C5</f>
        <v>0</v>
      </c>
      <c r="E5">
        <f>REVIEW!C5</f>
        <v>2.6505149978319902</v>
      </c>
      <c r="F5">
        <f>CCJ!C5</f>
        <v>1.65418451679192</v>
      </c>
      <c r="G5">
        <f>ALL!C5</f>
        <v>1.68859532916945</v>
      </c>
      <c r="H5">
        <f>OBS!C5</f>
        <v>0</v>
      </c>
      <c r="I5">
        <f>SYSREV!C5</f>
        <v>0</v>
      </c>
      <c r="L5" t="str">
        <v>Review</v>
      </c>
      <c r="M5">
        <v>1.3010299956639799</v>
      </c>
      <c r="N5">
        <v>2.9586073148417702</v>
      </c>
      <c r="O5">
        <v>0</v>
      </c>
      <c r="P5">
        <v>2.6505149978319902</v>
      </c>
      <c r="Q5">
        <v>3.6989700043360099</v>
      </c>
      <c r="R5">
        <v>2.2218487496163499</v>
      </c>
      <c r="S5">
        <v>0</v>
      </c>
      <c r="T5">
        <v>1.4223123549303001</v>
      </c>
      <c r="U5">
        <v>2.8239087409443102</v>
      </c>
      <c r="V5">
        <v>1.17339374311232</v>
      </c>
      <c r="W5">
        <v>2.1505149978319902</v>
      </c>
      <c r="X5">
        <v>2.07394958320545</v>
      </c>
      <c r="Y5">
        <v>0</v>
      </c>
      <c r="Z5">
        <v>1.32878865958889</v>
      </c>
      <c r="AA5">
        <v>1.76760072679785</v>
      </c>
      <c r="AB5">
        <v>2.0774509799928702</v>
      </c>
      <c r="AC5">
        <v>2.3089759907641301</v>
      </c>
      <c r="AD5">
        <v>1.2439558388132099</v>
      </c>
      <c r="AE5">
        <v>1.7256835945505899</v>
      </c>
      <c r="AF5">
        <v>2.20737862141609</v>
      </c>
      <c r="AG5">
        <v>1.68042123493513</v>
      </c>
      <c r="AH5">
        <v>2.3071691583204799</v>
      </c>
      <c r="AI5">
        <v>1.9407959362192599</v>
      </c>
      <c r="AJ5">
        <v>1.9567354226704401</v>
      </c>
      <c r="AK5">
        <v>1.63949402946664</v>
      </c>
      <c r="AL5">
        <v>1.59077517773431</v>
      </c>
      <c r="AM5">
        <v>1.7020175712163099</v>
      </c>
      <c r="AN5">
        <v>1.49048244090715</v>
      </c>
      <c r="AO5">
        <v>1.5448231671883099</v>
      </c>
      <c r="AP5">
        <v>1.5238399087828201</v>
      </c>
      <c r="AQ5">
        <v>1.6035428022411899</v>
      </c>
      <c r="AR5">
        <v>1.54319601185513</v>
      </c>
      <c r="AS5">
        <v>1.55467347855809</v>
      </c>
      <c r="AT5">
        <v>1.53802571091163</v>
      </c>
      <c r="AU5">
        <v>1.44563654134038</v>
      </c>
      <c r="AV5">
        <v>1.51943444601389</v>
      </c>
    </row>
    <row r="6" spans="1:48" x14ac:dyDescent="0.3">
      <c r="A6">
        <f t="shared" si="0"/>
        <v>1994</v>
      </c>
      <c r="B6">
        <f>RCT!C6</f>
        <v>1.3382795826032301</v>
      </c>
      <c r="C6">
        <f>CT!C6</f>
        <v>2.0091733617467198</v>
      </c>
      <c r="D6">
        <f>META!C6</f>
        <v>2.9999999999999898</v>
      </c>
      <c r="E6">
        <f>REVIEW!C6</f>
        <v>3.6989700043360099</v>
      </c>
      <c r="F6">
        <f>CCJ!C6</f>
        <v>1.8184057449698601</v>
      </c>
      <c r="G6">
        <f>ALL!C6</f>
        <v>1.8315689959350401</v>
      </c>
      <c r="H6">
        <f>OBS!C6</f>
        <v>0</v>
      </c>
      <c r="I6">
        <f>SYSREV!C6</f>
        <v>0</v>
      </c>
      <c r="L6" t="str">
        <v>Core clinical journal</v>
      </c>
      <c r="M6">
        <v>1.8636521102508099</v>
      </c>
      <c r="N6">
        <v>1.8836030978876599</v>
      </c>
      <c r="O6">
        <v>1.74991697570383</v>
      </c>
      <c r="P6">
        <v>1.65418451679192</v>
      </c>
      <c r="Q6">
        <v>1.8184057449698601</v>
      </c>
      <c r="R6">
        <v>1.71597334122693</v>
      </c>
      <c r="S6">
        <v>1.74898891526781</v>
      </c>
      <c r="T6">
        <v>1.75153791718924</v>
      </c>
      <c r="U6">
        <v>1.7068705672126501</v>
      </c>
      <c r="V6">
        <v>1.6365851050062401</v>
      </c>
      <c r="W6">
        <v>1.83052343834992</v>
      </c>
      <c r="X6">
        <v>1.6725231546256101</v>
      </c>
      <c r="Y6">
        <v>1.9343636147386101</v>
      </c>
      <c r="Z6">
        <v>1.7035804312662901</v>
      </c>
      <c r="AA6">
        <v>1.6387847705834</v>
      </c>
      <c r="AB6">
        <v>1.74330330581834</v>
      </c>
      <c r="AC6">
        <v>1.6170699337557499</v>
      </c>
      <c r="AD6">
        <v>1.82775427163385</v>
      </c>
      <c r="AE6">
        <v>1.8482652692905599</v>
      </c>
      <c r="AF6">
        <v>1.68755838822143</v>
      </c>
      <c r="AG6">
        <v>1.6913254279955601</v>
      </c>
      <c r="AH6">
        <v>1.65528587159399</v>
      </c>
      <c r="AI6">
        <v>1.7815904967009</v>
      </c>
      <c r="AJ6">
        <v>1.7054459398231101</v>
      </c>
      <c r="AK6">
        <v>1.6837930922097599</v>
      </c>
      <c r="AL6">
        <v>1.61080386152945</v>
      </c>
      <c r="AM6">
        <v>1.5885307117706799</v>
      </c>
      <c r="AN6">
        <v>1.57692191264286</v>
      </c>
      <c r="AO6">
        <v>1.55063634564571</v>
      </c>
      <c r="AP6">
        <v>1.54681934615994</v>
      </c>
      <c r="AQ6">
        <v>1.6433472347667899</v>
      </c>
      <c r="AR6">
        <v>1.57728241731355</v>
      </c>
      <c r="AS6">
        <v>1.6421817130602501</v>
      </c>
      <c r="AT6">
        <v>1.55299387501291</v>
      </c>
      <c r="AU6">
        <v>1.6199920942967601</v>
      </c>
      <c r="AV6">
        <v>1.4977675143990701</v>
      </c>
    </row>
    <row r="7" spans="1:48" x14ac:dyDescent="0.3">
      <c r="A7">
        <f t="shared" si="0"/>
        <v>1995</v>
      </c>
      <c r="B7">
        <f>RCT!C7</f>
        <v>1.6229833623299199</v>
      </c>
      <c r="C7">
        <f>CT!C7</f>
        <v>1.6103040255507499</v>
      </c>
      <c r="D7">
        <f>META!C7</f>
        <v>1.3565473235138099</v>
      </c>
      <c r="E7">
        <f>REVIEW!C7</f>
        <v>2.2218487496163499</v>
      </c>
      <c r="F7">
        <f>CCJ!C7</f>
        <v>1.71597334122693</v>
      </c>
      <c r="G7">
        <f>ALL!C7</f>
        <v>1.6769511587537</v>
      </c>
      <c r="H7">
        <f>OBS!C7</f>
        <v>0</v>
      </c>
      <c r="I7">
        <f>SYSREV!C7</f>
        <v>0</v>
      </c>
      <c r="L7" t="str">
        <v>All MEDLINE</v>
      </c>
      <c r="M7">
        <v>1.9515514591034899</v>
      </c>
      <c r="N7">
        <v>1.89160770873596</v>
      </c>
      <c r="O7">
        <v>1.8141669777536</v>
      </c>
      <c r="P7">
        <v>1.68859532916945</v>
      </c>
      <c r="Q7">
        <v>1.8315689959350401</v>
      </c>
      <c r="R7">
        <v>1.6769511587537</v>
      </c>
      <c r="S7">
        <v>1.7358577094505001</v>
      </c>
      <c r="T7">
        <v>1.66210883532105</v>
      </c>
      <c r="U7">
        <v>1.70786322508731</v>
      </c>
      <c r="V7">
        <v>2.1592578064269898</v>
      </c>
      <c r="W7">
        <v>1.7391240833038599</v>
      </c>
      <c r="X7">
        <v>1.7109974979574201</v>
      </c>
      <c r="Y7">
        <v>1.7771547045785601</v>
      </c>
      <c r="Z7">
        <v>1.7363324953871899</v>
      </c>
      <c r="AA7">
        <v>1.72111702271619</v>
      </c>
      <c r="AB7">
        <v>1.7091644064993099</v>
      </c>
      <c r="AC7">
        <v>1.73657637632631</v>
      </c>
      <c r="AD7">
        <v>1.6952075258738799</v>
      </c>
      <c r="AE7">
        <v>1.6917157825343201</v>
      </c>
      <c r="AF7">
        <v>1.7143534182485001</v>
      </c>
      <c r="AG7">
        <v>1.6759032703258601</v>
      </c>
      <c r="AH7">
        <v>1.6957765694105</v>
      </c>
      <c r="AI7">
        <v>1.6516192912699199</v>
      </c>
      <c r="AJ7">
        <v>1.64569887951512</v>
      </c>
      <c r="AK7">
        <v>1.64134021168638</v>
      </c>
      <c r="AL7">
        <v>1.6398913272814399</v>
      </c>
      <c r="AM7">
        <v>1.60948390646349</v>
      </c>
      <c r="AN7">
        <v>1.6030516204796901</v>
      </c>
      <c r="AO7">
        <v>1.5905160324395</v>
      </c>
      <c r="AP7">
        <v>1.58807817058698</v>
      </c>
      <c r="AQ7">
        <v>1.60261518395194</v>
      </c>
      <c r="AR7">
        <v>1.60554287708304</v>
      </c>
      <c r="AS7">
        <v>1.5917090910216301</v>
      </c>
      <c r="AT7">
        <v>1.5845237392844</v>
      </c>
      <c r="AU7">
        <v>1.5878938792667601</v>
      </c>
      <c r="AV7">
        <v>1.59485451843311</v>
      </c>
    </row>
    <row r="8" spans="1:48" x14ac:dyDescent="0.3">
      <c r="A8">
        <f t="shared" si="0"/>
        <v>1996</v>
      </c>
      <c r="B8">
        <f>RCT!C8</f>
        <v>1.3125552823501301</v>
      </c>
      <c r="C8">
        <f>CT!C8</f>
        <v>1.67553542250707</v>
      </c>
      <c r="D8">
        <f>META!C8</f>
        <v>0</v>
      </c>
      <c r="E8">
        <f>REVIEW!C8</f>
        <v>0</v>
      </c>
      <c r="F8">
        <f>CCJ!C8</f>
        <v>1.74898891526781</v>
      </c>
      <c r="G8">
        <f>ALL!C8</f>
        <v>1.7358577094505001</v>
      </c>
      <c r="H8">
        <f>OBS!C8</f>
        <v>0</v>
      </c>
      <c r="I8">
        <f>SYSREV!C8</f>
        <v>0</v>
      </c>
      <c r="L8" t="str">
        <v>Observational_Study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1.4776705938929899</v>
      </c>
      <c r="AJ8">
        <v>1.75063481008161</v>
      </c>
      <c r="AK8">
        <v>1.69910997590681</v>
      </c>
      <c r="AL8">
        <v>1.67980714961559</v>
      </c>
      <c r="AM8">
        <v>1.6756523245808099</v>
      </c>
      <c r="AN8">
        <v>1.6548974094672999</v>
      </c>
      <c r="AO8">
        <v>1.63302030210204</v>
      </c>
      <c r="AP8">
        <v>1.6202363612033099</v>
      </c>
      <c r="AQ8">
        <v>1.6520043233595001</v>
      </c>
      <c r="AR8">
        <v>1.6654942620240201</v>
      </c>
      <c r="AS8">
        <v>1.6652610285421801</v>
      </c>
      <c r="AT8">
        <v>1.65662450315247</v>
      </c>
      <c r="AU8">
        <v>1.6717359397702201</v>
      </c>
      <c r="AV8">
        <v>1.60355453251779</v>
      </c>
    </row>
    <row r="9" spans="1:48" x14ac:dyDescent="0.3">
      <c r="A9">
        <f t="shared" si="0"/>
        <v>1997</v>
      </c>
      <c r="B9">
        <f>RCT!C9</f>
        <v>1.1042201411794501</v>
      </c>
      <c r="C9">
        <f>CT!C9</f>
        <v>1.93828100863641</v>
      </c>
      <c r="D9">
        <f>META!C9</f>
        <v>0</v>
      </c>
      <c r="E9">
        <f>REVIEW!C9</f>
        <v>1.4223123549303001</v>
      </c>
      <c r="F9">
        <f>CCJ!C9</f>
        <v>1.75153791718924</v>
      </c>
      <c r="G9">
        <f>ALL!C9</f>
        <v>1.66210883532105</v>
      </c>
      <c r="H9">
        <f>OBS!C9</f>
        <v>0</v>
      </c>
      <c r="I9">
        <f>SYSREV!C9</f>
        <v>0</v>
      </c>
      <c r="L9" t="str">
        <v>Systematical_review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2.1505149978319902</v>
      </c>
      <c r="Y9">
        <v>2.6164950007226699</v>
      </c>
      <c r="Z9">
        <v>3.09691001300805</v>
      </c>
      <c r="AA9">
        <v>1.35995889123642</v>
      </c>
      <c r="AB9">
        <v>1.56632333477867</v>
      </c>
      <c r="AC9">
        <v>1.24383694932712</v>
      </c>
      <c r="AD9">
        <v>1.7089164306445299</v>
      </c>
      <c r="AE9">
        <v>1.8305832912365101</v>
      </c>
      <c r="AF9">
        <v>1.59393531740436</v>
      </c>
      <c r="AG9">
        <v>1.2196762508083001</v>
      </c>
      <c r="AH9">
        <v>1.7006412790472101</v>
      </c>
      <c r="AI9">
        <v>1.46161638398055</v>
      </c>
      <c r="AJ9">
        <v>1.47014565457055</v>
      </c>
      <c r="AK9">
        <v>1.77224815237922</v>
      </c>
      <c r="AL9">
        <v>1.45468310781754</v>
      </c>
      <c r="AM9">
        <v>1.3327557217043899</v>
      </c>
      <c r="AN9">
        <v>1.4600039833065599</v>
      </c>
      <c r="AO9">
        <v>1.3573017735147599</v>
      </c>
      <c r="AP9">
        <v>1.4008292513420999</v>
      </c>
      <c r="AQ9">
        <v>1.4810664735482899</v>
      </c>
      <c r="AR9">
        <v>1.4254370796821201</v>
      </c>
      <c r="AS9">
        <v>1.45760885708791</v>
      </c>
      <c r="AT9">
        <v>1.4393666357534201</v>
      </c>
      <c r="AU9">
        <v>1.49401183470638</v>
      </c>
      <c r="AV9">
        <v>1.45560083910967</v>
      </c>
    </row>
    <row r="10" spans="1:48" x14ac:dyDescent="0.3">
      <c r="A10">
        <f t="shared" si="0"/>
        <v>1998</v>
      </c>
      <c r="B10">
        <f>RCT!C10</f>
        <v>1.6978616999704701</v>
      </c>
      <c r="C10">
        <f>CT!C10</f>
        <v>1.12204920639751</v>
      </c>
      <c r="D10">
        <f>META!C10</f>
        <v>0</v>
      </c>
      <c r="E10">
        <f>REVIEW!C10</f>
        <v>2.8239087409443102</v>
      </c>
      <c r="F10">
        <f>CCJ!C10</f>
        <v>1.7068705672126501</v>
      </c>
      <c r="G10">
        <f>ALL!C10</f>
        <v>1.70786322508731</v>
      </c>
      <c r="H10">
        <f>OBS!C10</f>
        <v>0</v>
      </c>
      <c r="I10">
        <f>SYSREV!C10</f>
        <v>0</v>
      </c>
    </row>
    <row r="11" spans="1:48" x14ac:dyDescent="0.3">
      <c r="A11">
        <f t="shared" si="0"/>
        <v>1999</v>
      </c>
      <c r="B11">
        <f>RCT!C11</f>
        <v>1.3115353162488499</v>
      </c>
      <c r="C11">
        <f>CT!C11</f>
        <v>1.52180680336291</v>
      </c>
      <c r="D11">
        <f>META!C11</f>
        <v>0</v>
      </c>
      <c r="E11">
        <f>REVIEW!C11</f>
        <v>1.17339374311232</v>
      </c>
      <c r="F11">
        <f>CCJ!C11</f>
        <v>1.6365851050062401</v>
      </c>
      <c r="G11">
        <f>ALL!C11</f>
        <v>2.1592578064269898</v>
      </c>
      <c r="H11">
        <f>OBS!C11</f>
        <v>0</v>
      </c>
      <c r="I11">
        <f>SYSREV!C11</f>
        <v>0</v>
      </c>
    </row>
    <row r="12" spans="1:48" x14ac:dyDescent="0.3">
      <c r="A12">
        <f t="shared" si="0"/>
        <v>2000</v>
      </c>
      <c r="B12">
        <f>RCT!C12</f>
        <v>1.3590932018192901</v>
      </c>
      <c r="C12">
        <f>CT!C12</f>
        <v>1.87432093903057</v>
      </c>
      <c r="D12">
        <f>META!C12</f>
        <v>2.0249082178358799</v>
      </c>
      <c r="E12">
        <f>REVIEW!C12</f>
        <v>2.1505149978319902</v>
      </c>
      <c r="F12">
        <f>CCJ!C12</f>
        <v>1.83052343834992</v>
      </c>
      <c r="G12">
        <f>ALL!C12</f>
        <v>1.7391240833038599</v>
      </c>
      <c r="H12">
        <f>OBS!C12</f>
        <v>0</v>
      </c>
      <c r="I12">
        <f>SYSREV!C12</f>
        <v>0</v>
      </c>
    </row>
    <row r="13" spans="1:48" x14ac:dyDescent="0.3">
      <c r="A13">
        <f t="shared" si="0"/>
        <v>2001</v>
      </c>
      <c r="B13">
        <f>RCT!C13</f>
        <v>1.3194326164836301</v>
      </c>
      <c r="C13">
        <f>CT!C13</f>
        <v>1.7358600160433999</v>
      </c>
      <c r="D13">
        <f>META!C13</f>
        <v>1.5783940589968199</v>
      </c>
      <c r="E13">
        <f>REVIEW!C13</f>
        <v>2.07394958320545</v>
      </c>
      <c r="F13">
        <f>CCJ!C13</f>
        <v>1.6725231546256101</v>
      </c>
      <c r="G13">
        <f>ALL!C13</f>
        <v>1.7109974979574201</v>
      </c>
      <c r="H13">
        <f>OBS!C13</f>
        <v>0</v>
      </c>
      <c r="I13">
        <f>SYSREV!C13</f>
        <v>2.1505149978319902</v>
      </c>
    </row>
    <row r="14" spans="1:48" x14ac:dyDescent="0.3">
      <c r="A14">
        <f t="shared" si="0"/>
        <v>2002</v>
      </c>
      <c r="B14">
        <f>RCT!C14</f>
        <v>1.78225171117223</v>
      </c>
      <c r="C14">
        <f>CT!C14</f>
        <v>2.1413087087933</v>
      </c>
      <c r="D14">
        <f>META!C14</f>
        <v>3.6505149978319902</v>
      </c>
      <c r="E14">
        <f>REVIEW!C14</f>
        <v>0</v>
      </c>
      <c r="F14">
        <f>CCJ!C14</f>
        <v>1.9343636147386101</v>
      </c>
      <c r="G14">
        <f>ALL!C14</f>
        <v>1.7771547045785601</v>
      </c>
      <c r="H14">
        <f>OBS!C14</f>
        <v>0</v>
      </c>
      <c r="I14">
        <f>SYSREV!C14</f>
        <v>2.6164950007226699</v>
      </c>
    </row>
    <row r="15" spans="1:48" x14ac:dyDescent="0.3">
      <c r="A15">
        <f t="shared" si="0"/>
        <v>2003</v>
      </c>
      <c r="B15">
        <f>RCT!C15</f>
        <v>1.30791641007837</v>
      </c>
      <c r="C15">
        <f>CT!C15</f>
        <v>1.86280869049564</v>
      </c>
      <c r="D15">
        <f>META!C15</f>
        <v>1.70743457115126</v>
      </c>
      <c r="E15">
        <f>REVIEW!C15</f>
        <v>1.32878865958889</v>
      </c>
      <c r="F15">
        <f>CCJ!C15</f>
        <v>1.7035804312662901</v>
      </c>
      <c r="G15">
        <f>ALL!C15</f>
        <v>1.7363324953871899</v>
      </c>
      <c r="H15">
        <f>OBS!C15</f>
        <v>0</v>
      </c>
      <c r="I15">
        <f>SYSREV!C15</f>
        <v>3.09691001300805</v>
      </c>
    </row>
    <row r="16" spans="1:48" x14ac:dyDescent="0.3">
      <c r="A16">
        <f t="shared" si="0"/>
        <v>2004</v>
      </c>
      <c r="B16">
        <f>RCT!C16</f>
        <v>1.30516626051591</v>
      </c>
      <c r="C16">
        <f>CT!C16</f>
        <v>1.6678483945662299</v>
      </c>
      <c r="D16">
        <f>META!C16</f>
        <v>1.5277835599276901</v>
      </c>
      <c r="E16">
        <f>REVIEW!C16</f>
        <v>1.76760072679785</v>
      </c>
      <c r="F16">
        <f>CCJ!C16</f>
        <v>1.6387847705834</v>
      </c>
      <c r="G16">
        <f>ALL!C16</f>
        <v>1.72111702271619</v>
      </c>
      <c r="H16">
        <f>OBS!C16</f>
        <v>0</v>
      </c>
      <c r="I16">
        <f>SYSREV!C16</f>
        <v>1.35995889123642</v>
      </c>
    </row>
    <row r="17" spans="1:9" x14ac:dyDescent="0.3">
      <c r="A17">
        <f t="shared" si="0"/>
        <v>2005</v>
      </c>
      <c r="B17">
        <f>RCT!C17</f>
        <v>1.3188326946115301</v>
      </c>
      <c r="C17">
        <f>CT!C17</f>
        <v>1.9546831401277101</v>
      </c>
      <c r="D17">
        <f>META!C17</f>
        <v>1.19684656492996</v>
      </c>
      <c r="E17">
        <f>REVIEW!C17</f>
        <v>2.0774509799928702</v>
      </c>
      <c r="F17">
        <f>CCJ!C17</f>
        <v>1.74330330581834</v>
      </c>
      <c r="G17">
        <f>ALL!C17</f>
        <v>1.7091644064993099</v>
      </c>
      <c r="H17">
        <f>OBS!C17</f>
        <v>0</v>
      </c>
      <c r="I17">
        <f>SYSREV!C17</f>
        <v>1.56632333477867</v>
      </c>
    </row>
    <row r="18" spans="1:9" x14ac:dyDescent="0.3">
      <c r="A18">
        <f t="shared" si="0"/>
        <v>2006</v>
      </c>
      <c r="B18">
        <f>RCT!C18</f>
        <v>1.4671022414681301</v>
      </c>
      <c r="C18">
        <f>CT!C18</f>
        <v>1.64539242156085</v>
      </c>
      <c r="D18">
        <f>META!C18</f>
        <v>1.33068531281083</v>
      </c>
      <c r="E18">
        <f>REVIEW!C18</f>
        <v>2.3089759907641301</v>
      </c>
      <c r="F18">
        <f>CCJ!C18</f>
        <v>1.6170699337557499</v>
      </c>
      <c r="G18">
        <f>ALL!C18</f>
        <v>1.73657637632631</v>
      </c>
      <c r="H18">
        <f>OBS!C18</f>
        <v>0</v>
      </c>
      <c r="I18">
        <f>SYSREV!C18</f>
        <v>1.24383694932712</v>
      </c>
    </row>
    <row r="19" spans="1:9" x14ac:dyDescent="0.3">
      <c r="A19">
        <f t="shared" si="0"/>
        <v>2007</v>
      </c>
      <c r="B19">
        <f>RCT!C19</f>
        <v>1.4642554683273701</v>
      </c>
      <c r="C19">
        <f>CT!C19</f>
        <v>1.49150479507477</v>
      </c>
      <c r="D19">
        <f>META!C19</f>
        <v>1.3512277052102799</v>
      </c>
      <c r="E19">
        <f>REVIEW!C19</f>
        <v>1.2439558388132099</v>
      </c>
      <c r="F19">
        <f>CCJ!C19</f>
        <v>1.82775427163385</v>
      </c>
      <c r="G19">
        <f>ALL!C19</f>
        <v>1.6952075258738799</v>
      </c>
      <c r="H19">
        <f>OBS!C19</f>
        <v>0</v>
      </c>
      <c r="I19">
        <f>SYSREV!C19</f>
        <v>1.7089164306445299</v>
      </c>
    </row>
    <row r="20" spans="1:9" x14ac:dyDescent="0.3">
      <c r="A20">
        <f t="shared" si="0"/>
        <v>2008</v>
      </c>
      <c r="B20">
        <f>RCT!C20</f>
        <v>1.4552189711885299</v>
      </c>
      <c r="C20">
        <f>CT!C20</f>
        <v>1.8318985048254</v>
      </c>
      <c r="D20">
        <f>META!C20</f>
        <v>1.425202436435</v>
      </c>
      <c r="E20">
        <f>REVIEW!C20</f>
        <v>1.7256835945505899</v>
      </c>
      <c r="F20">
        <f>CCJ!C20</f>
        <v>1.8482652692905599</v>
      </c>
      <c r="G20">
        <f>ALL!C20</f>
        <v>1.6917157825343201</v>
      </c>
      <c r="H20">
        <f>OBS!C20</f>
        <v>0</v>
      </c>
      <c r="I20">
        <f>SYSREV!C20</f>
        <v>1.8305832912365101</v>
      </c>
    </row>
    <row r="21" spans="1:9" x14ac:dyDescent="0.3">
      <c r="A21">
        <f t="shared" si="0"/>
        <v>2009</v>
      </c>
      <c r="B21">
        <f>RCT!C21</f>
        <v>1.3717478704791499</v>
      </c>
      <c r="C21">
        <f>CT!C21</f>
        <v>1.76419799507604</v>
      </c>
      <c r="D21">
        <f>META!C21</f>
        <v>1.47996065133178</v>
      </c>
      <c r="E21">
        <f>REVIEW!C21</f>
        <v>2.20737862141609</v>
      </c>
      <c r="F21">
        <f>CCJ!C21</f>
        <v>1.68755838822143</v>
      </c>
      <c r="G21">
        <f>ALL!C21</f>
        <v>1.7143534182485001</v>
      </c>
      <c r="H21">
        <f>OBS!C21</f>
        <v>0</v>
      </c>
      <c r="I21">
        <f>SYSREV!C21</f>
        <v>1.59393531740436</v>
      </c>
    </row>
    <row r="22" spans="1:9" x14ac:dyDescent="0.3">
      <c r="A22">
        <f t="shared" si="0"/>
        <v>2010</v>
      </c>
      <c r="B22">
        <f>RCT!C22</f>
        <v>1.4967646008880999</v>
      </c>
      <c r="C22">
        <f>CT!C22</f>
        <v>1.75954065215902</v>
      </c>
      <c r="D22">
        <f>META!C22</f>
        <v>1.80634523902901</v>
      </c>
      <c r="E22">
        <f>REVIEW!C22</f>
        <v>1.68042123493513</v>
      </c>
      <c r="F22">
        <f>CCJ!C22</f>
        <v>1.6913254279955601</v>
      </c>
      <c r="G22">
        <f>ALL!C22</f>
        <v>1.6759032703258601</v>
      </c>
      <c r="H22">
        <f>OBS!C22</f>
        <v>0</v>
      </c>
      <c r="I22">
        <f>SYSREV!C22</f>
        <v>1.2196762508083001</v>
      </c>
    </row>
    <row r="23" spans="1:9" x14ac:dyDescent="0.3">
      <c r="A23">
        <f t="shared" si="0"/>
        <v>2011</v>
      </c>
      <c r="B23">
        <f>RCT!C23</f>
        <v>1.4268251009914801</v>
      </c>
      <c r="C23">
        <f>CT!C23</f>
        <v>1.7831979177178301</v>
      </c>
      <c r="D23">
        <f>META!C23</f>
        <v>1.68420925977999</v>
      </c>
      <c r="E23">
        <f>REVIEW!C23</f>
        <v>2.3071691583204799</v>
      </c>
      <c r="F23">
        <f>CCJ!C23</f>
        <v>1.65528587159399</v>
      </c>
      <c r="G23">
        <f>ALL!C23</f>
        <v>1.6957765694105</v>
      </c>
      <c r="H23">
        <f>OBS!C23</f>
        <v>0</v>
      </c>
      <c r="I23">
        <f>SYSREV!C23</f>
        <v>1.7006412790472101</v>
      </c>
    </row>
    <row r="24" spans="1:9" x14ac:dyDescent="0.3">
      <c r="A24">
        <f>A22+2</f>
        <v>2012</v>
      </c>
      <c r="B24">
        <f>RCT!C24</f>
        <v>1.4478975938873799</v>
      </c>
      <c r="C24">
        <f>CT!C24</f>
        <v>1.6285952791653</v>
      </c>
      <c r="D24">
        <f>META!C24</f>
        <v>1.74854455102102</v>
      </c>
      <c r="E24">
        <f>REVIEW!C24</f>
        <v>1.9407959362192599</v>
      </c>
      <c r="F24">
        <f>CCJ!C24</f>
        <v>1.7815904967009</v>
      </c>
      <c r="G24">
        <f>ALL!C24</f>
        <v>1.6516192912699199</v>
      </c>
      <c r="H24">
        <f>OBS!C24</f>
        <v>1.4776705938929899</v>
      </c>
      <c r="I24">
        <f>SYSREV!C24</f>
        <v>1.46161638398055</v>
      </c>
    </row>
    <row r="25" spans="1:9" x14ac:dyDescent="0.3">
      <c r="A25">
        <f t="shared" si="0"/>
        <v>2013</v>
      </c>
      <c r="B25">
        <f>RCT!C25</f>
        <v>1.4304588882432701</v>
      </c>
      <c r="C25">
        <f>CT!C25</f>
        <v>1.6474953170584801</v>
      </c>
      <c r="D25">
        <f>META!C25</f>
        <v>1.4902623743189001</v>
      </c>
      <c r="E25">
        <f>REVIEW!C25</f>
        <v>1.9567354226704401</v>
      </c>
      <c r="F25">
        <f>CCJ!C25</f>
        <v>1.7054459398231101</v>
      </c>
      <c r="G25">
        <f>ALL!C25</f>
        <v>1.64569887951512</v>
      </c>
      <c r="H25">
        <f>OBS!C25</f>
        <v>1.75063481008161</v>
      </c>
      <c r="I25">
        <f>SYSREV!C25</f>
        <v>1.47014565457055</v>
      </c>
    </row>
    <row r="26" spans="1:9" x14ac:dyDescent="0.3">
      <c r="A26">
        <f t="shared" si="0"/>
        <v>2014</v>
      </c>
      <c r="B26">
        <f>RCT!C26</f>
        <v>1.4311158282598699</v>
      </c>
      <c r="C26">
        <f>CT!C26</f>
        <v>1.6322028450524999</v>
      </c>
      <c r="D26">
        <f>META!C26</f>
        <v>1.48625002937782</v>
      </c>
      <c r="E26">
        <f>REVIEW!C26</f>
        <v>1.63949402946664</v>
      </c>
      <c r="F26">
        <f>CCJ!C26</f>
        <v>1.6837930922097599</v>
      </c>
      <c r="G26">
        <f>ALL!C26</f>
        <v>1.64134021168638</v>
      </c>
      <c r="H26">
        <f>OBS!C26</f>
        <v>1.69910997590681</v>
      </c>
      <c r="I26">
        <f>SYSREV!C26</f>
        <v>1.77224815237922</v>
      </c>
    </row>
    <row r="27" spans="1:9" x14ac:dyDescent="0.3">
      <c r="A27">
        <f t="shared" si="0"/>
        <v>2015</v>
      </c>
      <c r="B27">
        <f>RCT!C27</f>
        <v>1.4152657037634</v>
      </c>
      <c r="C27">
        <f>CT!C27</f>
        <v>1.72661188573493</v>
      </c>
      <c r="D27">
        <f>META!C27</f>
        <v>1.43149963033039</v>
      </c>
      <c r="E27">
        <f>REVIEW!C27</f>
        <v>1.59077517773431</v>
      </c>
      <c r="F27">
        <f>CCJ!C27</f>
        <v>1.61080386152945</v>
      </c>
      <c r="G27">
        <f>ALL!C27</f>
        <v>1.6398913272814399</v>
      </c>
      <c r="H27">
        <f>OBS!C27</f>
        <v>1.67980714961559</v>
      </c>
      <c r="I27">
        <f>SYSREV!C27</f>
        <v>1.45468310781754</v>
      </c>
    </row>
    <row r="28" spans="1:9" x14ac:dyDescent="0.3">
      <c r="A28">
        <f t="shared" si="0"/>
        <v>2016</v>
      </c>
      <c r="B28">
        <f>RCT!C28</f>
        <v>1.4019407555299499</v>
      </c>
      <c r="C28">
        <f>CT!C28</f>
        <v>1.6832958078373901</v>
      </c>
      <c r="D28">
        <f>META!C28</f>
        <v>1.3666214177664799</v>
      </c>
      <c r="E28">
        <f>REVIEW!C28</f>
        <v>1.7020175712163099</v>
      </c>
      <c r="F28">
        <f>CCJ!C28</f>
        <v>1.5885307117706799</v>
      </c>
      <c r="G28">
        <f>ALL!C28</f>
        <v>1.60948390646349</v>
      </c>
      <c r="H28">
        <f>OBS!C28</f>
        <v>1.6756523245808099</v>
      </c>
      <c r="I28">
        <f>SYSREV!C28</f>
        <v>1.3327557217043899</v>
      </c>
    </row>
    <row r="29" spans="1:9" x14ac:dyDescent="0.3">
      <c r="A29">
        <f t="shared" si="0"/>
        <v>2017</v>
      </c>
      <c r="B29">
        <f>RCT!C29</f>
        <v>1.3882299603308701</v>
      </c>
      <c r="C29">
        <f>CT!C29</f>
        <v>1.5760197022474101</v>
      </c>
      <c r="D29">
        <f>META!C29</f>
        <v>1.4326673204954501</v>
      </c>
      <c r="E29">
        <f>REVIEW!C29</f>
        <v>1.49048244090715</v>
      </c>
      <c r="F29">
        <f>CCJ!C29</f>
        <v>1.57692191264286</v>
      </c>
      <c r="G29">
        <f>ALL!C29</f>
        <v>1.6030516204796901</v>
      </c>
      <c r="H29">
        <f>OBS!C29</f>
        <v>1.6548974094672999</v>
      </c>
      <c r="I29">
        <f>SYSREV!C29</f>
        <v>1.4600039833065599</v>
      </c>
    </row>
    <row r="30" spans="1:9" x14ac:dyDescent="0.3">
      <c r="A30">
        <f t="shared" si="0"/>
        <v>2018</v>
      </c>
      <c r="B30">
        <f>RCT!C30</f>
        <v>1.40801515667544</v>
      </c>
      <c r="C30">
        <f>CT!C30</f>
        <v>1.59025837407674</v>
      </c>
      <c r="D30">
        <f>META!C30</f>
        <v>1.3530894427418201</v>
      </c>
      <c r="E30">
        <f>REVIEW!C30</f>
        <v>1.5448231671883099</v>
      </c>
      <c r="F30">
        <f>CCJ!C30</f>
        <v>1.55063634564571</v>
      </c>
      <c r="G30">
        <f>ALL!C30</f>
        <v>1.5905160324395</v>
      </c>
      <c r="H30">
        <f>OBS!C30</f>
        <v>1.63302030210204</v>
      </c>
      <c r="I30">
        <f>SYSREV!C30</f>
        <v>1.3573017735147599</v>
      </c>
    </row>
    <row r="31" spans="1:9" x14ac:dyDescent="0.3">
      <c r="A31">
        <f t="shared" si="0"/>
        <v>2019</v>
      </c>
      <c r="B31">
        <f>RCT!C31</f>
        <v>1.3822490980337501</v>
      </c>
      <c r="C31">
        <f>CT!C31</f>
        <v>1.6222803881886301</v>
      </c>
      <c r="D31">
        <f>META!C31</f>
        <v>1.39484538288674</v>
      </c>
      <c r="E31">
        <f>REVIEW!C31</f>
        <v>1.5238399087828201</v>
      </c>
      <c r="F31">
        <f>CCJ!C31</f>
        <v>1.54681934615994</v>
      </c>
      <c r="G31">
        <f>ALL!C31</f>
        <v>1.58807817058698</v>
      </c>
      <c r="H31">
        <f>OBS!C31</f>
        <v>1.6202363612033099</v>
      </c>
      <c r="I31">
        <f>SYSREV!C31</f>
        <v>1.4008292513420999</v>
      </c>
    </row>
    <row r="32" spans="1:9" x14ac:dyDescent="0.3">
      <c r="A32">
        <f t="shared" si="0"/>
        <v>2020</v>
      </c>
      <c r="B32">
        <f>RCT!C32</f>
        <v>1.3809020839036501</v>
      </c>
      <c r="C32">
        <f>CT!C32</f>
        <v>1.6059645715775801</v>
      </c>
      <c r="D32">
        <f>META!C32</f>
        <v>1.4777042264841</v>
      </c>
      <c r="E32">
        <f>REVIEW!C32</f>
        <v>1.6035428022411899</v>
      </c>
      <c r="F32">
        <f>CCJ!C32</f>
        <v>1.6433472347667899</v>
      </c>
      <c r="G32">
        <f>ALL!C32</f>
        <v>1.60261518395194</v>
      </c>
      <c r="H32">
        <f>OBS!C32</f>
        <v>1.6520043233595001</v>
      </c>
      <c r="I32">
        <f>SYSREV!C32</f>
        <v>1.4810664735482899</v>
      </c>
    </row>
    <row r="33" spans="1:9" x14ac:dyDescent="0.3">
      <c r="A33">
        <f t="shared" si="0"/>
        <v>2021</v>
      </c>
      <c r="B33">
        <f>RCT!C33</f>
        <v>1.35408337204922</v>
      </c>
      <c r="C33">
        <f>CT!C33</f>
        <v>1.58439694625788</v>
      </c>
      <c r="D33">
        <f>META!C33</f>
        <v>1.42044934347447</v>
      </c>
      <c r="E33">
        <f>REVIEW!C33</f>
        <v>1.54319601185513</v>
      </c>
      <c r="F33">
        <f>CCJ!C33</f>
        <v>1.57728241731355</v>
      </c>
      <c r="G33">
        <f>ALL!C33</f>
        <v>1.60554287708304</v>
      </c>
      <c r="H33">
        <f>OBS!C33</f>
        <v>1.6654942620240201</v>
      </c>
      <c r="I33">
        <f>SYSREV!C33</f>
        <v>1.4254370796821201</v>
      </c>
    </row>
    <row r="34" spans="1:9" x14ac:dyDescent="0.3">
      <c r="A34">
        <f t="shared" si="0"/>
        <v>2022</v>
      </c>
      <c r="B34">
        <f>RCT!C34</f>
        <v>1.3525896898549501</v>
      </c>
      <c r="C34">
        <f>CT!C34</f>
        <v>1.5970566697658399</v>
      </c>
      <c r="D34">
        <f>META!C34</f>
        <v>1.4827408781829501</v>
      </c>
      <c r="E34">
        <f>REVIEW!C34</f>
        <v>1.55467347855809</v>
      </c>
      <c r="F34">
        <f>CCJ!C34</f>
        <v>1.6421817130602501</v>
      </c>
      <c r="G34">
        <f>ALL!C34</f>
        <v>1.5917090910216301</v>
      </c>
      <c r="H34">
        <f>OBS!C34</f>
        <v>1.6652610285421801</v>
      </c>
      <c r="I34">
        <f>SYSREV!C34</f>
        <v>1.45760885708791</v>
      </c>
    </row>
    <row r="35" spans="1:9" x14ac:dyDescent="0.3">
      <c r="A35">
        <f t="shared" si="0"/>
        <v>2023</v>
      </c>
      <c r="B35">
        <f>RCT!C35</f>
        <v>1.32780612353428</v>
      </c>
      <c r="C35">
        <f>CT!C35</f>
        <v>1.55001718377951</v>
      </c>
      <c r="D35">
        <f>META!C35</f>
        <v>1.46456980558843</v>
      </c>
      <c r="E35">
        <f>REVIEW!C35</f>
        <v>1.53802571091163</v>
      </c>
      <c r="F35">
        <f>CCJ!C35</f>
        <v>1.55299387501291</v>
      </c>
      <c r="G35">
        <f>ALL!C35</f>
        <v>1.5845237392844</v>
      </c>
      <c r="H35">
        <f>OBS!C35</f>
        <v>1.65662450315247</v>
      </c>
      <c r="I35">
        <f>SYSREV!C35</f>
        <v>1.4393666357534201</v>
      </c>
    </row>
    <row r="36" spans="1:9" x14ac:dyDescent="0.3">
      <c r="A36">
        <f t="shared" si="0"/>
        <v>2024</v>
      </c>
      <c r="B36">
        <f>RCT!C36</f>
        <v>1.35062563428837</v>
      </c>
      <c r="C36">
        <f>CT!C36</f>
        <v>1.50282598052048</v>
      </c>
      <c r="D36">
        <f>META!C36</f>
        <v>1.49574942424442</v>
      </c>
      <c r="E36">
        <f>REVIEW!C36</f>
        <v>1.44563654134038</v>
      </c>
      <c r="F36">
        <f>CCJ!C36</f>
        <v>1.6199920942967601</v>
      </c>
      <c r="G36">
        <f>ALL!C36</f>
        <v>1.5878938792667601</v>
      </c>
      <c r="H36">
        <f>OBS!C36</f>
        <v>1.6717359397702201</v>
      </c>
      <c r="I36">
        <f>SYSREV!C36</f>
        <v>1.49401183470638</v>
      </c>
    </row>
    <row r="37" spans="1:9" x14ac:dyDescent="0.3">
      <c r="A37">
        <v>2025</v>
      </c>
      <c r="B37">
        <f>RCT!C37</f>
        <v>1.3642598705868201</v>
      </c>
      <c r="C37">
        <f>CT!C37</f>
        <v>1.6328898166913099</v>
      </c>
      <c r="D37">
        <f>META!C37</f>
        <v>1.43774691572862</v>
      </c>
      <c r="E37">
        <f>REVIEW!C37</f>
        <v>1.51943444601389</v>
      </c>
      <c r="F37">
        <f>CCJ!C37</f>
        <v>1.4977675143990701</v>
      </c>
      <c r="G37">
        <f>ALL!C37</f>
        <v>1.59485451843311</v>
      </c>
      <c r="H37">
        <f>OBS!C37</f>
        <v>1.60355453251779</v>
      </c>
      <c r="I37">
        <f>SYSREV!C37</f>
        <v>1.45560083910967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minp</vt:lpstr>
      <vt:lpstr>maxp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2025-12-10T13:18:22Z</dcterms:modified>
</cp:coreProperties>
</file>