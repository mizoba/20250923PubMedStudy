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/Users/choijinhyeok/Documents/ResearchJamaPvalue/OrganizedCodeStructure/Step4_text_analysis/Figure5/"/>
    </mc:Choice>
  </mc:AlternateContent>
  <xr:revisionPtr revIDLastSave="0" documentId="13_ncr:1_{B97842A8-129D-D240-AC9D-A046064E140E}" xr6:coauthVersionLast="47" xr6:coauthVersionMax="47" xr10:uidLastSave="{00000000-0000-0000-0000-000000000000}"/>
  <bookViews>
    <workbookView xWindow="0" yWindow="760" windowWidth="30240" windowHeight="17800" activeTab="7" xr2:uid="{77A3BA58-E85E-E94B-995A-655657A97866}"/>
  </bookViews>
  <sheets>
    <sheet name="randomized_controlled_trial" sheetId="15" r:id="rId1"/>
    <sheet name="clinical_trial" sheetId="11" r:id="rId2"/>
    <sheet name="meta_analysis" sheetId="13" r:id="rId3"/>
    <sheet name="review" sheetId="16" r:id="rId4"/>
    <sheet name="core_clinical_journal" sheetId="12" r:id="rId5"/>
    <sheet name="observational_study" sheetId="14" r:id="rId6"/>
    <sheet name="systematic_review" sheetId="17" r:id="rId7"/>
    <sheet name="all_articles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2" i="1"/>
  <c r="H3" i="1"/>
  <c r="E53" i="17"/>
  <c r="D53" i="17"/>
  <c r="C53" i="17"/>
  <c r="B53" i="17"/>
  <c r="E53" i="14"/>
  <c r="D53" i="14"/>
  <c r="C53" i="14"/>
  <c r="B53" i="14"/>
  <c r="E53" i="1"/>
  <c r="D53" i="1"/>
  <c r="C53" i="1"/>
  <c r="B53" i="1"/>
</calcChain>
</file>

<file path=xl/sharedStrings.xml><?xml version="1.0" encoding="utf-8"?>
<sst xmlns="http://schemas.openxmlformats.org/spreadsheetml/2006/main" count="60" uniqueCount="24">
  <si>
    <t>Total</t>
  </si>
  <si>
    <t>Other</t>
  </si>
  <si>
    <t>rct</t>
  </si>
  <si>
    <t>&lt;</t>
  </si>
  <si>
    <t>=</t>
  </si>
  <si>
    <t>&gt;</t>
  </si>
  <si>
    <t>total</t>
  </si>
  <si>
    <t>ct</t>
  </si>
  <si>
    <t>meta</t>
  </si>
  <si>
    <t>review</t>
  </si>
  <si>
    <t>total article 22734796 total pvalue 11110029</t>
  </si>
  <si>
    <t>all</t>
  </si>
  <si>
    <t>total article 215849 total pvalue 357961</t>
  </si>
  <si>
    <t>Observational_Study</t>
  </si>
  <si>
    <t>total article 343422 total pvalue 247832</t>
  </si>
  <si>
    <t>Systematic_Review</t>
  </si>
  <si>
    <t>cuj</t>
  </si>
  <si>
    <t>other</t>
  </si>
  <si>
    <t>total article 668641 total pvalue 1075430</t>
  </si>
  <si>
    <t>total article 333103 total pvalue 318912</t>
  </si>
  <si>
    <t>total article 258279 total pvalue 334333</t>
  </si>
  <si>
    <t>total article 2766251 total pvalue 72977</t>
  </si>
  <si>
    <t>total article 2125833 total pvalue 1895414</t>
  </si>
  <si>
    <t>total article 22734796 total pvalue 10697189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</si>
</sst>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3"/>
      <charset val="129"/>
      <scheme val="minor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4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7C6CC"/>
      <color rgb="FFEDF1F3"/>
      <color rgb="FF2B4B5C"/>
      <color rgb="FFA7C6ED"/>
      <color rgb="FFFFFFFF"/>
      <color rgb="FF2646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Randomized controlled trial (295 370 articles, 560 397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randomized_controlled_trial!$B$1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668641 total pvalue 1075430</c:v>
                </c:pt>
              </c:strCache>
            </c:strRef>
          </c:cat>
          <c:val>
            <c:numRef>
              <c:f>randomized_controlled_trial!$B$2:$B$52</c:f>
              <c:numCache>
                <c:formatCode>General</c:formatCode>
                <c:ptCount val="51"/>
                <c:pt idx="0">
                  <c:v>3530</c:v>
                </c:pt>
                <c:pt idx="1">
                  <c:v>4016</c:v>
                </c:pt>
                <c:pt idx="2">
                  <c:v>4365</c:v>
                </c:pt>
                <c:pt idx="3">
                  <c:v>4885</c:v>
                </c:pt>
                <c:pt idx="4">
                  <c:v>5496</c:v>
                </c:pt>
                <c:pt idx="5">
                  <c:v>6402</c:v>
                </c:pt>
                <c:pt idx="6">
                  <c:v>6700</c:v>
                </c:pt>
                <c:pt idx="7">
                  <c:v>6612</c:v>
                </c:pt>
                <c:pt idx="8">
                  <c:v>6867</c:v>
                </c:pt>
                <c:pt idx="9">
                  <c:v>7394</c:v>
                </c:pt>
                <c:pt idx="10">
                  <c:v>6929</c:v>
                </c:pt>
                <c:pt idx="11">
                  <c:v>7554</c:v>
                </c:pt>
                <c:pt idx="12">
                  <c:v>8101</c:v>
                </c:pt>
                <c:pt idx="13">
                  <c:v>9247</c:v>
                </c:pt>
                <c:pt idx="14">
                  <c:v>10180</c:v>
                </c:pt>
                <c:pt idx="15">
                  <c:v>11387</c:v>
                </c:pt>
                <c:pt idx="16">
                  <c:v>12284</c:v>
                </c:pt>
                <c:pt idx="17">
                  <c:v>13098</c:v>
                </c:pt>
                <c:pt idx="18">
                  <c:v>13325</c:v>
                </c:pt>
                <c:pt idx="19">
                  <c:v>14143</c:v>
                </c:pt>
                <c:pt idx="20">
                  <c:v>15277</c:v>
                </c:pt>
                <c:pt idx="21">
                  <c:v>16869</c:v>
                </c:pt>
                <c:pt idx="22">
                  <c:v>18684</c:v>
                </c:pt>
                <c:pt idx="23">
                  <c:v>19133</c:v>
                </c:pt>
                <c:pt idx="24">
                  <c:v>19651</c:v>
                </c:pt>
                <c:pt idx="25">
                  <c:v>18925</c:v>
                </c:pt>
                <c:pt idx="26">
                  <c:v>18389</c:v>
                </c:pt>
                <c:pt idx="27">
                  <c:v>18253</c:v>
                </c:pt>
                <c:pt idx="28">
                  <c:v>17250</c:v>
                </c:pt>
                <c:pt idx="29">
                  <c:v>17141</c:v>
                </c:pt>
                <c:pt idx="30">
                  <c:v>18586</c:v>
                </c:pt>
                <c:pt idx="31">
                  <c:v>19480</c:v>
                </c:pt>
                <c:pt idx="32">
                  <c:v>20063</c:v>
                </c:pt>
                <c:pt idx="33">
                  <c:v>17173</c:v>
                </c:pt>
                <c:pt idx="34">
                  <c:v>20625</c:v>
                </c:pt>
                <c:pt idx="35">
                  <c:v>13432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B-4EB0-9DE3-0C251D35CCF7}"/>
            </c:ext>
          </c:extLst>
        </c:ser>
        <c:ser>
          <c:idx val="1"/>
          <c:order val="1"/>
          <c:tx>
            <c:strRef>
              <c:f>randomized_controlled_trial!$C$1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668641 total pvalue 1075430</c:v>
                </c:pt>
              </c:strCache>
            </c:strRef>
          </c:cat>
          <c:val>
            <c:numRef>
              <c:f>randomized_controlled_trial!$C$2:$C$52</c:f>
              <c:numCache>
                <c:formatCode>General</c:formatCode>
                <c:ptCount val="51"/>
                <c:pt idx="0">
                  <c:v>1442</c:v>
                </c:pt>
                <c:pt idx="1">
                  <c:v>1930</c:v>
                </c:pt>
                <c:pt idx="2">
                  <c:v>2171</c:v>
                </c:pt>
                <c:pt idx="3">
                  <c:v>2783</c:v>
                </c:pt>
                <c:pt idx="4">
                  <c:v>3428</c:v>
                </c:pt>
                <c:pt idx="5">
                  <c:v>4373</c:v>
                </c:pt>
                <c:pt idx="6">
                  <c:v>4592</c:v>
                </c:pt>
                <c:pt idx="7">
                  <c:v>5438</c:v>
                </c:pt>
                <c:pt idx="8">
                  <c:v>5988</c:v>
                </c:pt>
                <c:pt idx="9">
                  <c:v>6682</c:v>
                </c:pt>
                <c:pt idx="10">
                  <c:v>6931</c:v>
                </c:pt>
                <c:pt idx="11">
                  <c:v>7470</c:v>
                </c:pt>
                <c:pt idx="12">
                  <c:v>8566</c:v>
                </c:pt>
                <c:pt idx="13">
                  <c:v>9496</c:v>
                </c:pt>
                <c:pt idx="14">
                  <c:v>11034</c:v>
                </c:pt>
                <c:pt idx="15">
                  <c:v>12842</c:v>
                </c:pt>
                <c:pt idx="16">
                  <c:v>13210</c:v>
                </c:pt>
                <c:pt idx="17">
                  <c:v>14583</c:v>
                </c:pt>
                <c:pt idx="18">
                  <c:v>16187</c:v>
                </c:pt>
                <c:pt idx="19">
                  <c:v>17500</c:v>
                </c:pt>
                <c:pt idx="20">
                  <c:v>18775</c:v>
                </c:pt>
                <c:pt idx="21">
                  <c:v>21311</c:v>
                </c:pt>
                <c:pt idx="22">
                  <c:v>23989</c:v>
                </c:pt>
                <c:pt idx="23">
                  <c:v>25978</c:v>
                </c:pt>
                <c:pt idx="24">
                  <c:v>27724</c:v>
                </c:pt>
                <c:pt idx="25">
                  <c:v>28129</c:v>
                </c:pt>
                <c:pt idx="26">
                  <c:v>27858</c:v>
                </c:pt>
                <c:pt idx="27">
                  <c:v>27904</c:v>
                </c:pt>
                <c:pt idx="28">
                  <c:v>27683</c:v>
                </c:pt>
                <c:pt idx="29">
                  <c:v>28364</c:v>
                </c:pt>
                <c:pt idx="30">
                  <c:v>31061</c:v>
                </c:pt>
                <c:pt idx="31">
                  <c:v>31522</c:v>
                </c:pt>
                <c:pt idx="32">
                  <c:v>29656</c:v>
                </c:pt>
                <c:pt idx="33">
                  <c:v>26815</c:v>
                </c:pt>
                <c:pt idx="34">
                  <c:v>29591</c:v>
                </c:pt>
                <c:pt idx="35">
                  <c:v>18899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B-4EB0-9DE3-0C251D35CCF7}"/>
            </c:ext>
          </c:extLst>
        </c:ser>
        <c:ser>
          <c:idx val="2"/>
          <c:order val="2"/>
          <c:tx>
            <c:strRef>
              <c:f>randomized_controlled_trial!$D$1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randomized_controlled_trial!$A$2:$A$52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668641 total pvalue 1075430</c:v>
                </c:pt>
              </c:strCache>
            </c:strRef>
          </c:cat>
          <c:val>
            <c:numRef>
              <c:f>randomized_controlled_trial!$D$2:$D$52</c:f>
              <c:numCache>
                <c:formatCode>General</c:formatCode>
                <c:ptCount val="51"/>
                <c:pt idx="0">
                  <c:v>1</c:v>
                </c:pt>
                <c:pt idx="1">
                  <c:v>1</c:v>
                </c:pt>
                <c:pt idx="2">
                  <c:v>53</c:v>
                </c:pt>
                <c:pt idx="3">
                  <c:v>218</c:v>
                </c:pt>
                <c:pt idx="4">
                  <c:v>211</c:v>
                </c:pt>
                <c:pt idx="5">
                  <c:v>269</c:v>
                </c:pt>
                <c:pt idx="6">
                  <c:v>264</c:v>
                </c:pt>
                <c:pt idx="7">
                  <c:v>248</c:v>
                </c:pt>
                <c:pt idx="8">
                  <c:v>298</c:v>
                </c:pt>
                <c:pt idx="9">
                  <c:v>360</c:v>
                </c:pt>
                <c:pt idx="10">
                  <c:v>342</c:v>
                </c:pt>
                <c:pt idx="11">
                  <c:v>424</c:v>
                </c:pt>
                <c:pt idx="12">
                  <c:v>432</c:v>
                </c:pt>
                <c:pt idx="13">
                  <c:v>533</c:v>
                </c:pt>
                <c:pt idx="14">
                  <c:v>625</c:v>
                </c:pt>
                <c:pt idx="15">
                  <c:v>762</c:v>
                </c:pt>
                <c:pt idx="16">
                  <c:v>936</c:v>
                </c:pt>
                <c:pt idx="17">
                  <c:v>966</c:v>
                </c:pt>
                <c:pt idx="18">
                  <c:v>1023</c:v>
                </c:pt>
                <c:pt idx="19">
                  <c:v>1244</c:v>
                </c:pt>
                <c:pt idx="20">
                  <c:v>1301</c:v>
                </c:pt>
                <c:pt idx="21">
                  <c:v>1550</c:v>
                </c:pt>
                <c:pt idx="22">
                  <c:v>1849</c:v>
                </c:pt>
                <c:pt idx="23">
                  <c:v>1886</c:v>
                </c:pt>
                <c:pt idx="24">
                  <c:v>2051</c:v>
                </c:pt>
                <c:pt idx="25">
                  <c:v>1932</c:v>
                </c:pt>
                <c:pt idx="26">
                  <c:v>1865</c:v>
                </c:pt>
                <c:pt idx="27">
                  <c:v>2131</c:v>
                </c:pt>
                <c:pt idx="28">
                  <c:v>2068</c:v>
                </c:pt>
                <c:pt idx="29">
                  <c:v>1985</c:v>
                </c:pt>
                <c:pt idx="30">
                  <c:v>2265</c:v>
                </c:pt>
                <c:pt idx="31">
                  <c:v>2391</c:v>
                </c:pt>
                <c:pt idx="32">
                  <c:v>2551</c:v>
                </c:pt>
                <c:pt idx="33">
                  <c:v>2429</c:v>
                </c:pt>
                <c:pt idx="34">
                  <c:v>2846</c:v>
                </c:pt>
                <c:pt idx="35">
                  <c:v>1769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B-4EB0-9DE3-0C251D35C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45000"/>
                  <a:t>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Clinical trial (83 571 articles, 101 112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clinical_trial!$B$1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clinical_trial!$A$2:$A$52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333103 total pvalue 318912</c:v>
                </c:pt>
              </c:strCache>
            </c:strRef>
          </c:cat>
          <c:val>
            <c:numRef>
              <c:f>clinical_trial!$B$2:$B$52</c:f>
              <c:numCache>
                <c:formatCode>General</c:formatCode>
                <c:ptCount val="51"/>
                <c:pt idx="0">
                  <c:v>1450</c:v>
                </c:pt>
                <c:pt idx="1">
                  <c:v>1704</c:v>
                </c:pt>
                <c:pt idx="2">
                  <c:v>1413</c:v>
                </c:pt>
                <c:pt idx="3">
                  <c:v>1406</c:v>
                </c:pt>
                <c:pt idx="4">
                  <c:v>3726</c:v>
                </c:pt>
                <c:pt idx="5">
                  <c:v>4175</c:v>
                </c:pt>
                <c:pt idx="6">
                  <c:v>4025</c:v>
                </c:pt>
                <c:pt idx="7">
                  <c:v>4488</c:v>
                </c:pt>
                <c:pt idx="8">
                  <c:v>4444</c:v>
                </c:pt>
                <c:pt idx="9">
                  <c:v>5072</c:v>
                </c:pt>
                <c:pt idx="10">
                  <c:v>5206</c:v>
                </c:pt>
                <c:pt idx="11">
                  <c:v>4152</c:v>
                </c:pt>
                <c:pt idx="12">
                  <c:v>4568</c:v>
                </c:pt>
                <c:pt idx="13">
                  <c:v>5717</c:v>
                </c:pt>
                <c:pt idx="14">
                  <c:v>5957</c:v>
                </c:pt>
                <c:pt idx="15">
                  <c:v>6737</c:v>
                </c:pt>
                <c:pt idx="16">
                  <c:v>6077</c:v>
                </c:pt>
                <c:pt idx="17">
                  <c:v>5928</c:v>
                </c:pt>
                <c:pt idx="18">
                  <c:v>5222</c:v>
                </c:pt>
                <c:pt idx="19">
                  <c:v>5208</c:v>
                </c:pt>
                <c:pt idx="20">
                  <c:v>5216</c:v>
                </c:pt>
                <c:pt idx="21">
                  <c:v>6100</c:v>
                </c:pt>
                <c:pt idx="22">
                  <c:v>6760</c:v>
                </c:pt>
                <c:pt idx="23">
                  <c:v>7430</c:v>
                </c:pt>
                <c:pt idx="24">
                  <c:v>6966</c:v>
                </c:pt>
                <c:pt idx="25">
                  <c:v>6123</c:v>
                </c:pt>
                <c:pt idx="26">
                  <c:v>5272</c:v>
                </c:pt>
                <c:pt idx="27">
                  <c:v>4785</c:v>
                </c:pt>
                <c:pt idx="28">
                  <c:v>4746</c:v>
                </c:pt>
                <c:pt idx="29">
                  <c:v>4502</c:v>
                </c:pt>
                <c:pt idx="30">
                  <c:v>3446</c:v>
                </c:pt>
                <c:pt idx="31">
                  <c:v>3246</c:v>
                </c:pt>
                <c:pt idx="32">
                  <c:v>2582</c:v>
                </c:pt>
                <c:pt idx="33">
                  <c:v>2094</c:v>
                </c:pt>
                <c:pt idx="34">
                  <c:v>1639</c:v>
                </c:pt>
                <c:pt idx="35">
                  <c:v>1129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4-477F-A8A3-1C07B0AF3A0A}"/>
            </c:ext>
          </c:extLst>
        </c:ser>
        <c:ser>
          <c:idx val="1"/>
          <c:order val="1"/>
          <c:tx>
            <c:strRef>
              <c:f>clinical_trial!$C$1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clinical_trial!$A$2:$A$52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333103 total pvalue 318912</c:v>
                </c:pt>
              </c:strCache>
            </c:strRef>
          </c:cat>
          <c:val>
            <c:numRef>
              <c:f>clinical_trial!$C$2:$C$52</c:f>
              <c:numCache>
                <c:formatCode>General</c:formatCode>
                <c:ptCount val="51"/>
                <c:pt idx="0">
                  <c:v>415</c:v>
                </c:pt>
                <c:pt idx="1">
                  <c:v>418</c:v>
                </c:pt>
                <c:pt idx="2">
                  <c:v>488</c:v>
                </c:pt>
                <c:pt idx="3">
                  <c:v>598</c:v>
                </c:pt>
                <c:pt idx="4">
                  <c:v>1600</c:v>
                </c:pt>
                <c:pt idx="5">
                  <c:v>1691</c:v>
                </c:pt>
                <c:pt idx="6">
                  <c:v>1855</c:v>
                </c:pt>
                <c:pt idx="7">
                  <c:v>2146</c:v>
                </c:pt>
                <c:pt idx="8">
                  <c:v>2590</c:v>
                </c:pt>
                <c:pt idx="9">
                  <c:v>3091</c:v>
                </c:pt>
                <c:pt idx="10">
                  <c:v>3083</c:v>
                </c:pt>
                <c:pt idx="11">
                  <c:v>3129</c:v>
                </c:pt>
                <c:pt idx="12">
                  <c:v>2970</c:v>
                </c:pt>
                <c:pt idx="13">
                  <c:v>4050</c:v>
                </c:pt>
                <c:pt idx="14">
                  <c:v>4563</c:v>
                </c:pt>
                <c:pt idx="15">
                  <c:v>5347</c:v>
                </c:pt>
                <c:pt idx="16">
                  <c:v>5541</c:v>
                </c:pt>
                <c:pt idx="17">
                  <c:v>5587</c:v>
                </c:pt>
                <c:pt idx="18">
                  <c:v>5514</c:v>
                </c:pt>
                <c:pt idx="19">
                  <c:v>5142</c:v>
                </c:pt>
                <c:pt idx="20">
                  <c:v>5697</c:v>
                </c:pt>
                <c:pt idx="21">
                  <c:v>6964</c:v>
                </c:pt>
                <c:pt idx="22">
                  <c:v>7838</c:v>
                </c:pt>
                <c:pt idx="23">
                  <c:v>8529</c:v>
                </c:pt>
                <c:pt idx="24">
                  <c:v>8218</c:v>
                </c:pt>
                <c:pt idx="25">
                  <c:v>7656</c:v>
                </c:pt>
                <c:pt idx="26">
                  <c:v>6759</c:v>
                </c:pt>
                <c:pt idx="27">
                  <c:v>6615</c:v>
                </c:pt>
                <c:pt idx="28">
                  <c:v>6382</c:v>
                </c:pt>
                <c:pt idx="29">
                  <c:v>6497</c:v>
                </c:pt>
                <c:pt idx="30">
                  <c:v>5221</c:v>
                </c:pt>
                <c:pt idx="31">
                  <c:v>5102</c:v>
                </c:pt>
                <c:pt idx="32">
                  <c:v>3663</c:v>
                </c:pt>
                <c:pt idx="33">
                  <c:v>3005</c:v>
                </c:pt>
                <c:pt idx="34">
                  <c:v>2369</c:v>
                </c:pt>
                <c:pt idx="35">
                  <c:v>1538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74-477F-A8A3-1C07B0AF3A0A}"/>
            </c:ext>
          </c:extLst>
        </c:ser>
        <c:ser>
          <c:idx val="2"/>
          <c:order val="2"/>
          <c:tx>
            <c:strRef>
              <c:f>clinical_trial!$D$1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clinical_trial!$A$2:$A$52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333103 total pvalue 318912</c:v>
                </c:pt>
              </c:strCache>
            </c:strRef>
          </c:cat>
          <c:val>
            <c:numRef>
              <c:f>clinical_trial!$D$2:$D$52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13</c:v>
                </c:pt>
                <c:pt idx="3">
                  <c:v>32</c:v>
                </c:pt>
                <c:pt idx="4">
                  <c:v>111</c:v>
                </c:pt>
                <c:pt idx="5">
                  <c:v>128</c:v>
                </c:pt>
                <c:pt idx="6">
                  <c:v>122</c:v>
                </c:pt>
                <c:pt idx="7">
                  <c:v>155</c:v>
                </c:pt>
                <c:pt idx="8">
                  <c:v>165</c:v>
                </c:pt>
                <c:pt idx="9">
                  <c:v>182</c:v>
                </c:pt>
                <c:pt idx="10">
                  <c:v>152</c:v>
                </c:pt>
                <c:pt idx="11">
                  <c:v>169</c:v>
                </c:pt>
                <c:pt idx="12">
                  <c:v>202</c:v>
                </c:pt>
                <c:pt idx="13">
                  <c:v>226</c:v>
                </c:pt>
                <c:pt idx="14">
                  <c:v>255</c:v>
                </c:pt>
                <c:pt idx="15">
                  <c:v>374</c:v>
                </c:pt>
                <c:pt idx="16">
                  <c:v>349</c:v>
                </c:pt>
                <c:pt idx="17">
                  <c:v>350</c:v>
                </c:pt>
                <c:pt idx="18">
                  <c:v>299</c:v>
                </c:pt>
                <c:pt idx="19">
                  <c:v>332</c:v>
                </c:pt>
                <c:pt idx="20">
                  <c:v>344</c:v>
                </c:pt>
                <c:pt idx="21">
                  <c:v>409</c:v>
                </c:pt>
                <c:pt idx="22">
                  <c:v>466</c:v>
                </c:pt>
                <c:pt idx="23">
                  <c:v>493</c:v>
                </c:pt>
                <c:pt idx="24">
                  <c:v>437</c:v>
                </c:pt>
                <c:pt idx="25">
                  <c:v>404</c:v>
                </c:pt>
                <c:pt idx="26">
                  <c:v>331</c:v>
                </c:pt>
                <c:pt idx="27">
                  <c:v>294</c:v>
                </c:pt>
                <c:pt idx="28">
                  <c:v>287</c:v>
                </c:pt>
                <c:pt idx="29">
                  <c:v>271</c:v>
                </c:pt>
                <c:pt idx="30">
                  <c:v>195</c:v>
                </c:pt>
                <c:pt idx="31">
                  <c:v>241</c:v>
                </c:pt>
                <c:pt idx="32">
                  <c:v>186</c:v>
                </c:pt>
                <c:pt idx="33">
                  <c:v>177</c:v>
                </c:pt>
                <c:pt idx="34">
                  <c:v>111</c:v>
                </c:pt>
                <c:pt idx="35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74-477F-A8A3-1C07B0AF3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50000"/>
                  <a:t>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10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Meta analysis (196 145 articles, 288 438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meta_analysis!$B$1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meta_analysis!$A$2:$A$52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258279 total pvalue 334333</c:v>
                </c:pt>
              </c:strCache>
            </c:strRef>
          </c:cat>
          <c:val>
            <c:numRef>
              <c:f>meta_analysis!$B$2:$B$52</c:f>
              <c:numCache>
                <c:formatCode>General</c:formatCode>
                <c:ptCount val="51"/>
                <c:pt idx="0">
                  <c:v>34</c:v>
                </c:pt>
                <c:pt idx="1">
                  <c:v>42</c:v>
                </c:pt>
                <c:pt idx="2">
                  <c:v>50</c:v>
                </c:pt>
                <c:pt idx="3">
                  <c:v>65</c:v>
                </c:pt>
                <c:pt idx="4">
                  <c:v>97</c:v>
                </c:pt>
                <c:pt idx="5">
                  <c:v>114</c:v>
                </c:pt>
                <c:pt idx="6">
                  <c:v>119</c:v>
                </c:pt>
                <c:pt idx="7">
                  <c:v>124</c:v>
                </c:pt>
                <c:pt idx="8">
                  <c:v>126</c:v>
                </c:pt>
                <c:pt idx="9">
                  <c:v>136</c:v>
                </c:pt>
                <c:pt idx="10">
                  <c:v>188</c:v>
                </c:pt>
                <c:pt idx="11">
                  <c:v>182</c:v>
                </c:pt>
                <c:pt idx="12">
                  <c:v>234</c:v>
                </c:pt>
                <c:pt idx="13">
                  <c:v>321</c:v>
                </c:pt>
                <c:pt idx="14">
                  <c:v>278</c:v>
                </c:pt>
                <c:pt idx="15">
                  <c:v>494</c:v>
                </c:pt>
                <c:pt idx="16">
                  <c:v>578</c:v>
                </c:pt>
                <c:pt idx="17">
                  <c:v>754</c:v>
                </c:pt>
                <c:pt idx="18">
                  <c:v>774</c:v>
                </c:pt>
                <c:pt idx="19">
                  <c:v>1013</c:v>
                </c:pt>
                <c:pt idx="20">
                  <c:v>1370</c:v>
                </c:pt>
                <c:pt idx="21">
                  <c:v>1914</c:v>
                </c:pt>
                <c:pt idx="22">
                  <c:v>2472</c:v>
                </c:pt>
                <c:pt idx="23">
                  <c:v>3516</c:v>
                </c:pt>
                <c:pt idx="24">
                  <c:v>4504</c:v>
                </c:pt>
                <c:pt idx="25">
                  <c:v>5351</c:v>
                </c:pt>
                <c:pt idx="26">
                  <c:v>5621</c:v>
                </c:pt>
                <c:pt idx="27">
                  <c:v>6169</c:v>
                </c:pt>
                <c:pt idx="28">
                  <c:v>6606</c:v>
                </c:pt>
                <c:pt idx="29">
                  <c:v>7790</c:v>
                </c:pt>
                <c:pt idx="30">
                  <c:v>9904</c:v>
                </c:pt>
                <c:pt idx="31">
                  <c:v>11689</c:v>
                </c:pt>
                <c:pt idx="32">
                  <c:v>12475</c:v>
                </c:pt>
                <c:pt idx="33">
                  <c:v>12270</c:v>
                </c:pt>
                <c:pt idx="34">
                  <c:v>13912</c:v>
                </c:pt>
                <c:pt idx="35">
                  <c:v>8878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7-40D5-A417-BD2E3B652EBA}"/>
            </c:ext>
          </c:extLst>
        </c:ser>
        <c:ser>
          <c:idx val="1"/>
          <c:order val="1"/>
          <c:tx>
            <c:strRef>
              <c:f>meta_analysis!$C$1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meta_analysis!$A$2:$A$52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258279 total pvalue 334333</c:v>
                </c:pt>
              </c:strCache>
            </c:strRef>
          </c:cat>
          <c:val>
            <c:numRef>
              <c:f>meta_analysis!$C$2:$C$52</c:f>
              <c:numCache>
                <c:formatCode>General</c:formatCode>
                <c:ptCount val="51"/>
                <c:pt idx="0">
                  <c:v>45</c:v>
                </c:pt>
                <c:pt idx="1">
                  <c:v>79</c:v>
                </c:pt>
                <c:pt idx="2">
                  <c:v>33</c:v>
                </c:pt>
                <c:pt idx="3">
                  <c:v>64</c:v>
                </c:pt>
                <c:pt idx="4">
                  <c:v>74</c:v>
                </c:pt>
                <c:pt idx="5">
                  <c:v>101</c:v>
                </c:pt>
                <c:pt idx="6">
                  <c:v>140</c:v>
                </c:pt>
                <c:pt idx="7">
                  <c:v>173</c:v>
                </c:pt>
                <c:pt idx="8">
                  <c:v>139</c:v>
                </c:pt>
                <c:pt idx="9">
                  <c:v>166</c:v>
                </c:pt>
                <c:pt idx="10">
                  <c:v>211</c:v>
                </c:pt>
                <c:pt idx="11">
                  <c:v>255</c:v>
                </c:pt>
                <c:pt idx="12">
                  <c:v>324</c:v>
                </c:pt>
                <c:pt idx="13">
                  <c:v>488</c:v>
                </c:pt>
                <c:pt idx="14">
                  <c:v>581</c:v>
                </c:pt>
                <c:pt idx="15">
                  <c:v>851</c:v>
                </c:pt>
                <c:pt idx="16">
                  <c:v>1090</c:v>
                </c:pt>
                <c:pt idx="17">
                  <c:v>1392</c:v>
                </c:pt>
                <c:pt idx="18">
                  <c:v>1818</c:v>
                </c:pt>
                <c:pt idx="19">
                  <c:v>2316</c:v>
                </c:pt>
                <c:pt idx="20">
                  <c:v>3081</c:v>
                </c:pt>
                <c:pt idx="21">
                  <c:v>4068</c:v>
                </c:pt>
                <c:pt idx="22">
                  <c:v>6018</c:v>
                </c:pt>
                <c:pt idx="23">
                  <c:v>8000</c:v>
                </c:pt>
                <c:pt idx="24">
                  <c:v>9463</c:v>
                </c:pt>
                <c:pt idx="25">
                  <c:v>10669</c:v>
                </c:pt>
                <c:pt idx="26">
                  <c:v>10656</c:v>
                </c:pt>
                <c:pt idx="27">
                  <c:v>11666</c:v>
                </c:pt>
                <c:pt idx="28">
                  <c:v>12355</c:v>
                </c:pt>
                <c:pt idx="29">
                  <c:v>13890</c:v>
                </c:pt>
                <c:pt idx="30">
                  <c:v>17065</c:v>
                </c:pt>
                <c:pt idx="31">
                  <c:v>19210</c:v>
                </c:pt>
                <c:pt idx="32">
                  <c:v>19492</c:v>
                </c:pt>
                <c:pt idx="33">
                  <c:v>19131</c:v>
                </c:pt>
                <c:pt idx="34">
                  <c:v>20130</c:v>
                </c:pt>
                <c:pt idx="35">
                  <c:v>12852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D7-40D5-A417-BD2E3B652EBA}"/>
            </c:ext>
          </c:extLst>
        </c:ser>
        <c:ser>
          <c:idx val="2"/>
          <c:order val="2"/>
          <c:tx>
            <c:strRef>
              <c:f>meta_analysis!$D$1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meta_analysis!$A$2:$A$52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258279 total pvalue 334333</c:v>
                </c:pt>
              </c:strCache>
            </c:strRef>
          </c:cat>
          <c:val>
            <c:numRef>
              <c:f>meta_analysis!$D$2:$D$52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8</c:v>
                </c:pt>
                <c:pt idx="6">
                  <c:v>6</c:v>
                </c:pt>
                <c:pt idx="7">
                  <c:v>9</c:v>
                </c:pt>
                <c:pt idx="8">
                  <c:v>10</c:v>
                </c:pt>
                <c:pt idx="9">
                  <c:v>2</c:v>
                </c:pt>
                <c:pt idx="10">
                  <c:v>11</c:v>
                </c:pt>
                <c:pt idx="11">
                  <c:v>8</c:v>
                </c:pt>
                <c:pt idx="12">
                  <c:v>14</c:v>
                </c:pt>
                <c:pt idx="13">
                  <c:v>11</c:v>
                </c:pt>
                <c:pt idx="14">
                  <c:v>31</c:v>
                </c:pt>
                <c:pt idx="15">
                  <c:v>34</c:v>
                </c:pt>
                <c:pt idx="16">
                  <c:v>31</c:v>
                </c:pt>
                <c:pt idx="17">
                  <c:v>22</c:v>
                </c:pt>
                <c:pt idx="18">
                  <c:v>31</c:v>
                </c:pt>
                <c:pt idx="19">
                  <c:v>58</c:v>
                </c:pt>
                <c:pt idx="20">
                  <c:v>90</c:v>
                </c:pt>
                <c:pt idx="21">
                  <c:v>100</c:v>
                </c:pt>
                <c:pt idx="22">
                  <c:v>155</c:v>
                </c:pt>
                <c:pt idx="23">
                  <c:v>204</c:v>
                </c:pt>
                <c:pt idx="24">
                  <c:v>307</c:v>
                </c:pt>
                <c:pt idx="25">
                  <c:v>309</c:v>
                </c:pt>
                <c:pt idx="26">
                  <c:v>300</c:v>
                </c:pt>
                <c:pt idx="27">
                  <c:v>363</c:v>
                </c:pt>
                <c:pt idx="28">
                  <c:v>339</c:v>
                </c:pt>
                <c:pt idx="29">
                  <c:v>399</c:v>
                </c:pt>
                <c:pt idx="30">
                  <c:v>441</c:v>
                </c:pt>
                <c:pt idx="31">
                  <c:v>527</c:v>
                </c:pt>
                <c:pt idx="32">
                  <c:v>595</c:v>
                </c:pt>
                <c:pt idx="33">
                  <c:v>576</c:v>
                </c:pt>
                <c:pt idx="34">
                  <c:v>622</c:v>
                </c:pt>
                <c:pt idx="35">
                  <c:v>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D7-40D5-A417-BD2E3B652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45000"/>
                  <a:t>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Review (1 311 572 articles, 48 658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review!$B$1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review!$A$2:$A$52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2766251 total pvalue 72977</c:v>
                </c:pt>
              </c:strCache>
            </c:strRef>
          </c:cat>
          <c:val>
            <c:numRef>
              <c:f>review!$B$2:$B$52</c:f>
              <c:numCache>
                <c:formatCode>General</c:formatCode>
                <c:ptCount val="51"/>
                <c:pt idx="0">
                  <c:v>302</c:v>
                </c:pt>
                <c:pt idx="1">
                  <c:v>342</c:v>
                </c:pt>
                <c:pt idx="2">
                  <c:v>336</c:v>
                </c:pt>
                <c:pt idx="3">
                  <c:v>269</c:v>
                </c:pt>
                <c:pt idx="4">
                  <c:v>267</c:v>
                </c:pt>
                <c:pt idx="5">
                  <c:v>339</c:v>
                </c:pt>
                <c:pt idx="6">
                  <c:v>411</c:v>
                </c:pt>
                <c:pt idx="7">
                  <c:v>414</c:v>
                </c:pt>
                <c:pt idx="8">
                  <c:v>412</c:v>
                </c:pt>
                <c:pt idx="9">
                  <c:v>293</c:v>
                </c:pt>
                <c:pt idx="10">
                  <c:v>280</c:v>
                </c:pt>
                <c:pt idx="11">
                  <c:v>312</c:v>
                </c:pt>
                <c:pt idx="12">
                  <c:v>350</c:v>
                </c:pt>
                <c:pt idx="13">
                  <c:v>512</c:v>
                </c:pt>
                <c:pt idx="14">
                  <c:v>588</c:v>
                </c:pt>
                <c:pt idx="15">
                  <c:v>514</c:v>
                </c:pt>
                <c:pt idx="16">
                  <c:v>462</c:v>
                </c:pt>
                <c:pt idx="17">
                  <c:v>568</c:v>
                </c:pt>
                <c:pt idx="18">
                  <c:v>461</c:v>
                </c:pt>
                <c:pt idx="19">
                  <c:v>540</c:v>
                </c:pt>
                <c:pt idx="20">
                  <c:v>701</c:v>
                </c:pt>
                <c:pt idx="21">
                  <c:v>729</c:v>
                </c:pt>
                <c:pt idx="22">
                  <c:v>887</c:v>
                </c:pt>
                <c:pt idx="23">
                  <c:v>1009</c:v>
                </c:pt>
                <c:pt idx="24">
                  <c:v>1053</c:v>
                </c:pt>
                <c:pt idx="25">
                  <c:v>1175</c:v>
                </c:pt>
                <c:pt idx="26">
                  <c:v>1271</c:v>
                </c:pt>
                <c:pt idx="27">
                  <c:v>1231</c:v>
                </c:pt>
                <c:pt idx="28">
                  <c:v>1263</c:v>
                </c:pt>
                <c:pt idx="29">
                  <c:v>1441</c:v>
                </c:pt>
                <c:pt idx="30">
                  <c:v>1773</c:v>
                </c:pt>
                <c:pt idx="31">
                  <c:v>2293</c:v>
                </c:pt>
                <c:pt idx="32">
                  <c:v>2935</c:v>
                </c:pt>
                <c:pt idx="33">
                  <c:v>2913</c:v>
                </c:pt>
                <c:pt idx="34">
                  <c:v>2164</c:v>
                </c:pt>
                <c:pt idx="35">
                  <c:v>1019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4-4541-A88D-286F6E79C391}"/>
            </c:ext>
          </c:extLst>
        </c:ser>
        <c:ser>
          <c:idx val="1"/>
          <c:order val="1"/>
          <c:tx>
            <c:strRef>
              <c:f>review!$C$1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review!$A$2:$A$52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2766251 total pvalue 72977</c:v>
                </c:pt>
              </c:strCache>
            </c:strRef>
          </c:cat>
          <c:val>
            <c:numRef>
              <c:f>review!$C$2:$C$52</c:f>
              <c:numCache>
                <c:formatCode>General</c:formatCode>
                <c:ptCount val="51"/>
                <c:pt idx="0">
                  <c:v>75</c:v>
                </c:pt>
                <c:pt idx="1">
                  <c:v>106</c:v>
                </c:pt>
                <c:pt idx="2">
                  <c:v>128</c:v>
                </c:pt>
                <c:pt idx="3">
                  <c:v>151</c:v>
                </c:pt>
                <c:pt idx="4">
                  <c:v>161</c:v>
                </c:pt>
                <c:pt idx="5">
                  <c:v>229</c:v>
                </c:pt>
                <c:pt idx="6">
                  <c:v>279</c:v>
                </c:pt>
                <c:pt idx="7">
                  <c:v>300</c:v>
                </c:pt>
                <c:pt idx="8">
                  <c:v>292</c:v>
                </c:pt>
                <c:pt idx="9">
                  <c:v>233</c:v>
                </c:pt>
                <c:pt idx="10">
                  <c:v>266</c:v>
                </c:pt>
                <c:pt idx="11">
                  <c:v>357</c:v>
                </c:pt>
                <c:pt idx="12">
                  <c:v>377</c:v>
                </c:pt>
                <c:pt idx="13">
                  <c:v>549</c:v>
                </c:pt>
                <c:pt idx="14">
                  <c:v>745</c:v>
                </c:pt>
                <c:pt idx="15">
                  <c:v>608</c:v>
                </c:pt>
                <c:pt idx="16">
                  <c:v>520</c:v>
                </c:pt>
                <c:pt idx="17">
                  <c:v>629</c:v>
                </c:pt>
                <c:pt idx="18">
                  <c:v>667</c:v>
                </c:pt>
                <c:pt idx="19">
                  <c:v>717</c:v>
                </c:pt>
                <c:pt idx="20">
                  <c:v>846</c:v>
                </c:pt>
                <c:pt idx="21">
                  <c:v>990</c:v>
                </c:pt>
                <c:pt idx="22">
                  <c:v>1207</c:v>
                </c:pt>
                <c:pt idx="23">
                  <c:v>1371</c:v>
                </c:pt>
                <c:pt idx="24">
                  <c:v>1399</c:v>
                </c:pt>
                <c:pt idx="25">
                  <c:v>1624</c:v>
                </c:pt>
                <c:pt idx="26">
                  <c:v>1912</c:v>
                </c:pt>
                <c:pt idx="27">
                  <c:v>1951</c:v>
                </c:pt>
                <c:pt idx="28">
                  <c:v>1938</c:v>
                </c:pt>
                <c:pt idx="29">
                  <c:v>1956</c:v>
                </c:pt>
                <c:pt idx="30">
                  <c:v>2374</c:v>
                </c:pt>
                <c:pt idx="31">
                  <c:v>2906</c:v>
                </c:pt>
                <c:pt idx="32">
                  <c:v>3958</c:v>
                </c:pt>
                <c:pt idx="33">
                  <c:v>4054</c:v>
                </c:pt>
                <c:pt idx="34">
                  <c:v>2722</c:v>
                </c:pt>
                <c:pt idx="35">
                  <c:v>1171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74-4541-A88D-286F6E79C391}"/>
            </c:ext>
          </c:extLst>
        </c:ser>
        <c:ser>
          <c:idx val="2"/>
          <c:order val="2"/>
          <c:tx>
            <c:strRef>
              <c:f>review!$D$1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review!$A$2:$A$52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2766251 total pvalue 72977</c:v>
                </c:pt>
              </c:strCache>
            </c:strRef>
          </c:cat>
          <c:val>
            <c:numRef>
              <c:f>review!$D$2:$D$52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16</c:v>
                </c:pt>
                <c:pt idx="4">
                  <c:v>7</c:v>
                </c:pt>
                <c:pt idx="5">
                  <c:v>8</c:v>
                </c:pt>
                <c:pt idx="6">
                  <c:v>15</c:v>
                </c:pt>
                <c:pt idx="7">
                  <c:v>11</c:v>
                </c:pt>
                <c:pt idx="8">
                  <c:v>4</c:v>
                </c:pt>
                <c:pt idx="9">
                  <c:v>8</c:v>
                </c:pt>
                <c:pt idx="10">
                  <c:v>16</c:v>
                </c:pt>
                <c:pt idx="11">
                  <c:v>6</c:v>
                </c:pt>
                <c:pt idx="12">
                  <c:v>12</c:v>
                </c:pt>
                <c:pt idx="13">
                  <c:v>16</c:v>
                </c:pt>
                <c:pt idx="14">
                  <c:v>23</c:v>
                </c:pt>
                <c:pt idx="15">
                  <c:v>13</c:v>
                </c:pt>
                <c:pt idx="16">
                  <c:v>8</c:v>
                </c:pt>
                <c:pt idx="17">
                  <c:v>12</c:v>
                </c:pt>
                <c:pt idx="18">
                  <c:v>13</c:v>
                </c:pt>
                <c:pt idx="19">
                  <c:v>20</c:v>
                </c:pt>
                <c:pt idx="20">
                  <c:v>32</c:v>
                </c:pt>
                <c:pt idx="21">
                  <c:v>36</c:v>
                </c:pt>
                <c:pt idx="22">
                  <c:v>19</c:v>
                </c:pt>
                <c:pt idx="23">
                  <c:v>49</c:v>
                </c:pt>
                <c:pt idx="24">
                  <c:v>63</c:v>
                </c:pt>
                <c:pt idx="25">
                  <c:v>56</c:v>
                </c:pt>
                <c:pt idx="26">
                  <c:v>61</c:v>
                </c:pt>
                <c:pt idx="27">
                  <c:v>50</c:v>
                </c:pt>
                <c:pt idx="28">
                  <c:v>65</c:v>
                </c:pt>
                <c:pt idx="29">
                  <c:v>59</c:v>
                </c:pt>
                <c:pt idx="30">
                  <c:v>98</c:v>
                </c:pt>
                <c:pt idx="31">
                  <c:v>111</c:v>
                </c:pt>
                <c:pt idx="32">
                  <c:v>157</c:v>
                </c:pt>
                <c:pt idx="33">
                  <c:v>130</c:v>
                </c:pt>
                <c:pt idx="34">
                  <c:v>119</c:v>
                </c:pt>
                <c:pt idx="35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74-4541-A88D-286F6E79C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ko-KR" altLang="en-US" sz="2000"/>
                  <a:t>⁴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Core clinical journal (372 182 articles, 428 987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core_clinical_journal!$B$1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core_clinical_journal!$A$2:$A$52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2125833 total pvalue 1895414</c:v>
                </c:pt>
              </c:strCache>
            </c:strRef>
          </c:cat>
          <c:val>
            <c:numRef>
              <c:f>core_clinical_journal!$B$2:$B$52</c:f>
              <c:numCache>
                <c:formatCode>General</c:formatCode>
                <c:ptCount val="51"/>
                <c:pt idx="0">
                  <c:v>9973</c:v>
                </c:pt>
                <c:pt idx="1">
                  <c:v>11432</c:v>
                </c:pt>
                <c:pt idx="2">
                  <c:v>12709</c:v>
                </c:pt>
                <c:pt idx="3">
                  <c:v>13034</c:v>
                </c:pt>
                <c:pt idx="4">
                  <c:v>14511</c:v>
                </c:pt>
                <c:pt idx="5">
                  <c:v>15834</c:v>
                </c:pt>
                <c:pt idx="6">
                  <c:v>16184</c:v>
                </c:pt>
                <c:pt idx="7">
                  <c:v>16655</c:v>
                </c:pt>
                <c:pt idx="8">
                  <c:v>16752</c:v>
                </c:pt>
                <c:pt idx="9">
                  <c:v>17265</c:v>
                </c:pt>
                <c:pt idx="10">
                  <c:v>16621</c:v>
                </c:pt>
                <c:pt idx="11">
                  <c:v>18085</c:v>
                </c:pt>
                <c:pt idx="12">
                  <c:v>18353</c:v>
                </c:pt>
                <c:pt idx="13">
                  <c:v>19510</c:v>
                </c:pt>
                <c:pt idx="14">
                  <c:v>21277</c:v>
                </c:pt>
                <c:pt idx="15">
                  <c:v>23674</c:v>
                </c:pt>
                <c:pt idx="16">
                  <c:v>23986</c:v>
                </c:pt>
                <c:pt idx="17">
                  <c:v>25021</c:v>
                </c:pt>
                <c:pt idx="18">
                  <c:v>25461</c:v>
                </c:pt>
                <c:pt idx="19">
                  <c:v>25573</c:v>
                </c:pt>
                <c:pt idx="20">
                  <c:v>26646</c:v>
                </c:pt>
                <c:pt idx="21">
                  <c:v>29167</c:v>
                </c:pt>
                <c:pt idx="22">
                  <c:v>29931</c:v>
                </c:pt>
                <c:pt idx="23">
                  <c:v>31846</c:v>
                </c:pt>
                <c:pt idx="24">
                  <c:v>30402</c:v>
                </c:pt>
                <c:pt idx="25">
                  <c:v>31632</c:v>
                </c:pt>
                <c:pt idx="26">
                  <c:v>32048</c:v>
                </c:pt>
                <c:pt idx="27">
                  <c:v>30767</c:v>
                </c:pt>
                <c:pt idx="28">
                  <c:v>31706</c:v>
                </c:pt>
                <c:pt idx="29">
                  <c:v>31998</c:v>
                </c:pt>
                <c:pt idx="30">
                  <c:v>34881</c:v>
                </c:pt>
                <c:pt idx="31">
                  <c:v>35170</c:v>
                </c:pt>
                <c:pt idx="32">
                  <c:v>30902</c:v>
                </c:pt>
                <c:pt idx="33">
                  <c:v>29275</c:v>
                </c:pt>
                <c:pt idx="34">
                  <c:v>29527</c:v>
                </c:pt>
                <c:pt idx="35">
                  <c:v>19253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B-4F73-80B6-11198D108805}"/>
            </c:ext>
          </c:extLst>
        </c:ser>
        <c:ser>
          <c:idx val="1"/>
          <c:order val="1"/>
          <c:tx>
            <c:strRef>
              <c:f>core_clinical_journal!$C$1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core_clinical_journal!$A$2:$A$52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2125833 total pvalue 1895414</c:v>
                </c:pt>
              </c:strCache>
            </c:strRef>
          </c:cat>
          <c:val>
            <c:numRef>
              <c:f>core_clinical_journal!$C$2:$C$52</c:f>
              <c:numCache>
                <c:formatCode>General</c:formatCode>
                <c:ptCount val="51"/>
                <c:pt idx="0">
                  <c:v>3452</c:v>
                </c:pt>
                <c:pt idx="1">
                  <c:v>4109</c:v>
                </c:pt>
                <c:pt idx="2">
                  <c:v>5292</c:v>
                </c:pt>
                <c:pt idx="3">
                  <c:v>6346</c:v>
                </c:pt>
                <c:pt idx="4">
                  <c:v>7813</c:v>
                </c:pt>
                <c:pt idx="5">
                  <c:v>9268</c:v>
                </c:pt>
                <c:pt idx="6">
                  <c:v>10109</c:v>
                </c:pt>
                <c:pt idx="7">
                  <c:v>11792</c:v>
                </c:pt>
                <c:pt idx="8">
                  <c:v>13568</c:v>
                </c:pt>
                <c:pt idx="9">
                  <c:v>14789</c:v>
                </c:pt>
                <c:pt idx="10">
                  <c:v>15739</c:v>
                </c:pt>
                <c:pt idx="11">
                  <c:v>17580</c:v>
                </c:pt>
                <c:pt idx="12">
                  <c:v>18867</c:v>
                </c:pt>
                <c:pt idx="13">
                  <c:v>20714</c:v>
                </c:pt>
                <c:pt idx="14">
                  <c:v>23392</c:v>
                </c:pt>
                <c:pt idx="15">
                  <c:v>27246</c:v>
                </c:pt>
                <c:pt idx="16">
                  <c:v>27820</c:v>
                </c:pt>
                <c:pt idx="17">
                  <c:v>29976</c:v>
                </c:pt>
                <c:pt idx="18">
                  <c:v>32246</c:v>
                </c:pt>
                <c:pt idx="19">
                  <c:v>34499</c:v>
                </c:pt>
                <c:pt idx="20">
                  <c:v>36423</c:v>
                </c:pt>
                <c:pt idx="21">
                  <c:v>40810</c:v>
                </c:pt>
                <c:pt idx="22">
                  <c:v>42376</c:v>
                </c:pt>
                <c:pt idx="23">
                  <c:v>43898</c:v>
                </c:pt>
                <c:pt idx="24">
                  <c:v>43826</c:v>
                </c:pt>
                <c:pt idx="25">
                  <c:v>45199</c:v>
                </c:pt>
                <c:pt idx="26">
                  <c:v>47275</c:v>
                </c:pt>
                <c:pt idx="27">
                  <c:v>44971</c:v>
                </c:pt>
                <c:pt idx="28">
                  <c:v>45304</c:v>
                </c:pt>
                <c:pt idx="29">
                  <c:v>45450</c:v>
                </c:pt>
                <c:pt idx="30">
                  <c:v>49762</c:v>
                </c:pt>
                <c:pt idx="31">
                  <c:v>49195</c:v>
                </c:pt>
                <c:pt idx="32">
                  <c:v>44372</c:v>
                </c:pt>
                <c:pt idx="33">
                  <c:v>39909</c:v>
                </c:pt>
                <c:pt idx="34">
                  <c:v>41130</c:v>
                </c:pt>
                <c:pt idx="35">
                  <c:v>26376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AB-4F73-80B6-11198D108805}"/>
            </c:ext>
          </c:extLst>
        </c:ser>
        <c:ser>
          <c:idx val="2"/>
          <c:order val="2"/>
          <c:tx>
            <c:strRef>
              <c:f>core_clinical_journal!$D$1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core_clinical_journal!$A$2:$A$52</c:f>
              <c:strCach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  <c:pt idx="36">
                  <c:v>total article 2125833 total pvalue 1895414</c:v>
                </c:pt>
              </c:strCache>
            </c:strRef>
          </c:cat>
          <c:val>
            <c:numRef>
              <c:f>core_clinical_journal!$D$2:$D$52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69</c:v>
                </c:pt>
                <c:pt idx="3">
                  <c:v>333</c:v>
                </c:pt>
                <c:pt idx="4">
                  <c:v>386</c:v>
                </c:pt>
                <c:pt idx="5">
                  <c:v>419</c:v>
                </c:pt>
                <c:pt idx="6">
                  <c:v>350</c:v>
                </c:pt>
                <c:pt idx="7">
                  <c:v>474</c:v>
                </c:pt>
                <c:pt idx="8">
                  <c:v>462</c:v>
                </c:pt>
                <c:pt idx="9">
                  <c:v>450</c:v>
                </c:pt>
                <c:pt idx="10">
                  <c:v>411</c:v>
                </c:pt>
                <c:pt idx="11">
                  <c:v>443</c:v>
                </c:pt>
                <c:pt idx="12">
                  <c:v>551</c:v>
                </c:pt>
                <c:pt idx="13">
                  <c:v>519</c:v>
                </c:pt>
                <c:pt idx="14">
                  <c:v>559</c:v>
                </c:pt>
                <c:pt idx="15">
                  <c:v>644</c:v>
                </c:pt>
                <c:pt idx="16">
                  <c:v>621</c:v>
                </c:pt>
                <c:pt idx="17">
                  <c:v>674</c:v>
                </c:pt>
                <c:pt idx="18">
                  <c:v>742</c:v>
                </c:pt>
                <c:pt idx="19">
                  <c:v>748</c:v>
                </c:pt>
                <c:pt idx="20">
                  <c:v>800</c:v>
                </c:pt>
                <c:pt idx="21">
                  <c:v>982</c:v>
                </c:pt>
                <c:pt idx="22">
                  <c:v>967</c:v>
                </c:pt>
                <c:pt idx="23">
                  <c:v>1029</c:v>
                </c:pt>
                <c:pt idx="24">
                  <c:v>967</c:v>
                </c:pt>
                <c:pt idx="25">
                  <c:v>1055</c:v>
                </c:pt>
                <c:pt idx="26">
                  <c:v>1163</c:v>
                </c:pt>
                <c:pt idx="27">
                  <c:v>1258</c:v>
                </c:pt>
                <c:pt idx="28">
                  <c:v>1193</c:v>
                </c:pt>
                <c:pt idx="29">
                  <c:v>1294</c:v>
                </c:pt>
                <c:pt idx="30">
                  <c:v>1416</c:v>
                </c:pt>
                <c:pt idx="31">
                  <c:v>1430</c:v>
                </c:pt>
                <c:pt idx="32">
                  <c:v>1311</c:v>
                </c:pt>
                <c:pt idx="33">
                  <c:v>1240</c:v>
                </c:pt>
                <c:pt idx="34">
                  <c:v>1488</c:v>
                </c:pt>
                <c:pt idx="35">
                  <c:v>1011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AB-4F73-80B6-11198D108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50000"/>
                  <a:t>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Observational study (198 268 articles, 329 447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observational_study!$B$1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observational_study!$A$2:$A$52</c:f>
              <c:numCache>
                <c:formatCode>General</c:formatCode>
                <c:ptCount val="5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observational_study!$B$2:$B$52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33</c:v>
                </c:pt>
                <c:pt idx="21">
                  <c:v>68</c:v>
                </c:pt>
                <c:pt idx="22">
                  <c:v>432</c:v>
                </c:pt>
                <c:pt idx="23">
                  <c:v>3803</c:v>
                </c:pt>
                <c:pt idx="24">
                  <c:v>7709</c:v>
                </c:pt>
                <c:pt idx="25">
                  <c:v>9381</c:v>
                </c:pt>
                <c:pt idx="26">
                  <c:v>10558</c:v>
                </c:pt>
                <c:pt idx="27">
                  <c:v>11537</c:v>
                </c:pt>
                <c:pt idx="28">
                  <c:v>12312</c:v>
                </c:pt>
                <c:pt idx="29">
                  <c:v>13910</c:v>
                </c:pt>
                <c:pt idx="30">
                  <c:v>15287</c:v>
                </c:pt>
                <c:pt idx="31">
                  <c:v>15218</c:v>
                </c:pt>
                <c:pt idx="32">
                  <c:v>12124</c:v>
                </c:pt>
                <c:pt idx="33">
                  <c:v>11074</c:v>
                </c:pt>
                <c:pt idx="34">
                  <c:v>13117</c:v>
                </c:pt>
                <c:pt idx="35">
                  <c:v>10781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E-434B-98DD-F9898FE6EC44}"/>
            </c:ext>
          </c:extLst>
        </c:ser>
        <c:ser>
          <c:idx val="1"/>
          <c:order val="1"/>
          <c:tx>
            <c:strRef>
              <c:f>observational_study!$C$1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observational_study!$A$2:$A$52</c:f>
              <c:numCache>
                <c:formatCode>General</c:formatCode>
                <c:ptCount val="5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observational_study!$C$2:$C$52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13</c:v>
                </c:pt>
                <c:pt idx="20">
                  <c:v>26</c:v>
                </c:pt>
                <c:pt idx="21">
                  <c:v>61</c:v>
                </c:pt>
                <c:pt idx="22">
                  <c:v>529</c:v>
                </c:pt>
                <c:pt idx="23">
                  <c:v>4993</c:v>
                </c:pt>
                <c:pt idx="24">
                  <c:v>10463</c:v>
                </c:pt>
                <c:pt idx="25">
                  <c:v>13063</c:v>
                </c:pt>
                <c:pt idx="26">
                  <c:v>14754</c:v>
                </c:pt>
                <c:pt idx="27">
                  <c:v>16068</c:v>
                </c:pt>
                <c:pt idx="28">
                  <c:v>17872</c:v>
                </c:pt>
                <c:pt idx="29">
                  <c:v>19491</c:v>
                </c:pt>
                <c:pt idx="30">
                  <c:v>21617</c:v>
                </c:pt>
                <c:pt idx="31">
                  <c:v>22132</c:v>
                </c:pt>
                <c:pt idx="32">
                  <c:v>16636</c:v>
                </c:pt>
                <c:pt idx="33">
                  <c:v>15278</c:v>
                </c:pt>
                <c:pt idx="34">
                  <c:v>17754</c:v>
                </c:pt>
                <c:pt idx="35">
                  <c:v>14420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FE-434B-98DD-F9898FE6EC44}"/>
            </c:ext>
          </c:extLst>
        </c:ser>
        <c:ser>
          <c:idx val="2"/>
          <c:order val="2"/>
          <c:tx>
            <c:strRef>
              <c:f>observational_study!$D$1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observational_study!$A$2:$A$52</c:f>
              <c:numCache>
                <c:formatCode>General</c:formatCode>
                <c:ptCount val="5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observational_study!$D$2:$D$52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1</c:v>
                </c:pt>
                <c:pt idx="22">
                  <c:v>27</c:v>
                </c:pt>
                <c:pt idx="23">
                  <c:v>119</c:v>
                </c:pt>
                <c:pt idx="24">
                  <c:v>232</c:v>
                </c:pt>
                <c:pt idx="25">
                  <c:v>292</c:v>
                </c:pt>
                <c:pt idx="26">
                  <c:v>376</c:v>
                </c:pt>
                <c:pt idx="27">
                  <c:v>378</c:v>
                </c:pt>
                <c:pt idx="28">
                  <c:v>383</c:v>
                </c:pt>
                <c:pt idx="29">
                  <c:v>502</c:v>
                </c:pt>
                <c:pt idx="30">
                  <c:v>543</c:v>
                </c:pt>
                <c:pt idx="31">
                  <c:v>567</c:v>
                </c:pt>
                <c:pt idx="32">
                  <c:v>485</c:v>
                </c:pt>
                <c:pt idx="33">
                  <c:v>443</c:v>
                </c:pt>
                <c:pt idx="34">
                  <c:v>612</c:v>
                </c:pt>
                <c:pt idx="35">
                  <c:v>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FE-434B-98DD-F9898FE6E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en-US" altLang="ko-KR" sz="2000" baseline="45000"/>
                  <a:t>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50000"/>
        <c:dispUnits>
          <c:builtInUnit val="hundred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u="none" strike="noStrike" baseline="0"/>
              <a:t>Systematic review (278 157 articles, 220 225</a:t>
            </a:r>
            <a:r>
              <a:rPr lang="en-US" altLang="ko-KR" sz="1500" b="0" i="1" u="none" strike="noStrike" baseline="0"/>
              <a:t> P </a:t>
            </a:r>
            <a:r>
              <a:rPr lang="en-US" altLang="ko-KR" sz="1500" b="0" i="0" u="none" strike="noStrike" baseline="0"/>
              <a:t>values)</a:t>
            </a:r>
            <a:endParaRPr lang="ko-KR" altLang="en-US" sz="15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systematic_review!$B$1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systematic_review!$A$2:$A$52</c:f>
              <c:numCache>
                <c:formatCode>General</c:formatCode>
                <c:ptCount val="5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systematic_review!$B$2:$B$52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6</c:v>
                </c:pt>
                <c:pt idx="7">
                  <c:v>17</c:v>
                </c:pt>
                <c:pt idx="8">
                  <c:v>8</c:v>
                </c:pt>
                <c:pt idx="9">
                  <c:v>20</c:v>
                </c:pt>
                <c:pt idx="10">
                  <c:v>69</c:v>
                </c:pt>
                <c:pt idx="11">
                  <c:v>65</c:v>
                </c:pt>
                <c:pt idx="12">
                  <c:v>102</c:v>
                </c:pt>
                <c:pt idx="13">
                  <c:v>120</c:v>
                </c:pt>
                <c:pt idx="14">
                  <c:v>151</c:v>
                </c:pt>
                <c:pt idx="15">
                  <c:v>198</c:v>
                </c:pt>
                <c:pt idx="16">
                  <c:v>229</c:v>
                </c:pt>
                <c:pt idx="17">
                  <c:v>376</c:v>
                </c:pt>
                <c:pt idx="18">
                  <c:v>397</c:v>
                </c:pt>
                <c:pt idx="19">
                  <c:v>537</c:v>
                </c:pt>
                <c:pt idx="20">
                  <c:v>742</c:v>
                </c:pt>
                <c:pt idx="21">
                  <c:v>888</c:v>
                </c:pt>
                <c:pt idx="22">
                  <c:v>1270</c:v>
                </c:pt>
                <c:pt idx="23">
                  <c:v>1850</c:v>
                </c:pt>
                <c:pt idx="24">
                  <c:v>2392</c:v>
                </c:pt>
                <c:pt idx="25">
                  <c:v>3032</c:v>
                </c:pt>
                <c:pt idx="26">
                  <c:v>3367</c:v>
                </c:pt>
                <c:pt idx="27">
                  <c:v>4157</c:v>
                </c:pt>
                <c:pt idx="28">
                  <c:v>4941</c:v>
                </c:pt>
                <c:pt idx="29">
                  <c:v>6311</c:v>
                </c:pt>
                <c:pt idx="30">
                  <c:v>8113</c:v>
                </c:pt>
                <c:pt idx="31">
                  <c:v>9919</c:v>
                </c:pt>
                <c:pt idx="32">
                  <c:v>10326</c:v>
                </c:pt>
                <c:pt idx="33">
                  <c:v>10339</c:v>
                </c:pt>
                <c:pt idx="34">
                  <c:v>12252</c:v>
                </c:pt>
                <c:pt idx="35">
                  <c:v>9221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F-4E9B-B863-F9B699C347C7}"/>
            </c:ext>
          </c:extLst>
        </c:ser>
        <c:ser>
          <c:idx val="1"/>
          <c:order val="1"/>
          <c:tx>
            <c:strRef>
              <c:f>systematic_review!$C$1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systematic_review!$A$2:$A$52</c:f>
              <c:numCache>
                <c:formatCode>General</c:formatCode>
                <c:ptCount val="5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systematic_review!$C$2:$C$52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6</c:v>
                </c:pt>
                <c:pt idx="8">
                  <c:v>6</c:v>
                </c:pt>
                <c:pt idx="9">
                  <c:v>27</c:v>
                </c:pt>
                <c:pt idx="10">
                  <c:v>74</c:v>
                </c:pt>
                <c:pt idx="11">
                  <c:v>93</c:v>
                </c:pt>
                <c:pt idx="12">
                  <c:v>133</c:v>
                </c:pt>
                <c:pt idx="13">
                  <c:v>248</c:v>
                </c:pt>
                <c:pt idx="14">
                  <c:v>298</c:v>
                </c:pt>
                <c:pt idx="15">
                  <c:v>393</c:v>
                </c:pt>
                <c:pt idx="16">
                  <c:v>464</c:v>
                </c:pt>
                <c:pt idx="17">
                  <c:v>687</c:v>
                </c:pt>
                <c:pt idx="18">
                  <c:v>857</c:v>
                </c:pt>
                <c:pt idx="19">
                  <c:v>1020</c:v>
                </c:pt>
                <c:pt idx="20">
                  <c:v>1416</c:v>
                </c:pt>
                <c:pt idx="21">
                  <c:v>1764</c:v>
                </c:pt>
                <c:pt idx="22">
                  <c:v>2559</c:v>
                </c:pt>
                <c:pt idx="23">
                  <c:v>3425</c:v>
                </c:pt>
                <c:pt idx="24">
                  <c:v>4256</c:v>
                </c:pt>
                <c:pt idx="25">
                  <c:v>5534</c:v>
                </c:pt>
                <c:pt idx="26">
                  <c:v>6297</c:v>
                </c:pt>
                <c:pt idx="27">
                  <c:v>7652</c:v>
                </c:pt>
                <c:pt idx="28">
                  <c:v>8915</c:v>
                </c:pt>
                <c:pt idx="29">
                  <c:v>11344</c:v>
                </c:pt>
                <c:pt idx="30">
                  <c:v>14100</c:v>
                </c:pt>
                <c:pt idx="31">
                  <c:v>16139</c:v>
                </c:pt>
                <c:pt idx="32">
                  <c:v>16328</c:v>
                </c:pt>
                <c:pt idx="33">
                  <c:v>16420</c:v>
                </c:pt>
                <c:pt idx="34">
                  <c:v>18354</c:v>
                </c:pt>
                <c:pt idx="35">
                  <c:v>13608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0F-4E9B-B863-F9B699C347C7}"/>
            </c:ext>
          </c:extLst>
        </c:ser>
        <c:ser>
          <c:idx val="2"/>
          <c:order val="2"/>
          <c:tx>
            <c:strRef>
              <c:f>systematic_review!$D$1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systematic_review!$A$2:$A$52</c:f>
              <c:numCache>
                <c:formatCode>General</c:formatCode>
                <c:ptCount val="5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systematic_review!$D$2:$D$52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6</c:v>
                </c:pt>
                <c:pt idx="11">
                  <c:v>1</c:v>
                </c:pt>
                <c:pt idx="12">
                  <c:v>5</c:v>
                </c:pt>
                <c:pt idx="13">
                  <c:v>2</c:v>
                </c:pt>
                <c:pt idx="14">
                  <c:v>16</c:v>
                </c:pt>
                <c:pt idx="15">
                  <c:v>7</c:v>
                </c:pt>
                <c:pt idx="16">
                  <c:v>8</c:v>
                </c:pt>
                <c:pt idx="17">
                  <c:v>17</c:v>
                </c:pt>
                <c:pt idx="18">
                  <c:v>15</c:v>
                </c:pt>
                <c:pt idx="19">
                  <c:v>33</c:v>
                </c:pt>
                <c:pt idx="20">
                  <c:v>37</c:v>
                </c:pt>
                <c:pt idx="21">
                  <c:v>36</c:v>
                </c:pt>
                <c:pt idx="22">
                  <c:v>40</c:v>
                </c:pt>
                <c:pt idx="23">
                  <c:v>86</c:v>
                </c:pt>
                <c:pt idx="24">
                  <c:v>126</c:v>
                </c:pt>
                <c:pt idx="25">
                  <c:v>141</c:v>
                </c:pt>
                <c:pt idx="26">
                  <c:v>136</c:v>
                </c:pt>
                <c:pt idx="27">
                  <c:v>188</c:v>
                </c:pt>
                <c:pt idx="28">
                  <c:v>220</c:v>
                </c:pt>
                <c:pt idx="29">
                  <c:v>263</c:v>
                </c:pt>
                <c:pt idx="30">
                  <c:v>338</c:v>
                </c:pt>
                <c:pt idx="31">
                  <c:v>406</c:v>
                </c:pt>
                <c:pt idx="32">
                  <c:v>463</c:v>
                </c:pt>
                <c:pt idx="33">
                  <c:v>449</c:v>
                </c:pt>
                <c:pt idx="34">
                  <c:v>539</c:v>
                </c:pt>
                <c:pt idx="35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0F-4E9B-B863-F9B699C34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1"/>
                  <a:t>P</a:t>
                </a:r>
                <a:r>
                  <a:rPr lang="en-US" altLang="ko-KR" sz="1500"/>
                  <a:t> Value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1"/>
        <c:noMultiLvlLbl val="0"/>
      </c:catAx>
      <c:valAx>
        <c:axId val="88211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No. of </a:t>
                </a:r>
                <a:r>
                  <a:rPr lang="en-US" altLang="ko-KR" sz="2000" i="1"/>
                  <a:t>P</a:t>
                </a:r>
                <a:r>
                  <a:rPr lang="en-US" altLang="ko-KR" sz="2000"/>
                  <a:t> Values, ×10</a:t>
                </a:r>
                <a:r>
                  <a:rPr lang="ko-KR" altLang="en-US" sz="2000"/>
                  <a:t>⁴</a:t>
                </a:r>
                <a:endParaRPr lang="en-US" altLang="ko-KR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majorUnit val="20000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0" i="0" u="none" strike="noStrike" baseline="0"/>
              <a:t>Pubmed abstract</a:t>
            </a:r>
            <a:endParaRPr lang="ko-KR" alt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all_articles!$B$1</c:f>
              <c:strCache>
                <c:ptCount val="1"/>
                <c:pt idx="0">
                  <c:v>&lt;</c:v>
                </c:pt>
              </c:strCache>
            </c:strRef>
          </c:tx>
          <c:spPr>
            <a:solidFill>
              <a:srgbClr val="2B4B5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all_articles!$A$2:$A$37</c15:sqref>
                  </c15:fullRef>
                </c:ext>
              </c:extLst>
              <c:f>all_articles!$A$2:$A$37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all_articles!$B$2:$B$52</c15:sqref>
                  </c15:fullRef>
                </c:ext>
              </c:extLst>
              <c:f>(all_articles!$B$2:$B$37,all_articles!$B$52)</c:f>
              <c:numCache>
                <c:formatCode>General</c:formatCode>
                <c:ptCount val="37"/>
                <c:pt idx="0">
                  <c:v>41280</c:v>
                </c:pt>
                <c:pt idx="1">
                  <c:v>45226</c:v>
                </c:pt>
                <c:pt idx="2">
                  <c:v>47760</c:v>
                </c:pt>
                <c:pt idx="3">
                  <c:v>50955</c:v>
                </c:pt>
                <c:pt idx="4">
                  <c:v>53768</c:v>
                </c:pt>
                <c:pt idx="5">
                  <c:v>58012</c:v>
                </c:pt>
                <c:pt idx="6">
                  <c:v>62510</c:v>
                </c:pt>
                <c:pt idx="7">
                  <c:v>63809</c:v>
                </c:pt>
                <c:pt idx="8">
                  <c:v>65269</c:v>
                </c:pt>
                <c:pt idx="9">
                  <c:v>67883</c:v>
                </c:pt>
                <c:pt idx="10">
                  <c:v>68407</c:v>
                </c:pt>
                <c:pt idx="11">
                  <c:v>74450</c:v>
                </c:pt>
                <c:pt idx="12">
                  <c:v>78435</c:v>
                </c:pt>
                <c:pt idx="13">
                  <c:v>87641</c:v>
                </c:pt>
                <c:pt idx="14">
                  <c:v>94766</c:v>
                </c:pt>
                <c:pt idx="15">
                  <c:v>108281</c:v>
                </c:pt>
                <c:pt idx="16">
                  <c:v>114696</c:v>
                </c:pt>
                <c:pt idx="17">
                  <c:v>123419</c:v>
                </c:pt>
                <c:pt idx="18">
                  <c:v>132304</c:v>
                </c:pt>
                <c:pt idx="19">
                  <c:v>139437</c:v>
                </c:pt>
                <c:pt idx="20">
                  <c:v>151124</c:v>
                </c:pt>
                <c:pt idx="21">
                  <c:v>166791</c:v>
                </c:pt>
                <c:pt idx="22">
                  <c:v>182657</c:v>
                </c:pt>
                <c:pt idx="23">
                  <c:v>198429</c:v>
                </c:pt>
                <c:pt idx="24">
                  <c:v>208325</c:v>
                </c:pt>
                <c:pt idx="25">
                  <c:v>217981</c:v>
                </c:pt>
                <c:pt idx="26">
                  <c:v>219182</c:v>
                </c:pt>
                <c:pt idx="27">
                  <c:v>224107</c:v>
                </c:pt>
                <c:pt idx="28">
                  <c:v>231955</c:v>
                </c:pt>
                <c:pt idx="29">
                  <c:v>246336</c:v>
                </c:pt>
                <c:pt idx="30">
                  <c:v>279363</c:v>
                </c:pt>
                <c:pt idx="31">
                  <c:v>302010</c:v>
                </c:pt>
                <c:pt idx="32">
                  <c:v>296075</c:v>
                </c:pt>
                <c:pt idx="33">
                  <c:v>272014</c:v>
                </c:pt>
                <c:pt idx="34">
                  <c:v>284034</c:v>
                </c:pt>
                <c:pt idx="35">
                  <c:v>200870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D-472C-8659-1859A9B735F0}"/>
            </c:ext>
          </c:extLst>
        </c:ser>
        <c:ser>
          <c:idx val="1"/>
          <c:order val="1"/>
          <c:tx>
            <c:strRef>
              <c:f>all_articles!$C$1</c:f>
              <c:strCache>
                <c:ptCount val="1"/>
                <c:pt idx="0">
                  <c:v>=</c:v>
                </c:pt>
              </c:strCache>
            </c:strRef>
          </c:tx>
          <c:spPr>
            <a:solidFill>
              <a:srgbClr val="EDF1F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all_articles!$A$2:$A$37</c15:sqref>
                  </c15:fullRef>
                </c:ext>
              </c:extLst>
              <c:f>all_articles!$A$2:$A$37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all_articles!$C$2:$C$52</c15:sqref>
                  </c15:fullRef>
                </c:ext>
              </c:extLst>
              <c:f>(all_articles!$C$2:$C$37,all_articles!$C$52)</c:f>
              <c:numCache>
                <c:formatCode>General</c:formatCode>
                <c:ptCount val="37"/>
                <c:pt idx="0">
                  <c:v>8348</c:v>
                </c:pt>
                <c:pt idx="1">
                  <c:v>9922</c:v>
                </c:pt>
                <c:pt idx="2">
                  <c:v>12639</c:v>
                </c:pt>
                <c:pt idx="3">
                  <c:v>15673</c:v>
                </c:pt>
                <c:pt idx="4">
                  <c:v>18934</c:v>
                </c:pt>
                <c:pt idx="5">
                  <c:v>23163</c:v>
                </c:pt>
                <c:pt idx="6">
                  <c:v>26216</c:v>
                </c:pt>
                <c:pt idx="7">
                  <c:v>30789</c:v>
                </c:pt>
                <c:pt idx="8">
                  <c:v>35331</c:v>
                </c:pt>
                <c:pt idx="9">
                  <c:v>39609</c:v>
                </c:pt>
                <c:pt idx="10">
                  <c:v>42751</c:v>
                </c:pt>
                <c:pt idx="11">
                  <c:v>48413</c:v>
                </c:pt>
                <c:pt idx="12">
                  <c:v>53656</c:v>
                </c:pt>
                <c:pt idx="13">
                  <c:v>61009</c:v>
                </c:pt>
                <c:pt idx="14">
                  <c:v>71220</c:v>
                </c:pt>
                <c:pt idx="15">
                  <c:v>84623</c:v>
                </c:pt>
                <c:pt idx="16">
                  <c:v>93161</c:v>
                </c:pt>
                <c:pt idx="17">
                  <c:v>106766</c:v>
                </c:pt>
                <c:pt idx="18">
                  <c:v>120169</c:v>
                </c:pt>
                <c:pt idx="19">
                  <c:v>132419</c:v>
                </c:pt>
                <c:pt idx="20">
                  <c:v>147370</c:v>
                </c:pt>
                <c:pt idx="21">
                  <c:v>169401</c:v>
                </c:pt>
                <c:pt idx="22">
                  <c:v>189634</c:v>
                </c:pt>
                <c:pt idx="23">
                  <c:v>209428</c:v>
                </c:pt>
                <c:pt idx="24">
                  <c:v>227039</c:v>
                </c:pt>
                <c:pt idx="25">
                  <c:v>241856</c:v>
                </c:pt>
                <c:pt idx="26">
                  <c:v>250688</c:v>
                </c:pt>
                <c:pt idx="27">
                  <c:v>254974</c:v>
                </c:pt>
                <c:pt idx="28">
                  <c:v>266940</c:v>
                </c:pt>
                <c:pt idx="29">
                  <c:v>282591</c:v>
                </c:pt>
                <c:pt idx="30">
                  <c:v>325577</c:v>
                </c:pt>
                <c:pt idx="31">
                  <c:v>352563</c:v>
                </c:pt>
                <c:pt idx="32">
                  <c:v>335052</c:v>
                </c:pt>
                <c:pt idx="33">
                  <c:v>307821</c:v>
                </c:pt>
                <c:pt idx="34">
                  <c:v>315699</c:v>
                </c:pt>
                <c:pt idx="35">
                  <c:v>213390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D-472C-8659-1859A9B735F0}"/>
            </c:ext>
          </c:extLst>
        </c:ser>
        <c:ser>
          <c:idx val="2"/>
          <c:order val="2"/>
          <c:tx>
            <c:strRef>
              <c:f>all_articles!$D$1</c:f>
              <c:strCache>
                <c:ptCount val="1"/>
                <c:pt idx="0">
                  <c:v>&gt;</c:v>
                </c:pt>
              </c:strCache>
            </c:strRef>
          </c:tx>
          <c:spPr>
            <a:solidFill>
              <a:srgbClr val="A7C6CC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all_articles!$A$2:$A$37</c15:sqref>
                  </c15:fullRef>
                </c:ext>
              </c:extLst>
              <c:f>all_articles!$A$2:$A$37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all_articles!$D$2:$D$52</c15:sqref>
                  </c15:fullRef>
                </c:ext>
              </c:extLst>
              <c:f>(all_articles!$D$2:$D$37,all_articles!$D$52)</c:f>
              <c:numCache>
                <c:formatCode>General</c:formatCode>
                <c:ptCount val="37"/>
                <c:pt idx="0">
                  <c:v>6</c:v>
                </c:pt>
                <c:pt idx="1">
                  <c:v>21</c:v>
                </c:pt>
                <c:pt idx="2">
                  <c:v>608</c:v>
                </c:pt>
                <c:pt idx="3">
                  <c:v>1814</c:v>
                </c:pt>
                <c:pt idx="4">
                  <c:v>1915</c:v>
                </c:pt>
                <c:pt idx="5">
                  <c:v>2135</c:v>
                </c:pt>
                <c:pt idx="6">
                  <c:v>2196</c:v>
                </c:pt>
                <c:pt idx="7">
                  <c:v>2491</c:v>
                </c:pt>
                <c:pt idx="8">
                  <c:v>2607</c:v>
                </c:pt>
                <c:pt idx="9">
                  <c:v>2763</c:v>
                </c:pt>
                <c:pt idx="10">
                  <c:v>2894</c:v>
                </c:pt>
                <c:pt idx="11">
                  <c:v>3345</c:v>
                </c:pt>
                <c:pt idx="12">
                  <c:v>3868</c:v>
                </c:pt>
                <c:pt idx="13">
                  <c:v>4566</c:v>
                </c:pt>
                <c:pt idx="14">
                  <c:v>5149</c:v>
                </c:pt>
                <c:pt idx="15">
                  <c:v>6082</c:v>
                </c:pt>
                <c:pt idx="16">
                  <c:v>6527</c:v>
                </c:pt>
                <c:pt idx="17">
                  <c:v>7245</c:v>
                </c:pt>
                <c:pt idx="18">
                  <c:v>8071</c:v>
                </c:pt>
                <c:pt idx="19">
                  <c:v>8702</c:v>
                </c:pt>
                <c:pt idx="20">
                  <c:v>9496</c:v>
                </c:pt>
                <c:pt idx="21">
                  <c:v>10487</c:v>
                </c:pt>
                <c:pt idx="22">
                  <c:v>11765</c:v>
                </c:pt>
                <c:pt idx="23">
                  <c:v>12483</c:v>
                </c:pt>
                <c:pt idx="24">
                  <c:v>13359</c:v>
                </c:pt>
                <c:pt idx="25">
                  <c:v>13719</c:v>
                </c:pt>
                <c:pt idx="26">
                  <c:v>13751</c:v>
                </c:pt>
                <c:pt idx="27">
                  <c:v>15031</c:v>
                </c:pt>
                <c:pt idx="28">
                  <c:v>15349</c:v>
                </c:pt>
                <c:pt idx="29">
                  <c:v>16009</c:v>
                </c:pt>
                <c:pt idx="30">
                  <c:v>18063</c:v>
                </c:pt>
                <c:pt idx="31">
                  <c:v>19339</c:v>
                </c:pt>
                <c:pt idx="32">
                  <c:v>19583</c:v>
                </c:pt>
                <c:pt idx="33">
                  <c:v>18208</c:v>
                </c:pt>
                <c:pt idx="34">
                  <c:v>19673</c:v>
                </c:pt>
                <c:pt idx="35">
                  <c:v>13458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FD-472C-8659-1859A9B73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882109855"/>
        <c:axId val="882113695"/>
      </c:barChart>
      <c:catAx>
        <c:axId val="882109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i="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13695"/>
        <c:crosses val="autoZero"/>
        <c:auto val="0"/>
        <c:lblAlgn val="ctr"/>
        <c:lblOffset val="100"/>
        <c:tickLblSkip val="5"/>
        <c:noMultiLvlLbl val="0"/>
      </c:catAx>
      <c:valAx>
        <c:axId val="88211369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2000"/>
                  <a:t>Proportion of </a:t>
                </a:r>
                <a:r>
                  <a:rPr lang="en-US" altLang="ko-KR" sz="2000" i="1"/>
                  <a:t>P</a:t>
                </a:r>
                <a:r>
                  <a:rPr lang="en-US" altLang="ko-KR" sz="2000" baseline="0"/>
                  <a:t> Value Report type, %</a:t>
                </a:r>
                <a:endParaRPr lang="en-US" altLang="ko-KR" sz="2000" baseline="45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82109855"/>
        <c:crosses val="autoZero"/>
        <c:crossBetween val="between"/>
        <c:dispUnits>
          <c:custUnit val="1000000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83A3BBF-0F8F-405C-92B8-C9C857FAA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D92C566-7114-436A-B21A-0E70988CF2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FEFE013-4363-44BC-8D18-71B9F521F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792AE02-97BB-4AEF-97E7-844E2D31A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838587</xdr:colOff>
      <xdr:row>6</xdr:row>
      <xdr:rowOff>127826</xdr:rowOff>
    </xdr:from>
    <xdr:to>
      <xdr:col>14</xdr:col>
      <xdr:colOff>527793</xdr:colOff>
      <xdr:row>38</xdr:row>
      <xdr:rowOff>77640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7EB40F8-BD45-4DA2-B3CD-5F595E36EF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9AF8463-F495-4341-8BA0-616A14FDD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15</xdr:col>
      <xdr:colOff>903019</xdr:colOff>
      <xdr:row>37</xdr:row>
      <xdr:rowOff>48776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EDA5DCA-20FA-4A64-B0A2-6FDB73983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218018</xdr:colOff>
      <xdr:row>5</xdr:row>
      <xdr:rowOff>98962</xdr:rowOff>
    </xdr:from>
    <xdr:to>
      <xdr:col>18</xdr:col>
      <xdr:colOff>231913</xdr:colOff>
      <xdr:row>37</xdr:row>
      <xdr:rowOff>48776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4C416DF-AA0B-30FA-F604-D32675633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3422-5FA6-4082-ADAA-126645682568}">
  <sheetPr codeName="Sheet12"/>
  <dimension ref="A1:H54"/>
  <sheetViews>
    <sheetView zoomScale="85" zoomScaleNormal="85" workbookViewId="0">
      <selection sqref="A1:F38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2</v>
      </c>
      <c r="B1" t="s">
        <v>3</v>
      </c>
      <c r="C1" t="s">
        <v>4</v>
      </c>
      <c r="D1" t="s">
        <v>5</v>
      </c>
      <c r="E1" t="s">
        <v>17</v>
      </c>
      <c r="F1" s="1" t="s">
        <v>6</v>
      </c>
    </row>
    <row r="2" spans="1:8" x14ac:dyDescent="0.2">
      <c r="A2" s="4">
        <v>1990</v>
      </c>
      <c r="B2">
        <v>3530</v>
      </c>
      <c r="C2">
        <v>1442</v>
      </c>
      <c r="D2">
        <v>1</v>
      </c>
      <c r="E2">
        <v>0</v>
      </c>
      <c r="F2" s="1">
        <v>4973</v>
      </c>
    </row>
    <row r="3" spans="1:8" ht="18" x14ac:dyDescent="0.2">
      <c r="A3" s="1">
        <v>1991</v>
      </c>
      <c r="B3">
        <v>4016</v>
      </c>
      <c r="C3">
        <v>1930</v>
      </c>
      <c r="D3">
        <v>1</v>
      </c>
      <c r="E3">
        <v>0</v>
      </c>
      <c r="F3" s="1">
        <v>5947</v>
      </c>
      <c r="H3" s="3"/>
    </row>
    <row r="4" spans="1:8" x14ac:dyDescent="0.2">
      <c r="A4" s="1">
        <v>1992</v>
      </c>
      <c r="B4">
        <v>4365</v>
      </c>
      <c r="C4">
        <v>2171</v>
      </c>
      <c r="D4">
        <v>53</v>
      </c>
      <c r="E4">
        <v>0</v>
      </c>
      <c r="F4" s="1">
        <v>6589</v>
      </c>
    </row>
    <row r="5" spans="1:8" x14ac:dyDescent="0.2">
      <c r="A5" s="1">
        <v>1993</v>
      </c>
      <c r="B5">
        <v>4885</v>
      </c>
      <c r="C5">
        <v>2783</v>
      </c>
      <c r="D5">
        <v>218</v>
      </c>
      <c r="E5">
        <v>0</v>
      </c>
      <c r="F5" s="1">
        <v>7886</v>
      </c>
    </row>
    <row r="6" spans="1:8" x14ac:dyDescent="0.2">
      <c r="A6" s="1">
        <v>1994</v>
      </c>
      <c r="B6">
        <v>5496</v>
      </c>
      <c r="C6">
        <v>3428</v>
      </c>
      <c r="D6">
        <v>211</v>
      </c>
      <c r="E6">
        <v>0</v>
      </c>
      <c r="F6" s="1">
        <v>9135</v>
      </c>
    </row>
    <row r="7" spans="1:8" x14ac:dyDescent="0.2">
      <c r="A7" s="1">
        <v>1995</v>
      </c>
      <c r="B7">
        <v>6402</v>
      </c>
      <c r="C7">
        <v>4373</v>
      </c>
      <c r="D7">
        <v>269</v>
      </c>
      <c r="E7">
        <v>0</v>
      </c>
      <c r="F7" s="1">
        <v>11044</v>
      </c>
    </row>
    <row r="8" spans="1:8" x14ac:dyDescent="0.2">
      <c r="A8" s="1">
        <v>1996</v>
      </c>
      <c r="B8">
        <v>6700</v>
      </c>
      <c r="C8">
        <v>4592</v>
      </c>
      <c r="D8">
        <v>264</v>
      </c>
      <c r="E8">
        <v>0</v>
      </c>
      <c r="F8" s="1">
        <v>11556</v>
      </c>
    </row>
    <row r="9" spans="1:8" x14ac:dyDescent="0.2">
      <c r="A9" s="1">
        <v>1997</v>
      </c>
      <c r="B9">
        <v>6612</v>
      </c>
      <c r="C9">
        <v>5438</v>
      </c>
      <c r="D9">
        <v>248</v>
      </c>
      <c r="E9">
        <v>0</v>
      </c>
      <c r="F9" s="1">
        <v>12298</v>
      </c>
    </row>
    <row r="10" spans="1:8" x14ac:dyDescent="0.2">
      <c r="A10" s="1">
        <v>1998</v>
      </c>
      <c r="B10">
        <v>6867</v>
      </c>
      <c r="C10">
        <v>5988</v>
      </c>
      <c r="D10">
        <v>298</v>
      </c>
      <c r="E10">
        <v>0</v>
      </c>
      <c r="F10" s="1">
        <v>13153</v>
      </c>
    </row>
    <row r="11" spans="1:8" x14ac:dyDescent="0.2">
      <c r="A11" s="4">
        <v>1999</v>
      </c>
      <c r="B11">
        <v>7394</v>
      </c>
      <c r="C11">
        <v>6682</v>
      </c>
      <c r="D11">
        <v>360</v>
      </c>
      <c r="E11">
        <v>0</v>
      </c>
      <c r="F11" s="1">
        <v>14436</v>
      </c>
    </row>
    <row r="12" spans="1:8" x14ac:dyDescent="0.2">
      <c r="A12" s="1">
        <v>2000</v>
      </c>
      <c r="B12">
        <v>6929</v>
      </c>
      <c r="C12">
        <v>6931</v>
      </c>
      <c r="D12">
        <v>342</v>
      </c>
      <c r="E12">
        <v>0</v>
      </c>
      <c r="F12" s="1">
        <v>14202</v>
      </c>
    </row>
    <row r="13" spans="1:8" x14ac:dyDescent="0.2">
      <c r="A13" s="1">
        <v>2001</v>
      </c>
      <c r="B13">
        <v>7554</v>
      </c>
      <c r="C13">
        <v>7470</v>
      </c>
      <c r="D13">
        <v>424</v>
      </c>
      <c r="E13">
        <v>0</v>
      </c>
      <c r="F13" s="1">
        <v>15448</v>
      </c>
    </row>
    <row r="14" spans="1:8" x14ac:dyDescent="0.2">
      <c r="A14" s="1">
        <v>2002</v>
      </c>
      <c r="B14">
        <v>8101</v>
      </c>
      <c r="C14">
        <v>8566</v>
      </c>
      <c r="D14">
        <v>432</v>
      </c>
      <c r="E14">
        <v>0</v>
      </c>
      <c r="F14" s="1">
        <v>17099</v>
      </c>
    </row>
    <row r="15" spans="1:8" x14ac:dyDescent="0.2">
      <c r="A15" s="1">
        <v>2003</v>
      </c>
      <c r="B15">
        <v>9247</v>
      </c>
      <c r="C15">
        <v>9496</v>
      </c>
      <c r="D15">
        <v>533</v>
      </c>
      <c r="E15">
        <v>0</v>
      </c>
      <c r="F15" s="1">
        <v>19276</v>
      </c>
    </row>
    <row r="16" spans="1:8" x14ac:dyDescent="0.2">
      <c r="A16" s="1">
        <v>2004</v>
      </c>
      <c r="B16">
        <v>10180</v>
      </c>
      <c r="C16">
        <v>11034</v>
      </c>
      <c r="D16">
        <v>625</v>
      </c>
      <c r="E16">
        <v>0</v>
      </c>
      <c r="F16" s="1">
        <v>21839</v>
      </c>
    </row>
    <row r="17" spans="1:6" x14ac:dyDescent="0.2">
      <c r="A17" s="1">
        <v>2005</v>
      </c>
      <c r="B17">
        <v>11387</v>
      </c>
      <c r="C17">
        <v>12842</v>
      </c>
      <c r="D17">
        <v>762</v>
      </c>
      <c r="E17">
        <v>0</v>
      </c>
      <c r="F17" s="1">
        <v>24991</v>
      </c>
    </row>
    <row r="18" spans="1:6" x14ac:dyDescent="0.2">
      <c r="A18" s="1">
        <v>2006</v>
      </c>
      <c r="B18">
        <v>12284</v>
      </c>
      <c r="C18">
        <v>13210</v>
      </c>
      <c r="D18">
        <v>936</v>
      </c>
      <c r="E18">
        <v>0</v>
      </c>
      <c r="F18" s="1">
        <v>26430</v>
      </c>
    </row>
    <row r="19" spans="1:6" x14ac:dyDescent="0.2">
      <c r="A19" s="1">
        <v>2007</v>
      </c>
      <c r="B19">
        <v>13098</v>
      </c>
      <c r="C19">
        <v>14583</v>
      </c>
      <c r="D19">
        <v>966</v>
      </c>
      <c r="E19">
        <v>0</v>
      </c>
      <c r="F19" s="1">
        <v>28647</v>
      </c>
    </row>
    <row r="20" spans="1:6" x14ac:dyDescent="0.2">
      <c r="A20" s="1">
        <v>2008</v>
      </c>
      <c r="B20">
        <v>13325</v>
      </c>
      <c r="C20">
        <v>16187</v>
      </c>
      <c r="D20">
        <v>1023</v>
      </c>
      <c r="E20">
        <v>0</v>
      </c>
      <c r="F20" s="1">
        <v>30535</v>
      </c>
    </row>
    <row r="21" spans="1:6" x14ac:dyDescent="0.2">
      <c r="A21" s="4">
        <v>2009</v>
      </c>
      <c r="B21">
        <v>14143</v>
      </c>
      <c r="C21">
        <v>17500</v>
      </c>
      <c r="D21">
        <v>1244</v>
      </c>
      <c r="E21">
        <v>0</v>
      </c>
      <c r="F21" s="1">
        <v>32887</v>
      </c>
    </row>
    <row r="22" spans="1:6" x14ac:dyDescent="0.2">
      <c r="A22" s="1">
        <v>2010</v>
      </c>
      <c r="B22">
        <v>15277</v>
      </c>
      <c r="C22">
        <v>18775</v>
      </c>
      <c r="D22">
        <v>1301</v>
      </c>
      <c r="E22">
        <v>0</v>
      </c>
      <c r="F22" s="1">
        <v>35353</v>
      </c>
    </row>
    <row r="23" spans="1:6" x14ac:dyDescent="0.2">
      <c r="A23" s="1">
        <v>2011</v>
      </c>
      <c r="B23">
        <v>16869</v>
      </c>
      <c r="C23">
        <v>21311</v>
      </c>
      <c r="D23">
        <v>1550</v>
      </c>
      <c r="E23">
        <v>0</v>
      </c>
      <c r="F23" s="1">
        <v>39730</v>
      </c>
    </row>
    <row r="24" spans="1:6" x14ac:dyDescent="0.2">
      <c r="A24" s="1">
        <v>2012</v>
      </c>
      <c r="B24">
        <v>18684</v>
      </c>
      <c r="C24">
        <v>23989</v>
      </c>
      <c r="D24">
        <v>1849</v>
      </c>
      <c r="E24">
        <v>0</v>
      </c>
      <c r="F24" s="1">
        <v>44522</v>
      </c>
    </row>
    <row r="25" spans="1:6" x14ac:dyDescent="0.2">
      <c r="A25" s="1">
        <v>2013</v>
      </c>
      <c r="B25">
        <v>19133</v>
      </c>
      <c r="C25">
        <v>25978</v>
      </c>
      <c r="D25">
        <v>1886</v>
      </c>
      <c r="E25">
        <v>0</v>
      </c>
      <c r="F25" s="1">
        <v>46997</v>
      </c>
    </row>
    <row r="26" spans="1:6" x14ac:dyDescent="0.2">
      <c r="A26" s="1">
        <v>2014</v>
      </c>
      <c r="B26">
        <v>19651</v>
      </c>
      <c r="C26">
        <v>27724</v>
      </c>
      <c r="D26">
        <v>2051</v>
      </c>
      <c r="E26">
        <v>0</v>
      </c>
      <c r="F26" s="1">
        <v>49426</v>
      </c>
    </row>
    <row r="27" spans="1:6" x14ac:dyDescent="0.2">
      <c r="A27" s="1">
        <v>2015</v>
      </c>
      <c r="B27">
        <v>18925</v>
      </c>
      <c r="C27">
        <v>28129</v>
      </c>
      <c r="D27">
        <v>1932</v>
      </c>
      <c r="E27">
        <v>0</v>
      </c>
      <c r="F27" s="1">
        <v>48986</v>
      </c>
    </row>
    <row r="28" spans="1:6" x14ac:dyDescent="0.2">
      <c r="A28" s="1">
        <v>2016</v>
      </c>
      <c r="B28">
        <v>18389</v>
      </c>
      <c r="C28">
        <v>27858</v>
      </c>
      <c r="D28">
        <v>1865</v>
      </c>
      <c r="E28">
        <v>0</v>
      </c>
      <c r="F28" s="1">
        <v>48112</v>
      </c>
    </row>
    <row r="29" spans="1:6" x14ac:dyDescent="0.2">
      <c r="A29" s="1">
        <v>2017</v>
      </c>
      <c r="B29">
        <v>18253</v>
      </c>
      <c r="C29">
        <v>27904</v>
      </c>
      <c r="D29">
        <v>2131</v>
      </c>
      <c r="E29">
        <v>0</v>
      </c>
      <c r="F29" s="1">
        <v>48288</v>
      </c>
    </row>
    <row r="30" spans="1:6" x14ac:dyDescent="0.2">
      <c r="A30" s="1">
        <v>2018</v>
      </c>
      <c r="B30">
        <v>17250</v>
      </c>
      <c r="C30">
        <v>27683</v>
      </c>
      <c r="D30">
        <v>2068</v>
      </c>
      <c r="E30">
        <v>0</v>
      </c>
      <c r="F30" s="1">
        <v>47001</v>
      </c>
    </row>
    <row r="31" spans="1:6" x14ac:dyDescent="0.2">
      <c r="A31" s="4">
        <v>2019</v>
      </c>
      <c r="B31">
        <v>17141</v>
      </c>
      <c r="C31">
        <v>28364</v>
      </c>
      <c r="D31">
        <v>1985</v>
      </c>
      <c r="E31">
        <v>0</v>
      </c>
      <c r="F31" s="1">
        <v>47490</v>
      </c>
    </row>
    <row r="32" spans="1:6" x14ac:dyDescent="0.2">
      <c r="A32" s="1">
        <v>2020</v>
      </c>
      <c r="B32">
        <v>18586</v>
      </c>
      <c r="C32">
        <v>31061</v>
      </c>
      <c r="D32">
        <v>2265</v>
      </c>
      <c r="E32">
        <v>0</v>
      </c>
      <c r="F32" s="1">
        <v>51912</v>
      </c>
    </row>
    <row r="33" spans="1:6" x14ac:dyDescent="0.2">
      <c r="A33" s="1">
        <v>2021</v>
      </c>
      <c r="B33">
        <v>19480</v>
      </c>
      <c r="C33">
        <v>31522</v>
      </c>
      <c r="D33">
        <v>2391</v>
      </c>
      <c r="E33">
        <v>0</v>
      </c>
      <c r="F33" s="1">
        <v>53393</v>
      </c>
    </row>
    <row r="34" spans="1:6" x14ac:dyDescent="0.2">
      <c r="A34" s="1">
        <v>2022</v>
      </c>
      <c r="B34">
        <v>20063</v>
      </c>
      <c r="C34">
        <v>29656</v>
      </c>
      <c r="D34">
        <v>2551</v>
      </c>
      <c r="E34">
        <v>0</v>
      </c>
      <c r="F34" s="1">
        <v>52270</v>
      </c>
    </row>
    <row r="35" spans="1:6" x14ac:dyDescent="0.2">
      <c r="A35" s="1">
        <v>2023</v>
      </c>
      <c r="B35">
        <v>17173</v>
      </c>
      <c r="C35">
        <v>26815</v>
      </c>
      <c r="D35">
        <v>2429</v>
      </c>
      <c r="E35">
        <v>0</v>
      </c>
      <c r="F35" s="1">
        <v>46417</v>
      </c>
    </row>
    <row r="36" spans="1:6" x14ac:dyDescent="0.2">
      <c r="A36" s="1">
        <v>2024</v>
      </c>
      <c r="B36">
        <v>20625</v>
      </c>
      <c r="C36">
        <v>29591</v>
      </c>
      <c r="D36">
        <v>2846</v>
      </c>
      <c r="E36">
        <v>0</v>
      </c>
      <c r="F36" s="1">
        <v>53062</v>
      </c>
    </row>
    <row r="37" spans="1:6" x14ac:dyDescent="0.2">
      <c r="A37" s="1">
        <v>2025</v>
      </c>
      <c r="B37">
        <v>13432</v>
      </c>
      <c r="C37">
        <v>18899</v>
      </c>
      <c r="D37">
        <v>1769</v>
      </c>
      <c r="E37">
        <v>0</v>
      </c>
      <c r="F37" s="1">
        <v>34100</v>
      </c>
    </row>
    <row r="38" spans="1:6" x14ac:dyDescent="0.2">
      <c r="A38" s="1" t="s">
        <v>18</v>
      </c>
      <c r="B38"/>
      <c r="C38"/>
      <c r="D38"/>
      <c r="E38"/>
    </row>
    <row r="39" spans="1:6" x14ac:dyDescent="0.2">
      <c r="B39"/>
      <c r="C39"/>
      <c r="D39"/>
      <c r="E39"/>
    </row>
    <row r="40" spans="1:6" x14ac:dyDescent="0.2">
      <c r="B40"/>
      <c r="C40"/>
      <c r="D40"/>
      <c r="E40"/>
    </row>
    <row r="41" spans="1:6" x14ac:dyDescent="0.2">
      <c r="A41" s="4"/>
      <c r="B41"/>
      <c r="C41"/>
      <c r="D41"/>
      <c r="E41"/>
    </row>
    <row r="42" spans="1:6" x14ac:dyDescent="0.2">
      <c r="B42"/>
      <c r="C42"/>
      <c r="D42"/>
      <c r="E42"/>
    </row>
    <row r="43" spans="1:6" x14ac:dyDescent="0.2">
      <c r="B43"/>
      <c r="C43"/>
      <c r="D43"/>
      <c r="E43"/>
    </row>
    <row r="44" spans="1:6" x14ac:dyDescent="0.2">
      <c r="B44"/>
      <c r="C44"/>
      <c r="D44"/>
      <c r="E44"/>
    </row>
    <row r="45" spans="1:6" x14ac:dyDescent="0.2">
      <c r="B45"/>
      <c r="C45"/>
      <c r="D45"/>
      <c r="E45"/>
    </row>
    <row r="46" spans="1:6" x14ac:dyDescent="0.2">
      <c r="B46"/>
      <c r="C46"/>
      <c r="D46"/>
      <c r="E46"/>
    </row>
    <row r="47" spans="1:6" x14ac:dyDescent="0.2">
      <c r="B47"/>
      <c r="C47"/>
      <c r="D47"/>
      <c r="E47"/>
    </row>
    <row r="48" spans="1:6" x14ac:dyDescent="0.2">
      <c r="B48"/>
      <c r="C48"/>
      <c r="D48"/>
      <c r="E48"/>
    </row>
    <row r="49" spans="1:5" x14ac:dyDescent="0.2">
      <c r="B49"/>
      <c r="C49"/>
      <c r="D49"/>
      <c r="E49"/>
    </row>
    <row r="50" spans="1:5" x14ac:dyDescent="0.2">
      <c r="B50"/>
      <c r="C50"/>
      <c r="D50"/>
      <c r="E50"/>
    </row>
    <row r="51" spans="1:5" x14ac:dyDescent="0.2">
      <c r="A51" s="4"/>
      <c r="B51"/>
      <c r="C51"/>
      <c r="D51"/>
      <c r="E51"/>
    </row>
    <row r="52" spans="1:5" x14ac:dyDescent="0.2">
      <c r="B52"/>
      <c r="C52"/>
      <c r="D52"/>
      <c r="E52"/>
    </row>
    <row r="53" spans="1:5" x14ac:dyDescent="0.2">
      <c r="B53"/>
      <c r="C53"/>
      <c r="D53"/>
      <c r="E53"/>
    </row>
    <row r="54" spans="1:5" x14ac:dyDescent="0.2">
      <c r="B54"/>
      <c r="C54"/>
      <c r="D54"/>
      <c r="E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2DD2-BF57-4816-AB5E-0ED3C37D1D73}">
  <sheetPr codeName="Sheet9"/>
  <dimension ref="A1:H54"/>
  <sheetViews>
    <sheetView zoomScale="85" zoomScaleNormal="85" workbookViewId="0">
      <selection sqref="A1:F38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7</v>
      </c>
      <c r="B1" s="1" t="s">
        <v>3</v>
      </c>
      <c r="C1" s="1" t="s">
        <v>4</v>
      </c>
      <c r="D1" s="2" t="s">
        <v>5</v>
      </c>
      <c r="E1" t="s">
        <v>17</v>
      </c>
      <c r="F1" s="1" t="s">
        <v>6</v>
      </c>
    </row>
    <row r="2" spans="1:8" x14ac:dyDescent="0.2">
      <c r="A2" s="4">
        <v>1990</v>
      </c>
      <c r="B2">
        <v>1450</v>
      </c>
      <c r="C2">
        <v>415</v>
      </c>
      <c r="D2">
        <v>0</v>
      </c>
      <c r="E2">
        <v>0</v>
      </c>
      <c r="F2" s="1">
        <v>1865</v>
      </c>
    </row>
    <row r="3" spans="1:8" ht="18" x14ac:dyDescent="0.2">
      <c r="A3" s="1">
        <v>1991</v>
      </c>
      <c r="B3">
        <v>1704</v>
      </c>
      <c r="C3">
        <v>418</v>
      </c>
      <c r="D3">
        <v>1</v>
      </c>
      <c r="E3">
        <v>0</v>
      </c>
      <c r="F3" s="1">
        <v>2123</v>
      </c>
      <c r="H3" s="3"/>
    </row>
    <row r="4" spans="1:8" x14ac:dyDescent="0.2">
      <c r="A4" s="1">
        <v>1992</v>
      </c>
      <c r="B4">
        <v>1413</v>
      </c>
      <c r="C4">
        <v>488</v>
      </c>
      <c r="D4">
        <v>13</v>
      </c>
      <c r="E4">
        <v>0</v>
      </c>
      <c r="F4" s="1">
        <v>1914</v>
      </c>
    </row>
    <row r="5" spans="1:8" x14ac:dyDescent="0.2">
      <c r="A5" s="1">
        <v>1993</v>
      </c>
      <c r="B5">
        <v>1406</v>
      </c>
      <c r="C5">
        <v>598</v>
      </c>
      <c r="D5">
        <v>32</v>
      </c>
      <c r="E5">
        <v>0</v>
      </c>
      <c r="F5" s="1">
        <v>2036</v>
      </c>
    </row>
    <row r="6" spans="1:8" x14ac:dyDescent="0.2">
      <c r="A6" s="1">
        <v>1994</v>
      </c>
      <c r="B6">
        <v>3726</v>
      </c>
      <c r="C6">
        <v>1600</v>
      </c>
      <c r="D6">
        <v>111</v>
      </c>
      <c r="E6">
        <v>0</v>
      </c>
      <c r="F6" s="1">
        <v>5437</v>
      </c>
    </row>
    <row r="7" spans="1:8" x14ac:dyDescent="0.2">
      <c r="A7" s="1">
        <v>1995</v>
      </c>
      <c r="B7">
        <v>4175</v>
      </c>
      <c r="C7">
        <v>1691</v>
      </c>
      <c r="D7">
        <v>128</v>
      </c>
      <c r="E7">
        <v>0</v>
      </c>
      <c r="F7" s="1">
        <v>5994</v>
      </c>
    </row>
    <row r="8" spans="1:8" x14ac:dyDescent="0.2">
      <c r="A8" s="1">
        <v>1996</v>
      </c>
      <c r="B8">
        <v>4025</v>
      </c>
      <c r="C8">
        <v>1855</v>
      </c>
      <c r="D8">
        <v>122</v>
      </c>
      <c r="E8">
        <v>0</v>
      </c>
      <c r="F8" s="1">
        <v>6002</v>
      </c>
    </row>
    <row r="9" spans="1:8" x14ac:dyDescent="0.2">
      <c r="A9" s="1">
        <v>1997</v>
      </c>
      <c r="B9">
        <v>4488</v>
      </c>
      <c r="C9">
        <v>2146</v>
      </c>
      <c r="D9">
        <v>155</v>
      </c>
      <c r="E9">
        <v>0</v>
      </c>
      <c r="F9" s="1">
        <v>6789</v>
      </c>
    </row>
    <row r="10" spans="1:8" x14ac:dyDescent="0.2">
      <c r="A10" s="1">
        <v>1998</v>
      </c>
      <c r="B10">
        <v>4444</v>
      </c>
      <c r="C10">
        <v>2590</v>
      </c>
      <c r="D10">
        <v>165</v>
      </c>
      <c r="E10">
        <v>0</v>
      </c>
      <c r="F10" s="1">
        <v>7199</v>
      </c>
    </row>
    <row r="11" spans="1:8" x14ac:dyDescent="0.2">
      <c r="A11" s="4">
        <v>1999</v>
      </c>
      <c r="B11">
        <v>5072</v>
      </c>
      <c r="C11">
        <v>3091</v>
      </c>
      <c r="D11">
        <v>182</v>
      </c>
      <c r="E11">
        <v>0</v>
      </c>
      <c r="F11" s="1">
        <v>8345</v>
      </c>
    </row>
    <row r="12" spans="1:8" x14ac:dyDescent="0.2">
      <c r="A12" s="1">
        <v>2000</v>
      </c>
      <c r="B12">
        <v>5206</v>
      </c>
      <c r="C12">
        <v>3083</v>
      </c>
      <c r="D12">
        <v>152</v>
      </c>
      <c r="E12">
        <v>0</v>
      </c>
      <c r="F12" s="1">
        <v>8441</v>
      </c>
    </row>
    <row r="13" spans="1:8" x14ac:dyDescent="0.2">
      <c r="A13" s="1">
        <v>2001</v>
      </c>
      <c r="B13">
        <v>4152</v>
      </c>
      <c r="C13">
        <v>3129</v>
      </c>
      <c r="D13">
        <v>169</v>
      </c>
      <c r="E13">
        <v>0</v>
      </c>
      <c r="F13" s="1">
        <v>7450</v>
      </c>
    </row>
    <row r="14" spans="1:8" x14ac:dyDescent="0.2">
      <c r="A14" s="1">
        <v>2002</v>
      </c>
      <c r="B14">
        <v>4568</v>
      </c>
      <c r="C14">
        <v>2970</v>
      </c>
      <c r="D14">
        <v>202</v>
      </c>
      <c r="E14">
        <v>0</v>
      </c>
      <c r="F14" s="1">
        <v>7740</v>
      </c>
    </row>
    <row r="15" spans="1:8" x14ac:dyDescent="0.2">
      <c r="A15" s="1">
        <v>2003</v>
      </c>
      <c r="B15">
        <v>5717</v>
      </c>
      <c r="C15">
        <v>4050</v>
      </c>
      <c r="D15">
        <v>226</v>
      </c>
      <c r="E15">
        <v>0</v>
      </c>
      <c r="F15" s="1">
        <v>9993</v>
      </c>
    </row>
    <row r="16" spans="1:8" x14ac:dyDescent="0.2">
      <c r="A16" s="1">
        <v>2004</v>
      </c>
      <c r="B16">
        <v>5957</v>
      </c>
      <c r="C16">
        <v>4563</v>
      </c>
      <c r="D16">
        <v>255</v>
      </c>
      <c r="E16">
        <v>0</v>
      </c>
      <c r="F16" s="1">
        <v>10775</v>
      </c>
    </row>
    <row r="17" spans="1:6" x14ac:dyDescent="0.2">
      <c r="A17" s="1">
        <v>2005</v>
      </c>
      <c r="B17">
        <v>6737</v>
      </c>
      <c r="C17">
        <v>5347</v>
      </c>
      <c r="D17">
        <v>374</v>
      </c>
      <c r="E17">
        <v>0</v>
      </c>
      <c r="F17" s="1">
        <v>12458</v>
      </c>
    </row>
    <row r="18" spans="1:6" x14ac:dyDescent="0.2">
      <c r="A18" s="1">
        <v>2006</v>
      </c>
      <c r="B18">
        <v>6077</v>
      </c>
      <c r="C18">
        <v>5541</v>
      </c>
      <c r="D18">
        <v>349</v>
      </c>
      <c r="E18">
        <v>0</v>
      </c>
      <c r="F18" s="1">
        <v>11967</v>
      </c>
    </row>
    <row r="19" spans="1:6" x14ac:dyDescent="0.2">
      <c r="A19" s="1">
        <v>2007</v>
      </c>
      <c r="B19">
        <v>5928</v>
      </c>
      <c r="C19">
        <v>5587</v>
      </c>
      <c r="D19">
        <v>350</v>
      </c>
      <c r="E19">
        <v>0</v>
      </c>
      <c r="F19" s="1">
        <v>11865</v>
      </c>
    </row>
    <row r="20" spans="1:6" x14ac:dyDescent="0.2">
      <c r="A20" s="1">
        <v>2008</v>
      </c>
      <c r="B20">
        <v>5222</v>
      </c>
      <c r="C20">
        <v>5514</v>
      </c>
      <c r="D20">
        <v>299</v>
      </c>
      <c r="E20">
        <v>0</v>
      </c>
      <c r="F20" s="1">
        <v>11035</v>
      </c>
    </row>
    <row r="21" spans="1:6" x14ac:dyDescent="0.2">
      <c r="A21" s="4">
        <v>2009</v>
      </c>
      <c r="B21">
        <v>5208</v>
      </c>
      <c r="C21">
        <v>5142</v>
      </c>
      <c r="D21">
        <v>332</v>
      </c>
      <c r="E21">
        <v>0</v>
      </c>
      <c r="F21" s="1">
        <v>10682</v>
      </c>
    </row>
    <row r="22" spans="1:6" x14ac:dyDescent="0.2">
      <c r="A22" s="1">
        <v>2010</v>
      </c>
      <c r="B22">
        <v>5216</v>
      </c>
      <c r="C22">
        <v>5697</v>
      </c>
      <c r="D22">
        <v>344</v>
      </c>
      <c r="E22">
        <v>0</v>
      </c>
      <c r="F22" s="1">
        <v>11257</v>
      </c>
    </row>
    <row r="23" spans="1:6" x14ac:dyDescent="0.2">
      <c r="A23" s="1">
        <v>2011</v>
      </c>
      <c r="B23">
        <v>6100</v>
      </c>
      <c r="C23">
        <v>6964</v>
      </c>
      <c r="D23">
        <v>409</v>
      </c>
      <c r="E23">
        <v>0</v>
      </c>
      <c r="F23" s="1">
        <v>13473</v>
      </c>
    </row>
    <row r="24" spans="1:6" x14ac:dyDescent="0.2">
      <c r="A24" s="1">
        <v>2012</v>
      </c>
      <c r="B24">
        <v>6760</v>
      </c>
      <c r="C24">
        <v>7838</v>
      </c>
      <c r="D24">
        <v>466</v>
      </c>
      <c r="E24">
        <v>0</v>
      </c>
      <c r="F24" s="1">
        <v>15064</v>
      </c>
    </row>
    <row r="25" spans="1:6" x14ac:dyDescent="0.2">
      <c r="A25" s="1">
        <v>2013</v>
      </c>
      <c r="B25">
        <v>7430</v>
      </c>
      <c r="C25">
        <v>8529</v>
      </c>
      <c r="D25">
        <v>493</v>
      </c>
      <c r="E25">
        <v>0</v>
      </c>
      <c r="F25" s="1">
        <v>16452</v>
      </c>
    </row>
    <row r="26" spans="1:6" x14ac:dyDescent="0.2">
      <c r="A26" s="1">
        <v>2014</v>
      </c>
      <c r="B26">
        <v>6966</v>
      </c>
      <c r="C26">
        <v>8218</v>
      </c>
      <c r="D26">
        <v>437</v>
      </c>
      <c r="E26">
        <v>0</v>
      </c>
      <c r="F26" s="1">
        <v>15621</v>
      </c>
    </row>
    <row r="27" spans="1:6" x14ac:dyDescent="0.2">
      <c r="A27" s="1">
        <v>2015</v>
      </c>
      <c r="B27">
        <v>6123</v>
      </c>
      <c r="C27">
        <v>7656</v>
      </c>
      <c r="D27">
        <v>404</v>
      </c>
      <c r="E27">
        <v>0</v>
      </c>
      <c r="F27" s="1">
        <v>14183</v>
      </c>
    </row>
    <row r="28" spans="1:6" x14ac:dyDescent="0.2">
      <c r="A28" s="1">
        <v>2016</v>
      </c>
      <c r="B28">
        <v>5272</v>
      </c>
      <c r="C28">
        <v>6759</v>
      </c>
      <c r="D28">
        <v>331</v>
      </c>
      <c r="E28">
        <v>0</v>
      </c>
      <c r="F28" s="1">
        <v>12362</v>
      </c>
    </row>
    <row r="29" spans="1:6" x14ac:dyDescent="0.2">
      <c r="A29" s="1">
        <v>2017</v>
      </c>
      <c r="B29">
        <v>4785</v>
      </c>
      <c r="C29">
        <v>6615</v>
      </c>
      <c r="D29">
        <v>294</v>
      </c>
      <c r="E29">
        <v>0</v>
      </c>
      <c r="F29" s="1">
        <v>11694</v>
      </c>
    </row>
    <row r="30" spans="1:6" x14ac:dyDescent="0.2">
      <c r="A30" s="1">
        <v>2018</v>
      </c>
      <c r="B30">
        <v>4746</v>
      </c>
      <c r="C30">
        <v>6382</v>
      </c>
      <c r="D30">
        <v>287</v>
      </c>
      <c r="E30">
        <v>0</v>
      </c>
      <c r="F30" s="1">
        <v>11415</v>
      </c>
    </row>
    <row r="31" spans="1:6" x14ac:dyDescent="0.2">
      <c r="A31" s="4">
        <v>2019</v>
      </c>
      <c r="B31">
        <v>4502</v>
      </c>
      <c r="C31">
        <v>6497</v>
      </c>
      <c r="D31">
        <v>271</v>
      </c>
      <c r="E31">
        <v>0</v>
      </c>
      <c r="F31" s="1">
        <v>11270</v>
      </c>
    </row>
    <row r="32" spans="1:6" x14ac:dyDescent="0.2">
      <c r="A32" s="1">
        <v>2020</v>
      </c>
      <c r="B32">
        <v>3446</v>
      </c>
      <c r="C32">
        <v>5221</v>
      </c>
      <c r="D32">
        <v>195</v>
      </c>
      <c r="E32">
        <v>0</v>
      </c>
      <c r="F32" s="1">
        <v>8862</v>
      </c>
    </row>
    <row r="33" spans="1:6" x14ac:dyDescent="0.2">
      <c r="A33" s="1">
        <v>2021</v>
      </c>
      <c r="B33">
        <v>3246</v>
      </c>
      <c r="C33">
        <v>5102</v>
      </c>
      <c r="D33">
        <v>241</v>
      </c>
      <c r="E33">
        <v>0</v>
      </c>
      <c r="F33" s="1">
        <v>8589</v>
      </c>
    </row>
    <row r="34" spans="1:6" x14ac:dyDescent="0.2">
      <c r="A34" s="1">
        <v>2022</v>
      </c>
      <c r="B34">
        <v>2582</v>
      </c>
      <c r="C34">
        <v>3663</v>
      </c>
      <c r="D34">
        <v>186</v>
      </c>
      <c r="E34">
        <v>0</v>
      </c>
      <c r="F34" s="1">
        <v>6431</v>
      </c>
    </row>
    <row r="35" spans="1:6" x14ac:dyDescent="0.2">
      <c r="A35" s="1">
        <v>2023</v>
      </c>
      <c r="B35">
        <v>2094</v>
      </c>
      <c r="C35">
        <v>3005</v>
      </c>
      <c r="D35">
        <v>177</v>
      </c>
      <c r="E35">
        <v>0</v>
      </c>
      <c r="F35" s="1">
        <v>5276</v>
      </c>
    </row>
    <row r="36" spans="1:6" x14ac:dyDescent="0.2">
      <c r="A36" s="1">
        <v>2024</v>
      </c>
      <c r="B36">
        <v>1639</v>
      </c>
      <c r="C36">
        <v>2369</v>
      </c>
      <c r="D36">
        <v>111</v>
      </c>
      <c r="E36">
        <v>0</v>
      </c>
      <c r="F36" s="1">
        <v>4119</v>
      </c>
    </row>
    <row r="37" spans="1:6" x14ac:dyDescent="0.2">
      <c r="A37" s="1">
        <v>2025</v>
      </c>
      <c r="B37">
        <v>1129</v>
      </c>
      <c r="C37">
        <v>1538</v>
      </c>
      <c r="D37">
        <v>67</v>
      </c>
      <c r="E37">
        <v>0</v>
      </c>
      <c r="F37" s="1">
        <v>2734</v>
      </c>
    </row>
    <row r="38" spans="1:6" x14ac:dyDescent="0.2">
      <c r="A38" s="1" t="s">
        <v>19</v>
      </c>
      <c r="B38"/>
      <c r="C38"/>
      <c r="D38"/>
      <c r="E38"/>
    </row>
    <row r="39" spans="1:6" x14ac:dyDescent="0.2">
      <c r="B39"/>
      <c r="C39"/>
      <c r="D39"/>
      <c r="E39"/>
    </row>
    <row r="40" spans="1:6" x14ac:dyDescent="0.2">
      <c r="B40"/>
      <c r="C40"/>
      <c r="D40"/>
      <c r="E40"/>
    </row>
    <row r="41" spans="1:6" x14ac:dyDescent="0.2">
      <c r="A41" s="4"/>
      <c r="B41"/>
      <c r="C41"/>
      <c r="D41"/>
      <c r="E41"/>
    </row>
    <row r="42" spans="1:6" x14ac:dyDescent="0.2">
      <c r="B42"/>
      <c r="C42"/>
      <c r="D42"/>
      <c r="E42"/>
    </row>
    <row r="43" spans="1:6" x14ac:dyDescent="0.2">
      <c r="B43"/>
      <c r="C43"/>
      <c r="D43"/>
      <c r="E43"/>
    </row>
    <row r="44" spans="1:6" x14ac:dyDescent="0.2">
      <c r="B44"/>
      <c r="C44"/>
      <c r="D44"/>
      <c r="E44"/>
    </row>
    <row r="45" spans="1:6" x14ac:dyDescent="0.2">
      <c r="B45"/>
      <c r="C45"/>
      <c r="D45"/>
      <c r="E45"/>
    </row>
    <row r="46" spans="1:6" x14ac:dyDescent="0.2">
      <c r="B46"/>
      <c r="C46"/>
      <c r="D46"/>
      <c r="E46"/>
    </row>
    <row r="47" spans="1:6" x14ac:dyDescent="0.2">
      <c r="B47"/>
      <c r="C47"/>
      <c r="D47"/>
      <c r="E47"/>
    </row>
    <row r="48" spans="1:6" x14ac:dyDescent="0.2">
      <c r="B48"/>
      <c r="C48"/>
      <c r="D48"/>
      <c r="E48"/>
    </row>
    <row r="49" spans="1:5" x14ac:dyDescent="0.2">
      <c r="B49"/>
      <c r="C49"/>
      <c r="D49"/>
      <c r="E49"/>
    </row>
    <row r="50" spans="1:5" x14ac:dyDescent="0.2">
      <c r="B50"/>
      <c r="C50"/>
      <c r="D50"/>
      <c r="E50"/>
    </row>
    <row r="51" spans="1:5" x14ac:dyDescent="0.2">
      <c r="A51" s="4"/>
      <c r="B51"/>
      <c r="C51"/>
      <c r="D51"/>
      <c r="E51"/>
    </row>
    <row r="52" spans="1:5" x14ac:dyDescent="0.2">
      <c r="B52"/>
      <c r="C52"/>
      <c r="D52"/>
      <c r="E52"/>
    </row>
    <row r="53" spans="1:5" x14ac:dyDescent="0.2">
      <c r="B53"/>
      <c r="C53"/>
      <c r="D53"/>
      <c r="E53"/>
    </row>
    <row r="54" spans="1:5" x14ac:dyDescent="0.2">
      <c r="A54"/>
      <c r="B54"/>
      <c r="C54"/>
      <c r="D54"/>
      <c r="E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06A2-42F8-4253-85E5-8558F0554194}">
  <sheetPr codeName="Sheet10"/>
  <dimension ref="A1:H54"/>
  <sheetViews>
    <sheetView zoomScaleNormal="100" workbookViewId="0">
      <selection sqref="A1:F38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8</v>
      </c>
      <c r="B1" t="s">
        <v>3</v>
      </c>
      <c r="C1" t="s">
        <v>4</v>
      </c>
      <c r="D1" t="s">
        <v>5</v>
      </c>
      <c r="E1" t="s">
        <v>17</v>
      </c>
      <c r="F1" s="1" t="s">
        <v>6</v>
      </c>
    </row>
    <row r="2" spans="1:8" x14ac:dyDescent="0.2">
      <c r="A2" s="4">
        <v>1990</v>
      </c>
      <c r="B2">
        <v>34</v>
      </c>
      <c r="C2">
        <v>45</v>
      </c>
      <c r="D2">
        <v>0</v>
      </c>
      <c r="E2">
        <v>0</v>
      </c>
      <c r="F2" s="1">
        <v>79</v>
      </c>
    </row>
    <row r="3" spans="1:8" ht="18" x14ac:dyDescent="0.2">
      <c r="A3" s="1">
        <v>1991</v>
      </c>
      <c r="B3">
        <v>42</v>
      </c>
      <c r="C3">
        <v>79</v>
      </c>
      <c r="D3">
        <v>0</v>
      </c>
      <c r="E3">
        <v>0</v>
      </c>
      <c r="F3" s="1">
        <v>121</v>
      </c>
      <c r="H3" s="3"/>
    </row>
    <row r="4" spans="1:8" x14ac:dyDescent="0.2">
      <c r="A4" s="1">
        <v>1992</v>
      </c>
      <c r="B4">
        <v>50</v>
      </c>
      <c r="C4">
        <v>33</v>
      </c>
      <c r="D4">
        <v>1</v>
      </c>
      <c r="E4">
        <v>0</v>
      </c>
      <c r="F4" s="1">
        <v>84</v>
      </c>
    </row>
    <row r="5" spans="1:8" x14ac:dyDescent="0.2">
      <c r="A5" s="1">
        <v>1993</v>
      </c>
      <c r="B5">
        <v>65</v>
      </c>
      <c r="C5">
        <v>64</v>
      </c>
      <c r="D5">
        <v>2</v>
      </c>
      <c r="E5">
        <v>0</v>
      </c>
      <c r="F5" s="1">
        <v>131</v>
      </c>
    </row>
    <row r="6" spans="1:8" x14ac:dyDescent="0.2">
      <c r="A6" s="1">
        <v>1994</v>
      </c>
      <c r="B6">
        <v>97</v>
      </c>
      <c r="C6">
        <v>74</v>
      </c>
      <c r="D6">
        <v>2</v>
      </c>
      <c r="E6">
        <v>0</v>
      </c>
      <c r="F6" s="1">
        <v>173</v>
      </c>
    </row>
    <row r="7" spans="1:8" x14ac:dyDescent="0.2">
      <c r="A7" s="1">
        <v>1995</v>
      </c>
      <c r="B7">
        <v>114</v>
      </c>
      <c r="C7">
        <v>101</v>
      </c>
      <c r="D7">
        <v>8</v>
      </c>
      <c r="E7">
        <v>0</v>
      </c>
      <c r="F7" s="1">
        <v>223</v>
      </c>
    </row>
    <row r="8" spans="1:8" x14ac:dyDescent="0.2">
      <c r="A8" s="1">
        <v>1996</v>
      </c>
      <c r="B8">
        <v>119</v>
      </c>
      <c r="C8">
        <v>140</v>
      </c>
      <c r="D8">
        <v>6</v>
      </c>
      <c r="E8">
        <v>0</v>
      </c>
      <c r="F8" s="1">
        <v>265</v>
      </c>
    </row>
    <row r="9" spans="1:8" x14ac:dyDescent="0.2">
      <c r="A9" s="1">
        <v>1997</v>
      </c>
      <c r="B9">
        <v>124</v>
      </c>
      <c r="C9">
        <v>173</v>
      </c>
      <c r="D9">
        <v>9</v>
      </c>
      <c r="E9">
        <v>0</v>
      </c>
      <c r="F9" s="1">
        <v>306</v>
      </c>
    </row>
    <row r="10" spans="1:8" x14ac:dyDescent="0.2">
      <c r="A10" s="1">
        <v>1998</v>
      </c>
      <c r="B10">
        <v>126</v>
      </c>
      <c r="C10">
        <v>139</v>
      </c>
      <c r="D10">
        <v>10</v>
      </c>
      <c r="E10">
        <v>0</v>
      </c>
      <c r="F10" s="1">
        <v>275</v>
      </c>
    </row>
    <row r="11" spans="1:8" x14ac:dyDescent="0.2">
      <c r="A11" s="4">
        <v>1999</v>
      </c>
      <c r="B11">
        <v>136</v>
      </c>
      <c r="C11">
        <v>166</v>
      </c>
      <c r="D11">
        <v>2</v>
      </c>
      <c r="E11">
        <v>0</v>
      </c>
      <c r="F11" s="1">
        <v>304</v>
      </c>
    </row>
    <row r="12" spans="1:8" x14ac:dyDescent="0.2">
      <c r="A12" s="1">
        <v>2000</v>
      </c>
      <c r="B12">
        <v>188</v>
      </c>
      <c r="C12">
        <v>211</v>
      </c>
      <c r="D12">
        <v>11</v>
      </c>
      <c r="E12">
        <v>0</v>
      </c>
      <c r="F12" s="1">
        <v>410</v>
      </c>
    </row>
    <row r="13" spans="1:8" x14ac:dyDescent="0.2">
      <c r="A13" s="1">
        <v>2001</v>
      </c>
      <c r="B13">
        <v>182</v>
      </c>
      <c r="C13">
        <v>255</v>
      </c>
      <c r="D13">
        <v>8</v>
      </c>
      <c r="E13">
        <v>0</v>
      </c>
      <c r="F13" s="1">
        <v>445</v>
      </c>
    </row>
    <row r="14" spans="1:8" x14ac:dyDescent="0.2">
      <c r="A14" s="1">
        <v>2002</v>
      </c>
      <c r="B14">
        <v>234</v>
      </c>
      <c r="C14">
        <v>324</v>
      </c>
      <c r="D14">
        <v>14</v>
      </c>
      <c r="E14">
        <v>0</v>
      </c>
      <c r="F14" s="1">
        <v>572</v>
      </c>
    </row>
    <row r="15" spans="1:8" x14ac:dyDescent="0.2">
      <c r="A15" s="1">
        <v>2003</v>
      </c>
      <c r="B15">
        <v>321</v>
      </c>
      <c r="C15">
        <v>488</v>
      </c>
      <c r="D15">
        <v>11</v>
      </c>
      <c r="E15">
        <v>0</v>
      </c>
      <c r="F15" s="1">
        <v>820</v>
      </c>
    </row>
    <row r="16" spans="1:8" x14ac:dyDescent="0.2">
      <c r="A16" s="1">
        <v>2004</v>
      </c>
      <c r="B16">
        <v>278</v>
      </c>
      <c r="C16">
        <v>581</v>
      </c>
      <c r="D16">
        <v>31</v>
      </c>
      <c r="E16">
        <v>0</v>
      </c>
      <c r="F16" s="1">
        <v>890</v>
      </c>
    </row>
    <row r="17" spans="1:6" x14ac:dyDescent="0.2">
      <c r="A17" s="1">
        <v>2005</v>
      </c>
      <c r="B17">
        <v>494</v>
      </c>
      <c r="C17">
        <v>851</v>
      </c>
      <c r="D17">
        <v>34</v>
      </c>
      <c r="E17">
        <v>0</v>
      </c>
      <c r="F17" s="1">
        <v>1379</v>
      </c>
    </row>
    <row r="18" spans="1:6" x14ac:dyDescent="0.2">
      <c r="A18" s="1">
        <v>2006</v>
      </c>
      <c r="B18">
        <v>578</v>
      </c>
      <c r="C18">
        <v>1090</v>
      </c>
      <c r="D18">
        <v>31</v>
      </c>
      <c r="E18">
        <v>0</v>
      </c>
      <c r="F18" s="1">
        <v>1699</v>
      </c>
    </row>
    <row r="19" spans="1:6" x14ac:dyDescent="0.2">
      <c r="A19" s="1">
        <v>2007</v>
      </c>
      <c r="B19">
        <v>754</v>
      </c>
      <c r="C19">
        <v>1392</v>
      </c>
      <c r="D19">
        <v>22</v>
      </c>
      <c r="E19">
        <v>0</v>
      </c>
      <c r="F19" s="1">
        <v>2168</v>
      </c>
    </row>
    <row r="20" spans="1:6" x14ac:dyDescent="0.2">
      <c r="A20" s="1">
        <v>2008</v>
      </c>
      <c r="B20">
        <v>774</v>
      </c>
      <c r="C20">
        <v>1818</v>
      </c>
      <c r="D20">
        <v>31</v>
      </c>
      <c r="E20">
        <v>0</v>
      </c>
      <c r="F20" s="1">
        <v>2623</v>
      </c>
    </row>
    <row r="21" spans="1:6" x14ac:dyDescent="0.2">
      <c r="A21" s="4">
        <v>2009</v>
      </c>
      <c r="B21">
        <v>1013</v>
      </c>
      <c r="C21">
        <v>2316</v>
      </c>
      <c r="D21">
        <v>58</v>
      </c>
      <c r="E21">
        <v>0</v>
      </c>
      <c r="F21" s="1">
        <v>3387</v>
      </c>
    </row>
    <row r="22" spans="1:6" x14ac:dyDescent="0.2">
      <c r="A22" s="1">
        <v>2010</v>
      </c>
      <c r="B22">
        <v>1370</v>
      </c>
      <c r="C22">
        <v>3081</v>
      </c>
      <c r="D22">
        <v>90</v>
      </c>
      <c r="E22">
        <v>0</v>
      </c>
      <c r="F22" s="1">
        <v>4541</v>
      </c>
    </row>
    <row r="23" spans="1:6" x14ac:dyDescent="0.2">
      <c r="A23" s="1">
        <v>2011</v>
      </c>
      <c r="B23">
        <v>1914</v>
      </c>
      <c r="C23">
        <v>4068</v>
      </c>
      <c r="D23">
        <v>100</v>
      </c>
      <c r="E23">
        <v>0</v>
      </c>
      <c r="F23" s="1">
        <v>6082</v>
      </c>
    </row>
    <row r="24" spans="1:6" x14ac:dyDescent="0.2">
      <c r="A24" s="1">
        <v>2012</v>
      </c>
      <c r="B24">
        <v>2472</v>
      </c>
      <c r="C24">
        <v>6018</v>
      </c>
      <c r="D24">
        <v>155</v>
      </c>
      <c r="E24">
        <v>0</v>
      </c>
      <c r="F24" s="1">
        <v>8645</v>
      </c>
    </row>
    <row r="25" spans="1:6" x14ac:dyDescent="0.2">
      <c r="A25" s="1">
        <v>2013</v>
      </c>
      <c r="B25">
        <v>3516</v>
      </c>
      <c r="C25">
        <v>8000</v>
      </c>
      <c r="D25">
        <v>204</v>
      </c>
      <c r="E25">
        <v>0</v>
      </c>
      <c r="F25" s="1">
        <v>11720</v>
      </c>
    </row>
    <row r="26" spans="1:6" x14ac:dyDescent="0.2">
      <c r="A26" s="1">
        <v>2014</v>
      </c>
      <c r="B26">
        <v>4504</v>
      </c>
      <c r="C26">
        <v>9463</v>
      </c>
      <c r="D26">
        <v>307</v>
      </c>
      <c r="E26">
        <v>0</v>
      </c>
      <c r="F26" s="1">
        <v>14274</v>
      </c>
    </row>
    <row r="27" spans="1:6" x14ac:dyDescent="0.2">
      <c r="A27" s="1">
        <v>2015</v>
      </c>
      <c r="B27">
        <v>5351</v>
      </c>
      <c r="C27">
        <v>10669</v>
      </c>
      <c r="D27">
        <v>309</v>
      </c>
      <c r="E27">
        <v>0</v>
      </c>
      <c r="F27" s="1">
        <v>16329</v>
      </c>
    </row>
    <row r="28" spans="1:6" x14ac:dyDescent="0.2">
      <c r="A28" s="1">
        <v>2016</v>
      </c>
      <c r="B28">
        <v>5621</v>
      </c>
      <c r="C28">
        <v>10656</v>
      </c>
      <c r="D28">
        <v>300</v>
      </c>
      <c r="E28">
        <v>0</v>
      </c>
      <c r="F28" s="1">
        <v>16577</v>
      </c>
    </row>
    <row r="29" spans="1:6" x14ac:dyDescent="0.2">
      <c r="A29" s="1">
        <v>2017</v>
      </c>
      <c r="B29">
        <v>6169</v>
      </c>
      <c r="C29">
        <v>11666</v>
      </c>
      <c r="D29">
        <v>363</v>
      </c>
      <c r="E29">
        <v>0</v>
      </c>
      <c r="F29" s="1">
        <v>18198</v>
      </c>
    </row>
    <row r="30" spans="1:6" x14ac:dyDescent="0.2">
      <c r="A30" s="1">
        <v>2018</v>
      </c>
      <c r="B30">
        <v>6606</v>
      </c>
      <c r="C30">
        <v>12355</v>
      </c>
      <c r="D30">
        <v>339</v>
      </c>
      <c r="E30">
        <v>0</v>
      </c>
      <c r="F30" s="1">
        <v>19300</v>
      </c>
    </row>
    <row r="31" spans="1:6" x14ac:dyDescent="0.2">
      <c r="A31" s="4">
        <v>2019</v>
      </c>
      <c r="B31">
        <v>7790</v>
      </c>
      <c r="C31">
        <v>13890</v>
      </c>
      <c r="D31">
        <v>399</v>
      </c>
      <c r="E31">
        <v>0</v>
      </c>
      <c r="F31" s="1">
        <v>22079</v>
      </c>
    </row>
    <row r="32" spans="1:6" x14ac:dyDescent="0.2">
      <c r="A32" s="1">
        <v>2020</v>
      </c>
      <c r="B32">
        <v>9904</v>
      </c>
      <c r="C32">
        <v>17065</v>
      </c>
      <c r="D32">
        <v>441</v>
      </c>
      <c r="E32">
        <v>0</v>
      </c>
      <c r="F32" s="1">
        <v>27410</v>
      </c>
    </row>
    <row r="33" spans="1:6" x14ac:dyDescent="0.2">
      <c r="A33" s="1">
        <v>2021</v>
      </c>
      <c r="B33">
        <v>11689</v>
      </c>
      <c r="C33">
        <v>19210</v>
      </c>
      <c r="D33">
        <v>527</v>
      </c>
      <c r="E33">
        <v>0</v>
      </c>
      <c r="F33" s="1">
        <v>31426</v>
      </c>
    </row>
    <row r="34" spans="1:6" x14ac:dyDescent="0.2">
      <c r="A34" s="1">
        <v>2022</v>
      </c>
      <c r="B34">
        <v>12475</v>
      </c>
      <c r="C34">
        <v>19492</v>
      </c>
      <c r="D34">
        <v>595</v>
      </c>
      <c r="E34">
        <v>0</v>
      </c>
      <c r="F34" s="1">
        <v>32562</v>
      </c>
    </row>
    <row r="35" spans="1:6" x14ac:dyDescent="0.2">
      <c r="A35" s="1">
        <v>2023</v>
      </c>
      <c r="B35">
        <v>12270</v>
      </c>
      <c r="C35">
        <v>19131</v>
      </c>
      <c r="D35">
        <v>576</v>
      </c>
      <c r="E35">
        <v>0</v>
      </c>
      <c r="F35" s="1">
        <v>31977</v>
      </c>
    </row>
    <row r="36" spans="1:6" x14ac:dyDescent="0.2">
      <c r="A36" s="1">
        <v>2024</v>
      </c>
      <c r="B36">
        <v>13912</v>
      </c>
      <c r="C36">
        <v>20130</v>
      </c>
      <c r="D36">
        <v>622</v>
      </c>
      <c r="E36">
        <v>0</v>
      </c>
      <c r="F36" s="1">
        <v>34664</v>
      </c>
    </row>
    <row r="37" spans="1:6" x14ac:dyDescent="0.2">
      <c r="A37" s="1">
        <v>2025</v>
      </c>
      <c r="B37">
        <v>8878</v>
      </c>
      <c r="C37">
        <v>12852</v>
      </c>
      <c r="D37">
        <v>465</v>
      </c>
      <c r="E37">
        <v>0</v>
      </c>
      <c r="F37" s="1">
        <v>22195</v>
      </c>
    </row>
    <row r="38" spans="1:6" x14ac:dyDescent="0.2">
      <c r="A38" s="1" t="s">
        <v>20</v>
      </c>
      <c r="B38"/>
      <c r="C38"/>
      <c r="D38"/>
      <c r="E38"/>
    </row>
    <row r="39" spans="1:6" x14ac:dyDescent="0.2">
      <c r="B39"/>
      <c r="C39"/>
      <c r="D39"/>
      <c r="E39"/>
    </row>
    <row r="40" spans="1:6" x14ac:dyDescent="0.2">
      <c r="B40"/>
      <c r="C40"/>
      <c r="D40"/>
      <c r="E40"/>
    </row>
    <row r="41" spans="1:6" x14ac:dyDescent="0.2">
      <c r="A41" s="4"/>
      <c r="B41"/>
      <c r="C41"/>
      <c r="D41"/>
      <c r="E41"/>
    </row>
    <row r="42" spans="1:6" x14ac:dyDescent="0.2">
      <c r="B42"/>
      <c r="C42"/>
      <c r="D42"/>
      <c r="E42"/>
    </row>
    <row r="43" spans="1:6" x14ac:dyDescent="0.2">
      <c r="B43"/>
      <c r="C43"/>
      <c r="D43"/>
      <c r="E43"/>
    </row>
    <row r="44" spans="1:6" x14ac:dyDescent="0.2">
      <c r="B44"/>
      <c r="C44"/>
      <c r="D44"/>
      <c r="E44"/>
    </row>
    <row r="45" spans="1:6" x14ac:dyDescent="0.2">
      <c r="B45"/>
      <c r="C45"/>
      <c r="D45"/>
      <c r="E45"/>
    </row>
    <row r="46" spans="1:6" x14ac:dyDescent="0.2">
      <c r="B46"/>
      <c r="C46"/>
      <c r="D46"/>
      <c r="E46"/>
    </row>
    <row r="47" spans="1:6" x14ac:dyDescent="0.2">
      <c r="B47"/>
      <c r="C47"/>
      <c r="D47"/>
      <c r="E47"/>
    </row>
    <row r="48" spans="1:6" x14ac:dyDescent="0.2">
      <c r="B48"/>
      <c r="C48"/>
      <c r="D48"/>
      <c r="E48"/>
    </row>
    <row r="49" spans="1:5" x14ac:dyDescent="0.2">
      <c r="B49"/>
      <c r="C49"/>
      <c r="D49"/>
      <c r="E49"/>
    </row>
    <row r="50" spans="1:5" x14ac:dyDescent="0.2">
      <c r="B50"/>
      <c r="C50"/>
      <c r="D50"/>
      <c r="E50"/>
    </row>
    <row r="51" spans="1:5" x14ac:dyDescent="0.2">
      <c r="A51" s="4"/>
      <c r="B51"/>
      <c r="C51"/>
      <c r="D51"/>
      <c r="E51"/>
    </row>
    <row r="52" spans="1:5" x14ac:dyDescent="0.2">
      <c r="B52"/>
      <c r="C52"/>
      <c r="D52"/>
      <c r="E52"/>
    </row>
    <row r="53" spans="1:5" x14ac:dyDescent="0.2">
      <c r="B53"/>
      <c r="C53"/>
      <c r="D53"/>
      <c r="E53"/>
    </row>
    <row r="54" spans="1:5" x14ac:dyDescent="0.2">
      <c r="A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953F8-7DB3-4E81-B7B5-C91E7DF02D3E}">
  <sheetPr codeName="Sheet13"/>
  <dimension ref="A1:H54"/>
  <sheetViews>
    <sheetView zoomScale="85" zoomScaleNormal="85" workbookViewId="0">
      <selection sqref="A1:F38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9</v>
      </c>
      <c r="B1" t="s">
        <v>3</v>
      </c>
      <c r="C1" t="s">
        <v>4</v>
      </c>
      <c r="D1" t="s">
        <v>5</v>
      </c>
      <c r="E1" t="s">
        <v>17</v>
      </c>
      <c r="F1" s="1" t="s">
        <v>6</v>
      </c>
    </row>
    <row r="2" spans="1:8" x14ac:dyDescent="0.2">
      <c r="A2" s="4">
        <v>1990</v>
      </c>
      <c r="B2">
        <v>302</v>
      </c>
      <c r="C2">
        <v>75</v>
      </c>
      <c r="D2">
        <v>0</v>
      </c>
      <c r="E2">
        <v>0</v>
      </c>
      <c r="F2" s="1">
        <v>377</v>
      </c>
    </row>
    <row r="3" spans="1:8" ht="18" x14ac:dyDescent="0.2">
      <c r="A3" s="1">
        <v>1991</v>
      </c>
      <c r="B3">
        <v>342</v>
      </c>
      <c r="C3">
        <v>106</v>
      </c>
      <c r="D3">
        <v>1</v>
      </c>
      <c r="E3">
        <v>0</v>
      </c>
      <c r="F3" s="1">
        <v>449</v>
      </c>
      <c r="H3" s="3"/>
    </row>
    <row r="4" spans="1:8" x14ac:dyDescent="0.2">
      <c r="A4" s="1">
        <v>1992</v>
      </c>
      <c r="B4">
        <v>336</v>
      </c>
      <c r="C4">
        <v>128</v>
      </c>
      <c r="D4">
        <v>3</v>
      </c>
      <c r="E4">
        <v>0</v>
      </c>
      <c r="F4" s="1">
        <v>467</v>
      </c>
    </row>
    <row r="5" spans="1:8" x14ac:dyDescent="0.2">
      <c r="A5" s="1">
        <v>1993</v>
      </c>
      <c r="B5">
        <v>269</v>
      </c>
      <c r="C5">
        <v>151</v>
      </c>
      <c r="D5">
        <v>16</v>
      </c>
      <c r="E5">
        <v>0</v>
      </c>
      <c r="F5" s="1">
        <v>436</v>
      </c>
    </row>
    <row r="6" spans="1:8" x14ac:dyDescent="0.2">
      <c r="A6" s="1">
        <v>1994</v>
      </c>
      <c r="B6">
        <v>267</v>
      </c>
      <c r="C6">
        <v>161</v>
      </c>
      <c r="D6">
        <v>7</v>
      </c>
      <c r="E6">
        <v>0</v>
      </c>
      <c r="F6" s="1">
        <v>435</v>
      </c>
    </row>
    <row r="7" spans="1:8" x14ac:dyDescent="0.2">
      <c r="A7" s="1">
        <v>1995</v>
      </c>
      <c r="B7">
        <v>339</v>
      </c>
      <c r="C7">
        <v>229</v>
      </c>
      <c r="D7">
        <v>8</v>
      </c>
      <c r="E7">
        <v>0</v>
      </c>
      <c r="F7" s="1">
        <v>576</v>
      </c>
    </row>
    <row r="8" spans="1:8" x14ac:dyDescent="0.2">
      <c r="A8" s="1">
        <v>1996</v>
      </c>
      <c r="B8">
        <v>411</v>
      </c>
      <c r="C8">
        <v>279</v>
      </c>
      <c r="D8">
        <v>15</v>
      </c>
      <c r="E8">
        <v>0</v>
      </c>
      <c r="F8" s="1">
        <v>705</v>
      </c>
    </row>
    <row r="9" spans="1:8" x14ac:dyDescent="0.2">
      <c r="A9" s="1">
        <v>1997</v>
      </c>
      <c r="B9">
        <v>414</v>
      </c>
      <c r="C9">
        <v>300</v>
      </c>
      <c r="D9">
        <v>11</v>
      </c>
      <c r="E9">
        <v>0</v>
      </c>
      <c r="F9" s="1">
        <v>725</v>
      </c>
    </row>
    <row r="10" spans="1:8" x14ac:dyDescent="0.2">
      <c r="A10" s="1">
        <v>1998</v>
      </c>
      <c r="B10">
        <v>412</v>
      </c>
      <c r="C10">
        <v>292</v>
      </c>
      <c r="D10">
        <v>4</v>
      </c>
      <c r="E10">
        <v>0</v>
      </c>
      <c r="F10" s="1">
        <v>708</v>
      </c>
    </row>
    <row r="11" spans="1:8" x14ac:dyDescent="0.2">
      <c r="A11" s="4">
        <v>1999</v>
      </c>
      <c r="B11">
        <v>293</v>
      </c>
      <c r="C11">
        <v>233</v>
      </c>
      <c r="D11">
        <v>8</v>
      </c>
      <c r="E11">
        <v>0</v>
      </c>
      <c r="F11" s="1">
        <v>534</v>
      </c>
    </row>
    <row r="12" spans="1:8" x14ac:dyDescent="0.2">
      <c r="A12" s="1">
        <v>2000</v>
      </c>
      <c r="B12">
        <v>280</v>
      </c>
      <c r="C12">
        <v>266</v>
      </c>
      <c r="D12">
        <v>16</v>
      </c>
      <c r="E12">
        <v>0</v>
      </c>
      <c r="F12" s="1">
        <v>562</v>
      </c>
    </row>
    <row r="13" spans="1:8" x14ac:dyDescent="0.2">
      <c r="A13" s="1">
        <v>2001</v>
      </c>
      <c r="B13">
        <v>312</v>
      </c>
      <c r="C13">
        <v>357</v>
      </c>
      <c r="D13">
        <v>6</v>
      </c>
      <c r="E13">
        <v>0</v>
      </c>
      <c r="F13" s="1">
        <v>675</v>
      </c>
    </row>
    <row r="14" spans="1:8" x14ac:dyDescent="0.2">
      <c r="A14" s="1">
        <v>2002</v>
      </c>
      <c r="B14">
        <v>350</v>
      </c>
      <c r="C14">
        <v>377</v>
      </c>
      <c r="D14">
        <v>12</v>
      </c>
      <c r="E14">
        <v>0</v>
      </c>
      <c r="F14" s="1">
        <v>739</v>
      </c>
    </row>
    <row r="15" spans="1:8" x14ac:dyDescent="0.2">
      <c r="A15" s="1">
        <v>2003</v>
      </c>
      <c r="B15">
        <v>512</v>
      </c>
      <c r="C15">
        <v>549</v>
      </c>
      <c r="D15">
        <v>16</v>
      </c>
      <c r="E15">
        <v>0</v>
      </c>
      <c r="F15" s="1">
        <v>1077</v>
      </c>
    </row>
    <row r="16" spans="1:8" x14ac:dyDescent="0.2">
      <c r="A16" s="1">
        <v>2004</v>
      </c>
      <c r="B16">
        <v>588</v>
      </c>
      <c r="C16">
        <v>745</v>
      </c>
      <c r="D16">
        <v>23</v>
      </c>
      <c r="E16">
        <v>0</v>
      </c>
      <c r="F16" s="1">
        <v>1356</v>
      </c>
    </row>
    <row r="17" spans="1:6" x14ac:dyDescent="0.2">
      <c r="A17" s="1">
        <v>2005</v>
      </c>
      <c r="B17">
        <v>514</v>
      </c>
      <c r="C17">
        <v>608</v>
      </c>
      <c r="D17">
        <v>13</v>
      </c>
      <c r="E17">
        <v>0</v>
      </c>
      <c r="F17" s="1">
        <v>1135</v>
      </c>
    </row>
    <row r="18" spans="1:6" x14ac:dyDescent="0.2">
      <c r="A18" s="1">
        <v>2006</v>
      </c>
      <c r="B18">
        <v>462</v>
      </c>
      <c r="C18">
        <v>520</v>
      </c>
      <c r="D18">
        <v>8</v>
      </c>
      <c r="E18">
        <v>0</v>
      </c>
      <c r="F18" s="1">
        <v>990</v>
      </c>
    </row>
    <row r="19" spans="1:6" x14ac:dyDescent="0.2">
      <c r="A19" s="1">
        <v>2007</v>
      </c>
      <c r="B19">
        <v>568</v>
      </c>
      <c r="C19">
        <v>629</v>
      </c>
      <c r="D19">
        <v>12</v>
      </c>
      <c r="E19">
        <v>0</v>
      </c>
      <c r="F19" s="1">
        <v>1209</v>
      </c>
    </row>
    <row r="20" spans="1:6" x14ac:dyDescent="0.2">
      <c r="A20" s="1">
        <v>2008</v>
      </c>
      <c r="B20">
        <v>461</v>
      </c>
      <c r="C20">
        <v>667</v>
      </c>
      <c r="D20">
        <v>13</v>
      </c>
      <c r="E20">
        <v>0</v>
      </c>
      <c r="F20" s="1">
        <v>1141</v>
      </c>
    </row>
    <row r="21" spans="1:6" x14ac:dyDescent="0.2">
      <c r="A21" s="4">
        <v>2009</v>
      </c>
      <c r="B21">
        <v>540</v>
      </c>
      <c r="C21">
        <v>717</v>
      </c>
      <c r="D21">
        <v>20</v>
      </c>
      <c r="E21">
        <v>0</v>
      </c>
      <c r="F21" s="1">
        <v>1277</v>
      </c>
    </row>
    <row r="22" spans="1:6" x14ac:dyDescent="0.2">
      <c r="A22" s="1">
        <v>2010</v>
      </c>
      <c r="B22">
        <v>701</v>
      </c>
      <c r="C22">
        <v>846</v>
      </c>
      <c r="D22">
        <v>32</v>
      </c>
      <c r="E22">
        <v>0</v>
      </c>
      <c r="F22" s="1">
        <v>1579</v>
      </c>
    </row>
    <row r="23" spans="1:6" x14ac:dyDescent="0.2">
      <c r="A23" s="1">
        <v>2011</v>
      </c>
      <c r="B23">
        <v>729</v>
      </c>
      <c r="C23">
        <v>990</v>
      </c>
      <c r="D23">
        <v>36</v>
      </c>
      <c r="E23">
        <v>0</v>
      </c>
      <c r="F23" s="1">
        <v>1755</v>
      </c>
    </row>
    <row r="24" spans="1:6" x14ac:dyDescent="0.2">
      <c r="A24" s="1">
        <v>2012</v>
      </c>
      <c r="B24">
        <v>887</v>
      </c>
      <c r="C24">
        <v>1207</v>
      </c>
      <c r="D24">
        <v>19</v>
      </c>
      <c r="E24">
        <v>0</v>
      </c>
      <c r="F24" s="1">
        <v>2113</v>
      </c>
    </row>
    <row r="25" spans="1:6" x14ac:dyDescent="0.2">
      <c r="A25" s="1">
        <v>2013</v>
      </c>
      <c r="B25">
        <v>1009</v>
      </c>
      <c r="C25">
        <v>1371</v>
      </c>
      <c r="D25">
        <v>49</v>
      </c>
      <c r="E25">
        <v>0</v>
      </c>
      <c r="F25" s="1">
        <v>2429</v>
      </c>
    </row>
    <row r="26" spans="1:6" x14ac:dyDescent="0.2">
      <c r="A26" s="1">
        <v>2014</v>
      </c>
      <c r="B26">
        <v>1053</v>
      </c>
      <c r="C26">
        <v>1399</v>
      </c>
      <c r="D26">
        <v>63</v>
      </c>
      <c r="E26">
        <v>0</v>
      </c>
      <c r="F26" s="1">
        <v>2515</v>
      </c>
    </row>
    <row r="27" spans="1:6" x14ac:dyDescent="0.2">
      <c r="A27" s="1">
        <v>2015</v>
      </c>
      <c r="B27">
        <v>1175</v>
      </c>
      <c r="C27">
        <v>1624</v>
      </c>
      <c r="D27">
        <v>56</v>
      </c>
      <c r="E27">
        <v>0</v>
      </c>
      <c r="F27" s="1">
        <v>2855</v>
      </c>
    </row>
    <row r="28" spans="1:6" x14ac:dyDescent="0.2">
      <c r="A28" s="1">
        <v>2016</v>
      </c>
      <c r="B28">
        <v>1271</v>
      </c>
      <c r="C28">
        <v>1912</v>
      </c>
      <c r="D28">
        <v>61</v>
      </c>
      <c r="E28">
        <v>0</v>
      </c>
      <c r="F28" s="1">
        <v>3244</v>
      </c>
    </row>
    <row r="29" spans="1:6" x14ac:dyDescent="0.2">
      <c r="A29" s="1">
        <v>2017</v>
      </c>
      <c r="B29">
        <v>1231</v>
      </c>
      <c r="C29">
        <v>1951</v>
      </c>
      <c r="D29">
        <v>50</v>
      </c>
      <c r="E29">
        <v>0</v>
      </c>
      <c r="F29" s="1">
        <v>3232</v>
      </c>
    </row>
    <row r="30" spans="1:6" x14ac:dyDescent="0.2">
      <c r="A30" s="1">
        <v>2018</v>
      </c>
      <c r="B30">
        <v>1263</v>
      </c>
      <c r="C30">
        <v>1938</v>
      </c>
      <c r="D30">
        <v>65</v>
      </c>
      <c r="E30">
        <v>0</v>
      </c>
      <c r="F30" s="1">
        <v>3266</v>
      </c>
    </row>
    <row r="31" spans="1:6" x14ac:dyDescent="0.2">
      <c r="A31" s="4">
        <v>2019</v>
      </c>
      <c r="B31">
        <v>1441</v>
      </c>
      <c r="C31">
        <v>1956</v>
      </c>
      <c r="D31">
        <v>59</v>
      </c>
      <c r="E31">
        <v>0</v>
      </c>
      <c r="F31" s="1">
        <v>3456</v>
      </c>
    </row>
    <row r="32" spans="1:6" x14ac:dyDescent="0.2">
      <c r="A32" s="1">
        <v>2020</v>
      </c>
      <c r="B32">
        <v>1773</v>
      </c>
      <c r="C32">
        <v>2374</v>
      </c>
      <c r="D32">
        <v>98</v>
      </c>
      <c r="E32">
        <v>0</v>
      </c>
      <c r="F32" s="1">
        <v>4245</v>
      </c>
    </row>
    <row r="33" spans="1:6" x14ac:dyDescent="0.2">
      <c r="A33" s="1">
        <v>2021</v>
      </c>
      <c r="B33">
        <v>2293</v>
      </c>
      <c r="C33">
        <v>2906</v>
      </c>
      <c r="D33">
        <v>111</v>
      </c>
      <c r="E33">
        <v>0</v>
      </c>
      <c r="F33" s="1">
        <v>5310</v>
      </c>
    </row>
    <row r="34" spans="1:6" x14ac:dyDescent="0.2">
      <c r="A34" s="1">
        <v>2022</v>
      </c>
      <c r="B34">
        <v>2935</v>
      </c>
      <c r="C34">
        <v>3958</v>
      </c>
      <c r="D34">
        <v>157</v>
      </c>
      <c r="E34">
        <v>0</v>
      </c>
      <c r="F34" s="1">
        <v>7050</v>
      </c>
    </row>
    <row r="35" spans="1:6" x14ac:dyDescent="0.2">
      <c r="A35" s="1">
        <v>2023</v>
      </c>
      <c r="B35">
        <v>2913</v>
      </c>
      <c r="C35">
        <v>4054</v>
      </c>
      <c r="D35">
        <v>130</v>
      </c>
      <c r="E35">
        <v>0</v>
      </c>
      <c r="F35" s="1">
        <v>7097</v>
      </c>
    </row>
    <row r="36" spans="1:6" x14ac:dyDescent="0.2">
      <c r="A36" s="1">
        <v>2024</v>
      </c>
      <c r="B36">
        <v>2164</v>
      </c>
      <c r="C36">
        <v>2722</v>
      </c>
      <c r="D36">
        <v>119</v>
      </c>
      <c r="E36">
        <v>0</v>
      </c>
      <c r="F36" s="1">
        <v>5005</v>
      </c>
    </row>
    <row r="37" spans="1:6" x14ac:dyDescent="0.2">
      <c r="A37" s="1">
        <v>2025</v>
      </c>
      <c r="B37">
        <v>1019</v>
      </c>
      <c r="C37">
        <v>1171</v>
      </c>
      <c r="D37">
        <v>63</v>
      </c>
      <c r="E37">
        <v>0</v>
      </c>
      <c r="F37" s="1">
        <v>2253</v>
      </c>
    </row>
    <row r="38" spans="1:6" x14ac:dyDescent="0.2">
      <c r="A38" s="1" t="s">
        <v>21</v>
      </c>
      <c r="B38"/>
      <c r="C38"/>
      <c r="D38"/>
      <c r="E38"/>
    </row>
    <row r="39" spans="1:6" x14ac:dyDescent="0.2">
      <c r="B39"/>
      <c r="C39"/>
      <c r="D39"/>
      <c r="E39"/>
    </row>
    <row r="40" spans="1:6" x14ac:dyDescent="0.2">
      <c r="B40"/>
      <c r="C40"/>
      <c r="D40"/>
      <c r="E40"/>
    </row>
    <row r="41" spans="1:6" x14ac:dyDescent="0.2">
      <c r="A41" s="4"/>
      <c r="B41"/>
      <c r="C41"/>
      <c r="D41"/>
      <c r="E41"/>
    </row>
    <row r="42" spans="1:6" x14ac:dyDescent="0.2">
      <c r="B42"/>
      <c r="C42"/>
      <c r="D42"/>
      <c r="E42"/>
    </row>
    <row r="43" spans="1:6" x14ac:dyDescent="0.2">
      <c r="B43"/>
      <c r="C43"/>
      <c r="D43"/>
      <c r="E43"/>
    </row>
    <row r="44" spans="1:6" x14ac:dyDescent="0.2">
      <c r="B44"/>
      <c r="C44"/>
      <c r="D44"/>
      <c r="E44"/>
    </row>
    <row r="45" spans="1:6" x14ac:dyDescent="0.2">
      <c r="B45"/>
      <c r="C45"/>
      <c r="D45"/>
      <c r="E45"/>
    </row>
    <row r="46" spans="1:6" x14ac:dyDescent="0.2">
      <c r="B46"/>
      <c r="C46"/>
      <c r="D46"/>
      <c r="E46"/>
    </row>
    <row r="47" spans="1:6" x14ac:dyDescent="0.2">
      <c r="B47"/>
      <c r="C47"/>
      <c r="D47"/>
      <c r="E47"/>
    </row>
    <row r="48" spans="1:6" x14ac:dyDescent="0.2">
      <c r="B48"/>
      <c r="C48"/>
      <c r="D48"/>
      <c r="E48"/>
    </row>
    <row r="49" spans="1:5" x14ac:dyDescent="0.2">
      <c r="B49"/>
      <c r="C49"/>
      <c r="D49"/>
      <c r="E49"/>
    </row>
    <row r="50" spans="1:5" x14ac:dyDescent="0.2">
      <c r="B50"/>
      <c r="C50"/>
      <c r="D50"/>
      <c r="E50"/>
    </row>
    <row r="51" spans="1:5" x14ac:dyDescent="0.2">
      <c r="A51" s="4"/>
      <c r="B51"/>
      <c r="C51"/>
      <c r="D51"/>
      <c r="E51"/>
    </row>
    <row r="52" spans="1:5" x14ac:dyDescent="0.2">
      <c r="B52"/>
      <c r="C52"/>
      <c r="D52"/>
      <c r="E52"/>
    </row>
    <row r="53" spans="1:5" x14ac:dyDescent="0.2">
      <c r="B53"/>
      <c r="C53"/>
      <c r="D53"/>
      <c r="E53"/>
    </row>
    <row r="54" spans="1:5" x14ac:dyDescent="0.2">
      <c r="A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6D02-27EE-465C-A425-3E3226C39790}">
  <sheetPr codeName="Sheet2"/>
  <dimension ref="A1:H56"/>
  <sheetViews>
    <sheetView zoomScale="55" zoomScaleNormal="55" workbookViewId="0">
      <selection sqref="A1:F38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t="s">
        <v>16</v>
      </c>
      <c r="B1" t="s">
        <v>3</v>
      </c>
      <c r="C1" t="s">
        <v>4</v>
      </c>
      <c r="D1" t="s">
        <v>5</v>
      </c>
      <c r="E1" t="s">
        <v>17</v>
      </c>
      <c r="F1" s="1" t="s">
        <v>6</v>
      </c>
    </row>
    <row r="2" spans="1:8" x14ac:dyDescent="0.2">
      <c r="A2">
        <v>1990</v>
      </c>
      <c r="B2">
        <v>9973</v>
      </c>
      <c r="C2">
        <v>3452</v>
      </c>
      <c r="D2">
        <v>0</v>
      </c>
      <c r="E2">
        <v>0</v>
      </c>
      <c r="F2" s="1">
        <v>13425</v>
      </c>
    </row>
    <row r="3" spans="1:8" ht="18" x14ac:dyDescent="0.2">
      <c r="A3">
        <v>1991</v>
      </c>
      <c r="B3">
        <v>11432</v>
      </c>
      <c r="C3">
        <v>4109</v>
      </c>
      <c r="D3">
        <v>1</v>
      </c>
      <c r="E3">
        <v>0</v>
      </c>
      <c r="F3" s="1">
        <v>15542</v>
      </c>
      <c r="H3" s="3"/>
    </row>
    <row r="4" spans="1:8" x14ac:dyDescent="0.2">
      <c r="A4">
        <v>1992</v>
      </c>
      <c r="B4">
        <v>12709</v>
      </c>
      <c r="C4">
        <v>5292</v>
      </c>
      <c r="D4">
        <v>69</v>
      </c>
      <c r="E4">
        <v>0</v>
      </c>
      <c r="F4" s="1">
        <v>18070</v>
      </c>
    </row>
    <row r="5" spans="1:8" x14ac:dyDescent="0.2">
      <c r="A5">
        <v>1993</v>
      </c>
      <c r="B5">
        <v>13034</v>
      </c>
      <c r="C5">
        <v>6346</v>
      </c>
      <c r="D5">
        <v>333</v>
      </c>
      <c r="E5">
        <v>0</v>
      </c>
      <c r="F5" s="1">
        <v>19713</v>
      </c>
    </row>
    <row r="6" spans="1:8" x14ac:dyDescent="0.2">
      <c r="A6">
        <v>1994</v>
      </c>
      <c r="B6">
        <v>14511</v>
      </c>
      <c r="C6">
        <v>7813</v>
      </c>
      <c r="D6">
        <v>386</v>
      </c>
      <c r="E6">
        <v>0</v>
      </c>
      <c r="F6" s="1">
        <v>22710</v>
      </c>
    </row>
    <row r="7" spans="1:8" x14ac:dyDescent="0.2">
      <c r="A7">
        <v>1995</v>
      </c>
      <c r="B7">
        <v>15834</v>
      </c>
      <c r="C7">
        <v>9268</v>
      </c>
      <c r="D7">
        <v>419</v>
      </c>
      <c r="E7">
        <v>0</v>
      </c>
      <c r="F7" s="1">
        <v>25521</v>
      </c>
    </row>
    <row r="8" spans="1:8" x14ac:dyDescent="0.2">
      <c r="A8">
        <v>1996</v>
      </c>
      <c r="B8">
        <v>16184</v>
      </c>
      <c r="C8">
        <v>10109</v>
      </c>
      <c r="D8">
        <v>350</v>
      </c>
      <c r="E8">
        <v>0</v>
      </c>
      <c r="F8" s="1">
        <v>26643</v>
      </c>
    </row>
    <row r="9" spans="1:8" x14ac:dyDescent="0.2">
      <c r="A9">
        <v>1997</v>
      </c>
      <c r="B9">
        <v>16655</v>
      </c>
      <c r="C9">
        <v>11792</v>
      </c>
      <c r="D9">
        <v>474</v>
      </c>
      <c r="E9">
        <v>0</v>
      </c>
      <c r="F9" s="1">
        <v>28921</v>
      </c>
    </row>
    <row r="10" spans="1:8" x14ac:dyDescent="0.2">
      <c r="A10">
        <v>1998</v>
      </c>
      <c r="B10">
        <v>16752</v>
      </c>
      <c r="C10">
        <v>13568</v>
      </c>
      <c r="D10">
        <v>462</v>
      </c>
      <c r="E10">
        <v>0</v>
      </c>
      <c r="F10" s="1">
        <v>30782</v>
      </c>
    </row>
    <row r="11" spans="1:8" x14ac:dyDescent="0.2">
      <c r="A11">
        <v>1999</v>
      </c>
      <c r="B11">
        <v>17265</v>
      </c>
      <c r="C11">
        <v>14789</v>
      </c>
      <c r="D11">
        <v>450</v>
      </c>
      <c r="E11">
        <v>0</v>
      </c>
      <c r="F11" s="1">
        <v>32504</v>
      </c>
    </row>
    <row r="12" spans="1:8" x14ac:dyDescent="0.2">
      <c r="A12">
        <v>2000</v>
      </c>
      <c r="B12">
        <v>16621</v>
      </c>
      <c r="C12">
        <v>15739</v>
      </c>
      <c r="D12">
        <v>411</v>
      </c>
      <c r="E12">
        <v>0</v>
      </c>
      <c r="F12" s="1">
        <v>32771</v>
      </c>
    </row>
    <row r="13" spans="1:8" x14ac:dyDescent="0.2">
      <c r="A13">
        <v>2001</v>
      </c>
      <c r="B13">
        <v>18085</v>
      </c>
      <c r="C13">
        <v>17580</v>
      </c>
      <c r="D13">
        <v>443</v>
      </c>
      <c r="E13">
        <v>0</v>
      </c>
      <c r="F13" s="1">
        <v>36108</v>
      </c>
    </row>
    <row r="14" spans="1:8" x14ac:dyDescent="0.2">
      <c r="A14">
        <v>2002</v>
      </c>
      <c r="B14">
        <v>18353</v>
      </c>
      <c r="C14">
        <v>18867</v>
      </c>
      <c r="D14">
        <v>551</v>
      </c>
      <c r="E14">
        <v>0</v>
      </c>
      <c r="F14" s="1">
        <v>37771</v>
      </c>
    </row>
    <row r="15" spans="1:8" x14ac:dyDescent="0.2">
      <c r="A15">
        <v>2003</v>
      </c>
      <c r="B15">
        <v>19510</v>
      </c>
      <c r="C15">
        <v>20714</v>
      </c>
      <c r="D15">
        <v>519</v>
      </c>
      <c r="E15">
        <v>0</v>
      </c>
      <c r="F15" s="1">
        <v>40743</v>
      </c>
    </row>
    <row r="16" spans="1:8" x14ac:dyDescent="0.2">
      <c r="A16">
        <v>2004</v>
      </c>
      <c r="B16">
        <v>21277</v>
      </c>
      <c r="C16">
        <v>23392</v>
      </c>
      <c r="D16">
        <v>559</v>
      </c>
      <c r="E16">
        <v>0</v>
      </c>
      <c r="F16" s="1">
        <v>45228</v>
      </c>
    </row>
    <row r="17" spans="1:6" x14ac:dyDescent="0.2">
      <c r="A17">
        <v>2005</v>
      </c>
      <c r="B17">
        <v>23674</v>
      </c>
      <c r="C17">
        <v>27246</v>
      </c>
      <c r="D17">
        <v>644</v>
      </c>
      <c r="E17">
        <v>0</v>
      </c>
      <c r="F17" s="1">
        <v>51564</v>
      </c>
    </row>
    <row r="18" spans="1:6" x14ac:dyDescent="0.2">
      <c r="A18">
        <v>2006</v>
      </c>
      <c r="B18">
        <v>23986</v>
      </c>
      <c r="C18">
        <v>27820</v>
      </c>
      <c r="D18">
        <v>621</v>
      </c>
      <c r="E18">
        <v>0</v>
      </c>
      <c r="F18" s="1">
        <v>52427</v>
      </c>
    </row>
    <row r="19" spans="1:6" x14ac:dyDescent="0.2">
      <c r="A19">
        <v>2007</v>
      </c>
      <c r="B19">
        <v>25021</v>
      </c>
      <c r="C19">
        <v>29976</v>
      </c>
      <c r="D19">
        <v>674</v>
      </c>
      <c r="E19">
        <v>0</v>
      </c>
      <c r="F19" s="1">
        <v>55671</v>
      </c>
    </row>
    <row r="20" spans="1:6" x14ac:dyDescent="0.2">
      <c r="A20">
        <v>2008</v>
      </c>
      <c r="B20">
        <v>25461</v>
      </c>
      <c r="C20">
        <v>32246</v>
      </c>
      <c r="D20">
        <v>742</v>
      </c>
      <c r="E20">
        <v>0</v>
      </c>
      <c r="F20" s="1">
        <v>58449</v>
      </c>
    </row>
    <row r="21" spans="1:6" x14ac:dyDescent="0.2">
      <c r="A21">
        <v>2009</v>
      </c>
      <c r="B21">
        <v>25573</v>
      </c>
      <c r="C21">
        <v>34499</v>
      </c>
      <c r="D21">
        <v>748</v>
      </c>
      <c r="E21">
        <v>0</v>
      </c>
      <c r="F21" s="1">
        <v>60820</v>
      </c>
    </row>
    <row r="22" spans="1:6" x14ac:dyDescent="0.2">
      <c r="A22">
        <v>2010</v>
      </c>
      <c r="B22">
        <v>26646</v>
      </c>
      <c r="C22">
        <v>36423</v>
      </c>
      <c r="D22">
        <v>800</v>
      </c>
      <c r="E22">
        <v>0</v>
      </c>
      <c r="F22" s="1">
        <v>63869</v>
      </c>
    </row>
    <row r="23" spans="1:6" x14ac:dyDescent="0.2">
      <c r="A23">
        <v>2011</v>
      </c>
      <c r="B23">
        <v>29167</v>
      </c>
      <c r="C23">
        <v>40810</v>
      </c>
      <c r="D23">
        <v>982</v>
      </c>
      <c r="E23">
        <v>0</v>
      </c>
      <c r="F23" s="1">
        <v>70959</v>
      </c>
    </row>
    <row r="24" spans="1:6" x14ac:dyDescent="0.2">
      <c r="A24">
        <v>2012</v>
      </c>
      <c r="B24">
        <v>29931</v>
      </c>
      <c r="C24">
        <v>42376</v>
      </c>
      <c r="D24">
        <v>967</v>
      </c>
      <c r="E24">
        <v>0</v>
      </c>
      <c r="F24" s="1">
        <v>73274</v>
      </c>
    </row>
    <row r="25" spans="1:6" x14ac:dyDescent="0.2">
      <c r="A25">
        <v>2013</v>
      </c>
      <c r="B25">
        <v>31846</v>
      </c>
      <c r="C25">
        <v>43898</v>
      </c>
      <c r="D25">
        <v>1029</v>
      </c>
      <c r="E25">
        <v>0</v>
      </c>
      <c r="F25" s="1">
        <v>76773</v>
      </c>
    </row>
    <row r="26" spans="1:6" x14ac:dyDescent="0.2">
      <c r="A26">
        <v>2014</v>
      </c>
      <c r="B26">
        <v>30402</v>
      </c>
      <c r="C26">
        <v>43826</v>
      </c>
      <c r="D26">
        <v>967</v>
      </c>
      <c r="E26">
        <v>0</v>
      </c>
      <c r="F26" s="1">
        <v>75195</v>
      </c>
    </row>
    <row r="27" spans="1:6" x14ac:dyDescent="0.2">
      <c r="A27">
        <v>2015</v>
      </c>
      <c r="B27">
        <v>31632</v>
      </c>
      <c r="C27">
        <v>45199</v>
      </c>
      <c r="D27">
        <v>1055</v>
      </c>
      <c r="E27">
        <v>0</v>
      </c>
      <c r="F27" s="1">
        <v>77886</v>
      </c>
    </row>
    <row r="28" spans="1:6" x14ac:dyDescent="0.2">
      <c r="A28">
        <v>2016</v>
      </c>
      <c r="B28">
        <v>32048</v>
      </c>
      <c r="C28">
        <v>47275</v>
      </c>
      <c r="D28">
        <v>1163</v>
      </c>
      <c r="E28">
        <v>0</v>
      </c>
      <c r="F28" s="1">
        <v>80486</v>
      </c>
    </row>
    <row r="29" spans="1:6" x14ac:dyDescent="0.2">
      <c r="A29">
        <v>2017</v>
      </c>
      <c r="B29">
        <v>30767</v>
      </c>
      <c r="C29">
        <v>44971</v>
      </c>
      <c r="D29">
        <v>1258</v>
      </c>
      <c r="E29">
        <v>0</v>
      </c>
      <c r="F29" s="1">
        <v>76996</v>
      </c>
    </row>
    <row r="30" spans="1:6" x14ac:dyDescent="0.2">
      <c r="A30">
        <v>2018</v>
      </c>
      <c r="B30">
        <v>31706</v>
      </c>
      <c r="C30">
        <v>45304</v>
      </c>
      <c r="D30">
        <v>1193</v>
      </c>
      <c r="E30">
        <v>0</v>
      </c>
      <c r="F30" s="1">
        <v>78203</v>
      </c>
    </row>
    <row r="31" spans="1:6" x14ac:dyDescent="0.2">
      <c r="A31">
        <v>2019</v>
      </c>
      <c r="B31">
        <v>31998</v>
      </c>
      <c r="C31">
        <v>45450</v>
      </c>
      <c r="D31">
        <v>1294</v>
      </c>
      <c r="E31">
        <v>0</v>
      </c>
      <c r="F31" s="1">
        <v>78742</v>
      </c>
    </row>
    <row r="32" spans="1:6" x14ac:dyDescent="0.2">
      <c r="A32">
        <v>2020</v>
      </c>
      <c r="B32">
        <v>34881</v>
      </c>
      <c r="C32">
        <v>49762</v>
      </c>
      <c r="D32">
        <v>1416</v>
      </c>
      <c r="E32">
        <v>0</v>
      </c>
      <c r="F32" s="1">
        <v>86059</v>
      </c>
    </row>
    <row r="33" spans="1:6" x14ac:dyDescent="0.2">
      <c r="A33">
        <v>2021</v>
      </c>
      <c r="B33">
        <v>35170</v>
      </c>
      <c r="C33">
        <v>49195</v>
      </c>
      <c r="D33">
        <v>1430</v>
      </c>
      <c r="E33">
        <v>0</v>
      </c>
      <c r="F33" s="1">
        <v>85795</v>
      </c>
    </row>
    <row r="34" spans="1:6" x14ac:dyDescent="0.2">
      <c r="A34">
        <v>2022</v>
      </c>
      <c r="B34">
        <v>30902</v>
      </c>
      <c r="C34">
        <v>44372</v>
      </c>
      <c r="D34">
        <v>1311</v>
      </c>
      <c r="E34">
        <v>0</v>
      </c>
      <c r="F34" s="1">
        <v>76585</v>
      </c>
    </row>
    <row r="35" spans="1:6" x14ac:dyDescent="0.2">
      <c r="A35">
        <v>2023</v>
      </c>
      <c r="B35">
        <v>29275</v>
      </c>
      <c r="C35">
        <v>39909</v>
      </c>
      <c r="D35">
        <v>1240</v>
      </c>
      <c r="E35">
        <v>0</v>
      </c>
      <c r="F35" s="1">
        <v>70424</v>
      </c>
    </row>
    <row r="36" spans="1:6" x14ac:dyDescent="0.2">
      <c r="A36">
        <v>2024</v>
      </c>
      <c r="B36">
        <v>29527</v>
      </c>
      <c r="C36">
        <v>41130</v>
      </c>
      <c r="D36">
        <v>1488</v>
      </c>
      <c r="E36">
        <v>0</v>
      </c>
      <c r="F36" s="1">
        <v>72145</v>
      </c>
    </row>
    <row r="37" spans="1:6" x14ac:dyDescent="0.2">
      <c r="A37">
        <v>2025</v>
      </c>
      <c r="B37">
        <v>19253</v>
      </c>
      <c r="C37">
        <v>26376</v>
      </c>
      <c r="D37">
        <v>1011</v>
      </c>
      <c r="E37">
        <v>0</v>
      </c>
      <c r="F37" s="1">
        <v>46640</v>
      </c>
    </row>
    <row r="38" spans="1:6" x14ac:dyDescent="0.2">
      <c r="A38" s="1" t="s">
        <v>22</v>
      </c>
      <c r="B38"/>
      <c r="C38"/>
      <c r="D38"/>
      <c r="E38"/>
    </row>
    <row r="39" spans="1:6" x14ac:dyDescent="0.2">
      <c r="B39"/>
      <c r="C39"/>
      <c r="D39"/>
      <c r="E39"/>
    </row>
    <row r="40" spans="1:6" x14ac:dyDescent="0.2">
      <c r="B40"/>
      <c r="C40"/>
      <c r="D40"/>
      <c r="E40"/>
    </row>
    <row r="41" spans="1:6" x14ac:dyDescent="0.2">
      <c r="A41" s="4"/>
      <c r="B41"/>
      <c r="C41"/>
      <c r="D41"/>
      <c r="E41"/>
    </row>
    <row r="42" spans="1:6" x14ac:dyDescent="0.2">
      <c r="B42"/>
      <c r="C42"/>
      <c r="D42"/>
      <c r="E42"/>
    </row>
    <row r="43" spans="1:6" x14ac:dyDescent="0.2">
      <c r="B43"/>
      <c r="C43"/>
      <c r="D43"/>
      <c r="E43"/>
    </row>
    <row r="44" spans="1:6" x14ac:dyDescent="0.2">
      <c r="B44"/>
      <c r="C44"/>
      <c r="D44"/>
      <c r="E44"/>
    </row>
    <row r="45" spans="1:6" x14ac:dyDescent="0.2">
      <c r="B45"/>
      <c r="C45"/>
      <c r="D45"/>
      <c r="E45"/>
    </row>
    <row r="46" spans="1:6" x14ac:dyDescent="0.2">
      <c r="B46"/>
      <c r="C46"/>
      <c r="D46"/>
      <c r="E46"/>
    </row>
    <row r="47" spans="1:6" x14ac:dyDescent="0.2">
      <c r="B47"/>
      <c r="C47"/>
      <c r="D47"/>
      <c r="E47"/>
    </row>
    <row r="48" spans="1:6" x14ac:dyDescent="0.2">
      <c r="B48"/>
      <c r="C48"/>
      <c r="D48"/>
      <c r="E48"/>
    </row>
    <row r="49" spans="1:5" x14ac:dyDescent="0.2">
      <c r="B49"/>
      <c r="C49"/>
      <c r="D49"/>
      <c r="E49"/>
    </row>
    <row r="50" spans="1:5" x14ac:dyDescent="0.2">
      <c r="B50"/>
      <c r="C50"/>
      <c r="D50"/>
      <c r="E50"/>
    </row>
    <row r="51" spans="1:5" x14ac:dyDescent="0.2">
      <c r="A51" s="4"/>
      <c r="B51"/>
      <c r="C51"/>
      <c r="D51"/>
      <c r="E51"/>
    </row>
    <row r="52" spans="1:5" x14ac:dyDescent="0.2">
      <c r="B52"/>
      <c r="C52"/>
      <c r="D52"/>
      <c r="E52"/>
    </row>
    <row r="53" spans="1:5" x14ac:dyDescent="0.2">
      <c r="B53"/>
      <c r="C53"/>
      <c r="D53"/>
      <c r="E53"/>
    </row>
    <row r="54" spans="1:5" x14ac:dyDescent="0.2">
      <c r="A54"/>
      <c r="B54"/>
      <c r="C54"/>
      <c r="D54"/>
      <c r="E54"/>
    </row>
    <row r="55" spans="1:5" x14ac:dyDescent="0.2">
      <c r="B55"/>
      <c r="C55"/>
      <c r="D55"/>
      <c r="E55"/>
    </row>
    <row r="56" spans="1:5" x14ac:dyDescent="0.2">
      <c r="B56"/>
      <c r="C56"/>
      <c r="D56"/>
      <c r="E56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3D01-5264-4FAD-989A-768E970F48F2}">
  <sheetPr codeName="Sheet11"/>
  <dimension ref="A1:H54"/>
  <sheetViews>
    <sheetView topLeftCell="A13" zoomScale="85" zoomScaleNormal="85" workbookViewId="0">
      <selection activeCell="F55" sqref="F55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13</v>
      </c>
      <c r="B1" t="s">
        <v>3</v>
      </c>
      <c r="C1" t="s">
        <v>4</v>
      </c>
      <c r="D1" t="s">
        <v>5</v>
      </c>
      <c r="E1" t="s">
        <v>6</v>
      </c>
      <c r="F1" s="1" t="s">
        <v>1</v>
      </c>
    </row>
    <row r="2" spans="1:8" x14ac:dyDescent="0.2">
      <c r="A2" s="4">
        <v>1990</v>
      </c>
      <c r="B2">
        <v>0</v>
      </c>
      <c r="C2">
        <v>0</v>
      </c>
      <c r="D2">
        <v>0</v>
      </c>
      <c r="E2">
        <v>0</v>
      </c>
      <c r="F2" s="1">
        <v>0</v>
      </c>
    </row>
    <row r="3" spans="1:8" ht="18" x14ac:dyDescent="0.2">
      <c r="A3" s="1">
        <v>1991</v>
      </c>
      <c r="B3">
        <v>0</v>
      </c>
      <c r="C3">
        <v>0</v>
      </c>
      <c r="D3">
        <v>0</v>
      </c>
      <c r="E3">
        <v>0</v>
      </c>
      <c r="F3" s="1">
        <v>0</v>
      </c>
      <c r="H3" s="3"/>
    </row>
    <row r="4" spans="1:8" x14ac:dyDescent="0.2">
      <c r="A4" s="1">
        <v>1992</v>
      </c>
      <c r="B4">
        <v>0</v>
      </c>
      <c r="C4">
        <v>0</v>
      </c>
      <c r="D4">
        <v>0</v>
      </c>
      <c r="E4">
        <v>0</v>
      </c>
      <c r="F4" s="1">
        <v>0</v>
      </c>
    </row>
    <row r="5" spans="1:8" x14ac:dyDescent="0.2">
      <c r="A5" s="1">
        <v>1993</v>
      </c>
      <c r="B5">
        <v>0</v>
      </c>
      <c r="C5">
        <v>0</v>
      </c>
      <c r="D5">
        <v>0</v>
      </c>
      <c r="E5">
        <v>0</v>
      </c>
      <c r="F5" s="1">
        <v>0</v>
      </c>
    </row>
    <row r="6" spans="1:8" x14ac:dyDescent="0.2">
      <c r="A6" s="1">
        <v>1994</v>
      </c>
      <c r="B6">
        <v>0</v>
      </c>
      <c r="C6">
        <v>0</v>
      </c>
      <c r="D6">
        <v>0</v>
      </c>
      <c r="E6">
        <v>0</v>
      </c>
      <c r="F6" s="1">
        <v>0</v>
      </c>
    </row>
    <row r="7" spans="1:8" x14ac:dyDescent="0.2">
      <c r="A7" s="1">
        <v>1995</v>
      </c>
      <c r="B7">
        <v>0</v>
      </c>
      <c r="C7">
        <v>0</v>
      </c>
      <c r="D7">
        <v>0</v>
      </c>
      <c r="E7">
        <v>0</v>
      </c>
      <c r="F7" s="1">
        <v>0</v>
      </c>
    </row>
    <row r="8" spans="1:8" x14ac:dyDescent="0.2">
      <c r="A8" s="1">
        <v>1996</v>
      </c>
      <c r="B8">
        <v>0</v>
      </c>
      <c r="C8">
        <v>0</v>
      </c>
      <c r="D8">
        <v>0</v>
      </c>
      <c r="E8">
        <v>0</v>
      </c>
      <c r="F8" s="1">
        <v>0</v>
      </c>
    </row>
    <row r="9" spans="1:8" x14ac:dyDescent="0.2">
      <c r="A9" s="1">
        <v>1997</v>
      </c>
      <c r="B9">
        <v>0</v>
      </c>
      <c r="C9">
        <v>0</v>
      </c>
      <c r="D9">
        <v>0</v>
      </c>
      <c r="E9">
        <v>0</v>
      </c>
      <c r="F9" s="1">
        <v>0</v>
      </c>
    </row>
    <row r="10" spans="1:8" x14ac:dyDescent="0.2">
      <c r="A10" s="1">
        <v>1998</v>
      </c>
      <c r="B10">
        <v>0</v>
      </c>
      <c r="C10">
        <v>0</v>
      </c>
      <c r="D10">
        <v>0</v>
      </c>
      <c r="E10">
        <v>0</v>
      </c>
      <c r="F10" s="1">
        <v>0</v>
      </c>
    </row>
    <row r="11" spans="1:8" x14ac:dyDescent="0.2">
      <c r="A11" s="4">
        <v>1999</v>
      </c>
      <c r="B11">
        <v>0</v>
      </c>
      <c r="C11">
        <v>0</v>
      </c>
      <c r="D11">
        <v>0</v>
      </c>
      <c r="E11">
        <v>0</v>
      </c>
      <c r="F11" s="1">
        <v>0</v>
      </c>
    </row>
    <row r="12" spans="1:8" x14ac:dyDescent="0.2">
      <c r="A12" s="1">
        <v>2000</v>
      </c>
      <c r="B12">
        <v>0</v>
      </c>
      <c r="C12">
        <v>0</v>
      </c>
      <c r="D12">
        <v>0</v>
      </c>
      <c r="E12">
        <v>0</v>
      </c>
      <c r="F12" s="1">
        <v>0</v>
      </c>
    </row>
    <row r="13" spans="1:8" x14ac:dyDescent="0.2">
      <c r="A13" s="1">
        <v>2001</v>
      </c>
      <c r="B13">
        <v>0</v>
      </c>
      <c r="C13">
        <v>0</v>
      </c>
      <c r="D13">
        <v>0</v>
      </c>
      <c r="E13">
        <v>0</v>
      </c>
      <c r="F13" s="1">
        <v>0</v>
      </c>
    </row>
    <row r="14" spans="1:8" x14ac:dyDescent="0.2">
      <c r="A14" s="1">
        <v>2002</v>
      </c>
      <c r="B14">
        <v>3</v>
      </c>
      <c r="C14">
        <v>0</v>
      </c>
      <c r="D14">
        <v>0</v>
      </c>
      <c r="E14">
        <v>3</v>
      </c>
      <c r="F14" s="1">
        <v>0</v>
      </c>
    </row>
    <row r="15" spans="1:8" x14ac:dyDescent="0.2">
      <c r="A15" s="1">
        <v>2003</v>
      </c>
      <c r="B15">
        <v>0</v>
      </c>
      <c r="C15">
        <v>0</v>
      </c>
      <c r="D15">
        <v>0</v>
      </c>
      <c r="E15">
        <v>0</v>
      </c>
      <c r="F15" s="1">
        <v>0</v>
      </c>
    </row>
    <row r="16" spans="1:8" x14ac:dyDescent="0.2">
      <c r="A16" s="1">
        <v>2004</v>
      </c>
      <c r="B16">
        <v>0</v>
      </c>
      <c r="C16">
        <v>0</v>
      </c>
      <c r="D16">
        <v>0</v>
      </c>
      <c r="E16">
        <v>0</v>
      </c>
      <c r="F16" s="1">
        <v>0</v>
      </c>
    </row>
    <row r="17" spans="1:6" x14ac:dyDescent="0.2">
      <c r="A17" s="1">
        <v>2005</v>
      </c>
      <c r="B17">
        <v>0</v>
      </c>
      <c r="C17">
        <v>0</v>
      </c>
      <c r="D17">
        <v>0</v>
      </c>
      <c r="E17">
        <v>0</v>
      </c>
      <c r="F17" s="1">
        <v>0</v>
      </c>
    </row>
    <row r="18" spans="1:6" x14ac:dyDescent="0.2">
      <c r="A18" s="1">
        <v>2006</v>
      </c>
      <c r="B18">
        <v>0</v>
      </c>
      <c r="C18">
        <v>0</v>
      </c>
      <c r="D18">
        <v>0</v>
      </c>
      <c r="E18">
        <v>0</v>
      </c>
      <c r="F18" s="1">
        <v>0</v>
      </c>
    </row>
    <row r="19" spans="1:6" x14ac:dyDescent="0.2">
      <c r="A19" s="1">
        <v>2007</v>
      </c>
      <c r="B19">
        <v>0</v>
      </c>
      <c r="C19">
        <v>0</v>
      </c>
      <c r="D19">
        <v>0</v>
      </c>
      <c r="E19">
        <v>0</v>
      </c>
      <c r="F19" s="1">
        <v>0</v>
      </c>
    </row>
    <row r="20" spans="1:6" x14ac:dyDescent="0.2">
      <c r="A20" s="1">
        <v>2008</v>
      </c>
      <c r="B20">
        <v>0</v>
      </c>
      <c r="C20">
        <v>0</v>
      </c>
      <c r="D20">
        <v>0</v>
      </c>
      <c r="E20">
        <v>0</v>
      </c>
      <c r="F20" s="1">
        <v>0</v>
      </c>
    </row>
    <row r="21" spans="1:6" x14ac:dyDescent="0.2">
      <c r="A21" s="4">
        <v>2009</v>
      </c>
      <c r="B21">
        <v>0</v>
      </c>
      <c r="C21">
        <v>13</v>
      </c>
      <c r="D21">
        <v>0</v>
      </c>
      <c r="E21">
        <v>13</v>
      </c>
      <c r="F21" s="1">
        <v>0</v>
      </c>
    </row>
    <row r="22" spans="1:6" x14ac:dyDescent="0.2">
      <c r="A22" s="1">
        <v>2010</v>
      </c>
      <c r="B22">
        <v>33</v>
      </c>
      <c r="C22">
        <v>26</v>
      </c>
      <c r="D22">
        <v>2</v>
      </c>
      <c r="E22">
        <v>61</v>
      </c>
      <c r="F22" s="1">
        <v>0</v>
      </c>
    </row>
    <row r="23" spans="1:6" x14ac:dyDescent="0.2">
      <c r="A23" s="1">
        <v>2011</v>
      </c>
      <c r="B23">
        <v>68</v>
      </c>
      <c r="C23">
        <v>61</v>
      </c>
      <c r="D23">
        <v>1</v>
      </c>
      <c r="E23">
        <v>130</v>
      </c>
      <c r="F23" s="1">
        <v>0</v>
      </c>
    </row>
    <row r="24" spans="1:6" x14ac:dyDescent="0.2">
      <c r="A24" s="1">
        <v>2012</v>
      </c>
      <c r="B24">
        <v>432</v>
      </c>
      <c r="C24">
        <v>529</v>
      </c>
      <c r="D24">
        <v>27</v>
      </c>
      <c r="E24">
        <v>988</v>
      </c>
      <c r="F24" s="1">
        <v>0</v>
      </c>
    </row>
    <row r="25" spans="1:6" x14ac:dyDescent="0.2">
      <c r="A25" s="1">
        <v>2013</v>
      </c>
      <c r="B25">
        <v>3803</v>
      </c>
      <c r="C25">
        <v>4993</v>
      </c>
      <c r="D25">
        <v>119</v>
      </c>
      <c r="E25">
        <v>8915</v>
      </c>
      <c r="F25" s="1">
        <v>0</v>
      </c>
    </row>
    <row r="26" spans="1:6" x14ac:dyDescent="0.2">
      <c r="A26" s="1">
        <v>2014</v>
      </c>
      <c r="B26">
        <v>7709</v>
      </c>
      <c r="C26">
        <v>10463</v>
      </c>
      <c r="D26">
        <v>232</v>
      </c>
      <c r="E26">
        <v>18404</v>
      </c>
      <c r="F26" s="1">
        <v>0</v>
      </c>
    </row>
    <row r="27" spans="1:6" x14ac:dyDescent="0.2">
      <c r="A27" s="1">
        <v>2015</v>
      </c>
      <c r="B27">
        <v>9381</v>
      </c>
      <c r="C27">
        <v>13063</v>
      </c>
      <c r="D27">
        <v>292</v>
      </c>
      <c r="E27">
        <v>22736</v>
      </c>
      <c r="F27" s="1">
        <v>0</v>
      </c>
    </row>
    <row r="28" spans="1:6" x14ac:dyDescent="0.2">
      <c r="A28" s="1">
        <v>2016</v>
      </c>
      <c r="B28">
        <v>10558</v>
      </c>
      <c r="C28">
        <v>14754</v>
      </c>
      <c r="D28">
        <v>376</v>
      </c>
      <c r="E28">
        <v>25688</v>
      </c>
      <c r="F28" s="1">
        <v>0</v>
      </c>
    </row>
    <row r="29" spans="1:6" x14ac:dyDescent="0.2">
      <c r="A29" s="1">
        <v>2017</v>
      </c>
      <c r="B29">
        <v>11537</v>
      </c>
      <c r="C29">
        <v>16068</v>
      </c>
      <c r="D29">
        <v>378</v>
      </c>
      <c r="E29">
        <v>27983</v>
      </c>
      <c r="F29" s="1">
        <v>0</v>
      </c>
    </row>
    <row r="30" spans="1:6" x14ac:dyDescent="0.2">
      <c r="A30" s="1">
        <v>2018</v>
      </c>
      <c r="B30">
        <v>12312</v>
      </c>
      <c r="C30">
        <v>17872</v>
      </c>
      <c r="D30">
        <v>383</v>
      </c>
      <c r="E30">
        <v>30567</v>
      </c>
      <c r="F30" s="1">
        <v>0</v>
      </c>
    </row>
    <row r="31" spans="1:6" x14ac:dyDescent="0.2">
      <c r="A31" s="4">
        <v>2019</v>
      </c>
      <c r="B31">
        <v>13910</v>
      </c>
      <c r="C31">
        <v>19491</v>
      </c>
      <c r="D31">
        <v>502</v>
      </c>
      <c r="E31">
        <v>33903</v>
      </c>
      <c r="F31" s="1">
        <v>0</v>
      </c>
    </row>
    <row r="32" spans="1:6" x14ac:dyDescent="0.2">
      <c r="A32" s="1">
        <v>2020</v>
      </c>
      <c r="B32">
        <v>15287</v>
      </c>
      <c r="C32">
        <v>21617</v>
      </c>
      <c r="D32">
        <v>543</v>
      </c>
      <c r="E32">
        <v>37447</v>
      </c>
      <c r="F32" s="1">
        <v>0</v>
      </c>
    </row>
    <row r="33" spans="1:6" x14ac:dyDescent="0.2">
      <c r="A33" s="1">
        <v>2021</v>
      </c>
      <c r="B33">
        <v>15218</v>
      </c>
      <c r="C33">
        <v>22132</v>
      </c>
      <c r="D33">
        <v>567</v>
      </c>
      <c r="E33">
        <v>37917</v>
      </c>
      <c r="F33" s="1">
        <v>0</v>
      </c>
    </row>
    <row r="34" spans="1:6" x14ac:dyDescent="0.2">
      <c r="A34" s="1">
        <v>2022</v>
      </c>
      <c r="B34">
        <v>12124</v>
      </c>
      <c r="C34">
        <v>16636</v>
      </c>
      <c r="D34">
        <v>485</v>
      </c>
      <c r="E34">
        <v>29245</v>
      </c>
      <c r="F34" s="1">
        <v>0</v>
      </c>
    </row>
    <row r="35" spans="1:6" x14ac:dyDescent="0.2">
      <c r="A35" s="1">
        <v>2023</v>
      </c>
      <c r="B35">
        <v>11074</v>
      </c>
      <c r="C35">
        <v>15278</v>
      </c>
      <c r="D35">
        <v>443</v>
      </c>
      <c r="E35">
        <v>26795</v>
      </c>
      <c r="F35" s="1">
        <v>0</v>
      </c>
    </row>
    <row r="36" spans="1:6" x14ac:dyDescent="0.2">
      <c r="A36" s="1">
        <v>2024</v>
      </c>
      <c r="B36">
        <v>13117</v>
      </c>
      <c r="C36">
        <v>17754</v>
      </c>
      <c r="D36">
        <v>612</v>
      </c>
      <c r="E36">
        <v>31483</v>
      </c>
      <c r="F36" s="1">
        <v>0</v>
      </c>
    </row>
    <row r="37" spans="1:6" x14ac:dyDescent="0.2">
      <c r="A37" s="1">
        <v>2025</v>
      </c>
      <c r="B37">
        <v>10781</v>
      </c>
      <c r="C37">
        <v>14420</v>
      </c>
      <c r="D37">
        <v>482</v>
      </c>
      <c r="E37">
        <v>25683</v>
      </c>
      <c r="F37" s="1">
        <v>0</v>
      </c>
    </row>
    <row r="38" spans="1:6" x14ac:dyDescent="0.2">
      <c r="B38"/>
      <c r="C38"/>
      <c r="D38"/>
      <c r="E38"/>
    </row>
    <row r="39" spans="1:6" x14ac:dyDescent="0.2">
      <c r="B39"/>
      <c r="C39"/>
      <c r="D39"/>
      <c r="E39"/>
    </row>
    <row r="40" spans="1:6" x14ac:dyDescent="0.2">
      <c r="B40"/>
      <c r="C40"/>
      <c r="D40"/>
      <c r="E40"/>
    </row>
    <row r="41" spans="1:6" x14ac:dyDescent="0.2">
      <c r="A41" s="4"/>
      <c r="B41"/>
      <c r="C41"/>
      <c r="D41"/>
      <c r="E41"/>
    </row>
    <row r="42" spans="1:6" x14ac:dyDescent="0.2">
      <c r="B42"/>
      <c r="C42"/>
      <c r="D42"/>
      <c r="E42"/>
    </row>
    <row r="43" spans="1:6" x14ac:dyDescent="0.2">
      <c r="B43"/>
      <c r="C43"/>
      <c r="D43"/>
      <c r="E43"/>
    </row>
    <row r="44" spans="1:6" x14ac:dyDescent="0.2">
      <c r="B44"/>
      <c r="C44"/>
      <c r="D44"/>
      <c r="E44"/>
    </row>
    <row r="45" spans="1:6" x14ac:dyDescent="0.2">
      <c r="B45"/>
      <c r="C45"/>
      <c r="D45"/>
      <c r="E45"/>
    </row>
    <row r="46" spans="1:6" x14ac:dyDescent="0.2">
      <c r="B46"/>
      <c r="C46"/>
      <c r="D46"/>
      <c r="E46"/>
    </row>
    <row r="47" spans="1:6" x14ac:dyDescent="0.2">
      <c r="B47"/>
      <c r="C47"/>
      <c r="D47"/>
      <c r="E47"/>
    </row>
    <row r="48" spans="1:6" x14ac:dyDescent="0.2">
      <c r="B48"/>
      <c r="C48"/>
      <c r="D48"/>
      <c r="E48"/>
    </row>
    <row r="49" spans="1:5" x14ac:dyDescent="0.2">
      <c r="B49"/>
      <c r="C49"/>
      <c r="D49"/>
      <c r="E49"/>
    </row>
    <row r="50" spans="1:5" x14ac:dyDescent="0.2">
      <c r="B50"/>
      <c r="C50"/>
      <c r="D50"/>
      <c r="E50"/>
    </row>
    <row r="51" spans="1:5" x14ac:dyDescent="0.2">
      <c r="A51" s="4"/>
      <c r="B51"/>
      <c r="C51"/>
      <c r="D51"/>
      <c r="E51"/>
    </row>
    <row r="52" spans="1:5" x14ac:dyDescent="0.2">
      <c r="B52"/>
      <c r="C52"/>
      <c r="D52"/>
      <c r="E52"/>
    </row>
    <row r="53" spans="1:5" x14ac:dyDescent="0.2">
      <c r="A53" s="1" t="s">
        <v>0</v>
      </c>
      <c r="B53">
        <f>SUM(B2:B52)</f>
        <v>147347</v>
      </c>
      <c r="C53">
        <f t="shared" ref="C53:E53" si="0">SUM(C2:C52)</f>
        <v>205170</v>
      </c>
      <c r="D53">
        <f t="shared" si="0"/>
        <v>5444</v>
      </c>
      <c r="E53">
        <f t="shared" si="0"/>
        <v>357961</v>
      </c>
    </row>
    <row r="54" spans="1:5" x14ac:dyDescent="0.2">
      <c r="A54" t="s">
        <v>12</v>
      </c>
      <c r="B54"/>
      <c r="C54"/>
      <c r="D54"/>
      <c r="E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FFD7-9DD1-4F55-AD97-8E4DE05D32EF}">
  <sheetPr codeName="Sheet14"/>
  <dimension ref="A1:H54"/>
  <sheetViews>
    <sheetView topLeftCell="A4" zoomScale="85" zoomScaleNormal="85" workbookViewId="0">
      <selection activeCell="H46" sqref="H46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15</v>
      </c>
      <c r="B1" t="s">
        <v>3</v>
      </c>
      <c r="C1" t="s">
        <v>4</v>
      </c>
      <c r="D1" t="s">
        <v>5</v>
      </c>
      <c r="E1" t="s">
        <v>6</v>
      </c>
      <c r="F1" s="1" t="s">
        <v>1</v>
      </c>
    </row>
    <row r="2" spans="1:8" x14ac:dyDescent="0.2">
      <c r="A2" s="4">
        <v>1990</v>
      </c>
      <c r="B2">
        <v>0</v>
      </c>
      <c r="C2">
        <v>0</v>
      </c>
      <c r="D2">
        <v>0</v>
      </c>
      <c r="E2">
        <v>0</v>
      </c>
      <c r="F2" s="1">
        <v>0</v>
      </c>
    </row>
    <row r="3" spans="1:8" ht="18" x14ac:dyDescent="0.2">
      <c r="A3" s="1">
        <v>1991</v>
      </c>
      <c r="B3">
        <v>0</v>
      </c>
      <c r="C3">
        <v>0</v>
      </c>
      <c r="D3">
        <v>0</v>
      </c>
      <c r="E3">
        <v>0</v>
      </c>
      <c r="F3" s="1">
        <v>0</v>
      </c>
      <c r="H3" s="3"/>
    </row>
    <row r="4" spans="1:8" x14ac:dyDescent="0.2">
      <c r="A4" s="1">
        <v>1992</v>
      </c>
      <c r="B4">
        <v>0</v>
      </c>
      <c r="C4">
        <v>0</v>
      </c>
      <c r="D4">
        <v>0</v>
      </c>
      <c r="E4">
        <v>0</v>
      </c>
      <c r="F4" s="1">
        <v>0</v>
      </c>
    </row>
    <row r="5" spans="1:8" x14ac:dyDescent="0.2">
      <c r="A5" s="1">
        <v>1993</v>
      </c>
      <c r="B5">
        <v>0</v>
      </c>
      <c r="C5">
        <v>0</v>
      </c>
      <c r="D5">
        <v>0</v>
      </c>
      <c r="E5">
        <v>0</v>
      </c>
      <c r="F5" s="1">
        <v>0</v>
      </c>
    </row>
    <row r="6" spans="1:8" x14ac:dyDescent="0.2">
      <c r="A6" s="1">
        <v>1994</v>
      </c>
      <c r="B6">
        <v>0</v>
      </c>
      <c r="C6">
        <v>0</v>
      </c>
      <c r="D6">
        <v>0</v>
      </c>
      <c r="E6">
        <v>0</v>
      </c>
      <c r="F6" s="1">
        <v>0</v>
      </c>
    </row>
    <row r="7" spans="1:8" x14ac:dyDescent="0.2">
      <c r="A7" s="1">
        <v>1995</v>
      </c>
      <c r="B7">
        <v>4</v>
      </c>
      <c r="C7">
        <v>1</v>
      </c>
      <c r="D7">
        <v>0</v>
      </c>
      <c r="E7">
        <v>5</v>
      </c>
      <c r="F7" s="1">
        <v>0</v>
      </c>
    </row>
    <row r="8" spans="1:8" x14ac:dyDescent="0.2">
      <c r="A8" s="1">
        <v>1996</v>
      </c>
      <c r="B8">
        <v>6</v>
      </c>
      <c r="C8">
        <v>1</v>
      </c>
      <c r="D8">
        <v>2</v>
      </c>
      <c r="E8">
        <v>9</v>
      </c>
      <c r="F8" s="1">
        <v>0</v>
      </c>
    </row>
    <row r="9" spans="1:8" x14ac:dyDescent="0.2">
      <c r="A9" s="1">
        <v>1997</v>
      </c>
      <c r="B9">
        <v>17</v>
      </c>
      <c r="C9">
        <v>6</v>
      </c>
      <c r="D9">
        <v>1</v>
      </c>
      <c r="E9">
        <v>24</v>
      </c>
      <c r="F9" s="1">
        <v>0</v>
      </c>
    </row>
    <row r="10" spans="1:8" x14ac:dyDescent="0.2">
      <c r="A10" s="1">
        <v>1998</v>
      </c>
      <c r="B10">
        <v>8</v>
      </c>
      <c r="C10">
        <v>6</v>
      </c>
      <c r="D10">
        <v>0</v>
      </c>
      <c r="E10">
        <v>14</v>
      </c>
      <c r="F10" s="1">
        <v>0</v>
      </c>
    </row>
    <row r="11" spans="1:8" x14ac:dyDescent="0.2">
      <c r="A11" s="4">
        <v>1999</v>
      </c>
      <c r="B11">
        <v>20</v>
      </c>
      <c r="C11">
        <v>27</v>
      </c>
      <c r="D11">
        <v>0</v>
      </c>
      <c r="E11">
        <v>47</v>
      </c>
      <c r="F11" s="1">
        <v>0</v>
      </c>
    </row>
    <row r="12" spans="1:8" x14ac:dyDescent="0.2">
      <c r="A12" s="1">
        <v>2000</v>
      </c>
      <c r="B12">
        <v>69</v>
      </c>
      <c r="C12">
        <v>74</v>
      </c>
      <c r="D12">
        <v>6</v>
      </c>
      <c r="E12">
        <v>149</v>
      </c>
      <c r="F12" s="1">
        <v>0</v>
      </c>
    </row>
    <row r="13" spans="1:8" x14ac:dyDescent="0.2">
      <c r="A13" s="1">
        <v>2001</v>
      </c>
      <c r="B13">
        <v>65</v>
      </c>
      <c r="C13">
        <v>93</v>
      </c>
      <c r="D13">
        <v>1</v>
      </c>
      <c r="E13">
        <v>159</v>
      </c>
      <c r="F13" s="1">
        <v>0</v>
      </c>
    </row>
    <row r="14" spans="1:8" x14ac:dyDescent="0.2">
      <c r="A14" s="1">
        <v>2002</v>
      </c>
      <c r="B14">
        <v>102</v>
      </c>
      <c r="C14">
        <v>133</v>
      </c>
      <c r="D14">
        <v>5</v>
      </c>
      <c r="E14">
        <v>240</v>
      </c>
      <c r="F14" s="1">
        <v>0</v>
      </c>
    </row>
    <row r="15" spans="1:8" x14ac:dyDescent="0.2">
      <c r="A15" s="1">
        <v>2003</v>
      </c>
      <c r="B15">
        <v>120</v>
      </c>
      <c r="C15">
        <v>248</v>
      </c>
      <c r="D15">
        <v>2</v>
      </c>
      <c r="E15">
        <v>370</v>
      </c>
      <c r="F15" s="1">
        <v>0</v>
      </c>
    </row>
    <row r="16" spans="1:8" x14ac:dyDescent="0.2">
      <c r="A16" s="1">
        <v>2004</v>
      </c>
      <c r="B16">
        <v>151</v>
      </c>
      <c r="C16">
        <v>298</v>
      </c>
      <c r="D16">
        <v>16</v>
      </c>
      <c r="E16">
        <v>465</v>
      </c>
      <c r="F16" s="1">
        <v>0</v>
      </c>
    </row>
    <row r="17" spans="1:6" x14ac:dyDescent="0.2">
      <c r="A17" s="1">
        <v>2005</v>
      </c>
      <c r="B17">
        <v>198</v>
      </c>
      <c r="C17">
        <v>393</v>
      </c>
      <c r="D17">
        <v>7</v>
      </c>
      <c r="E17">
        <v>598</v>
      </c>
      <c r="F17" s="1">
        <v>0</v>
      </c>
    </row>
    <row r="18" spans="1:6" x14ac:dyDescent="0.2">
      <c r="A18" s="1">
        <v>2006</v>
      </c>
      <c r="B18">
        <v>229</v>
      </c>
      <c r="C18">
        <v>464</v>
      </c>
      <c r="D18">
        <v>8</v>
      </c>
      <c r="E18">
        <v>701</v>
      </c>
      <c r="F18" s="1">
        <v>0</v>
      </c>
    </row>
    <row r="19" spans="1:6" x14ac:dyDescent="0.2">
      <c r="A19" s="1">
        <v>2007</v>
      </c>
      <c r="B19">
        <v>376</v>
      </c>
      <c r="C19">
        <v>687</v>
      </c>
      <c r="D19">
        <v>17</v>
      </c>
      <c r="E19">
        <v>1080</v>
      </c>
      <c r="F19" s="1">
        <v>0</v>
      </c>
    </row>
    <row r="20" spans="1:6" x14ac:dyDescent="0.2">
      <c r="A20" s="1">
        <v>2008</v>
      </c>
      <c r="B20">
        <v>397</v>
      </c>
      <c r="C20">
        <v>857</v>
      </c>
      <c r="D20">
        <v>15</v>
      </c>
      <c r="E20">
        <v>1269</v>
      </c>
      <c r="F20" s="1">
        <v>0</v>
      </c>
    </row>
    <row r="21" spans="1:6" x14ac:dyDescent="0.2">
      <c r="A21" s="4">
        <v>2009</v>
      </c>
      <c r="B21">
        <v>537</v>
      </c>
      <c r="C21">
        <v>1020</v>
      </c>
      <c r="D21">
        <v>33</v>
      </c>
      <c r="E21">
        <v>1590</v>
      </c>
      <c r="F21" s="1">
        <v>0</v>
      </c>
    </row>
    <row r="22" spans="1:6" x14ac:dyDescent="0.2">
      <c r="A22" s="1">
        <v>2010</v>
      </c>
      <c r="B22">
        <v>742</v>
      </c>
      <c r="C22">
        <v>1416</v>
      </c>
      <c r="D22">
        <v>37</v>
      </c>
      <c r="E22">
        <v>2195</v>
      </c>
      <c r="F22" s="1">
        <v>0</v>
      </c>
    </row>
    <row r="23" spans="1:6" x14ac:dyDescent="0.2">
      <c r="A23" s="1">
        <v>2011</v>
      </c>
      <c r="B23">
        <v>888</v>
      </c>
      <c r="C23">
        <v>1764</v>
      </c>
      <c r="D23">
        <v>36</v>
      </c>
      <c r="E23">
        <v>2688</v>
      </c>
      <c r="F23" s="1">
        <v>0</v>
      </c>
    </row>
    <row r="24" spans="1:6" x14ac:dyDescent="0.2">
      <c r="A24" s="1">
        <v>2012</v>
      </c>
      <c r="B24">
        <v>1270</v>
      </c>
      <c r="C24">
        <v>2559</v>
      </c>
      <c r="D24">
        <v>40</v>
      </c>
      <c r="E24">
        <v>3869</v>
      </c>
      <c r="F24" s="1">
        <v>0</v>
      </c>
    </row>
    <row r="25" spans="1:6" x14ac:dyDescent="0.2">
      <c r="A25" s="1">
        <v>2013</v>
      </c>
      <c r="B25">
        <v>1850</v>
      </c>
      <c r="C25">
        <v>3425</v>
      </c>
      <c r="D25">
        <v>86</v>
      </c>
      <c r="E25">
        <v>5361</v>
      </c>
      <c r="F25" s="1">
        <v>0</v>
      </c>
    </row>
    <row r="26" spans="1:6" x14ac:dyDescent="0.2">
      <c r="A26" s="1">
        <v>2014</v>
      </c>
      <c r="B26">
        <v>2392</v>
      </c>
      <c r="C26">
        <v>4256</v>
      </c>
      <c r="D26">
        <v>126</v>
      </c>
      <c r="E26">
        <v>6774</v>
      </c>
      <c r="F26" s="1">
        <v>0</v>
      </c>
    </row>
    <row r="27" spans="1:6" x14ac:dyDescent="0.2">
      <c r="A27" s="1">
        <v>2015</v>
      </c>
      <c r="B27">
        <v>3032</v>
      </c>
      <c r="C27">
        <v>5534</v>
      </c>
      <c r="D27">
        <v>141</v>
      </c>
      <c r="E27">
        <v>8707</v>
      </c>
      <c r="F27" s="1">
        <v>0</v>
      </c>
    </row>
    <row r="28" spans="1:6" x14ac:dyDescent="0.2">
      <c r="A28" s="1">
        <v>2016</v>
      </c>
      <c r="B28">
        <v>3367</v>
      </c>
      <c r="C28">
        <v>6297</v>
      </c>
      <c r="D28">
        <v>136</v>
      </c>
      <c r="E28">
        <v>9800</v>
      </c>
      <c r="F28" s="1">
        <v>0</v>
      </c>
    </row>
    <row r="29" spans="1:6" x14ac:dyDescent="0.2">
      <c r="A29" s="1">
        <v>2017</v>
      </c>
      <c r="B29">
        <v>4157</v>
      </c>
      <c r="C29">
        <v>7652</v>
      </c>
      <c r="D29">
        <v>188</v>
      </c>
      <c r="E29">
        <v>11997</v>
      </c>
      <c r="F29" s="1">
        <v>0</v>
      </c>
    </row>
    <row r="30" spans="1:6" x14ac:dyDescent="0.2">
      <c r="A30" s="1">
        <v>2018</v>
      </c>
      <c r="B30">
        <v>4941</v>
      </c>
      <c r="C30">
        <v>8915</v>
      </c>
      <c r="D30">
        <v>220</v>
      </c>
      <c r="E30">
        <v>14076</v>
      </c>
      <c r="F30" s="1">
        <v>0</v>
      </c>
    </row>
    <row r="31" spans="1:6" x14ac:dyDescent="0.2">
      <c r="A31" s="4">
        <v>2019</v>
      </c>
      <c r="B31">
        <v>6311</v>
      </c>
      <c r="C31">
        <v>11344</v>
      </c>
      <c r="D31">
        <v>263</v>
      </c>
      <c r="E31">
        <v>17918</v>
      </c>
      <c r="F31" s="1">
        <v>0</v>
      </c>
    </row>
    <row r="32" spans="1:6" x14ac:dyDescent="0.2">
      <c r="A32" s="1">
        <v>2020</v>
      </c>
      <c r="B32">
        <v>8113</v>
      </c>
      <c r="C32">
        <v>14100</v>
      </c>
      <c r="D32">
        <v>338</v>
      </c>
      <c r="E32">
        <v>22551</v>
      </c>
      <c r="F32" s="1">
        <v>0</v>
      </c>
    </row>
    <row r="33" spans="1:6" x14ac:dyDescent="0.2">
      <c r="A33" s="1">
        <v>2021</v>
      </c>
      <c r="B33">
        <v>9919</v>
      </c>
      <c r="C33">
        <v>16139</v>
      </c>
      <c r="D33">
        <v>406</v>
      </c>
      <c r="E33">
        <v>26464</v>
      </c>
      <c r="F33" s="1">
        <v>0</v>
      </c>
    </row>
    <row r="34" spans="1:6" x14ac:dyDescent="0.2">
      <c r="A34" s="1">
        <v>2022</v>
      </c>
      <c r="B34">
        <v>10326</v>
      </c>
      <c r="C34">
        <v>16328</v>
      </c>
      <c r="D34">
        <v>463</v>
      </c>
      <c r="E34">
        <v>27117</v>
      </c>
      <c r="F34" s="1">
        <v>0</v>
      </c>
    </row>
    <row r="35" spans="1:6" x14ac:dyDescent="0.2">
      <c r="A35" s="1">
        <v>2023</v>
      </c>
      <c r="B35">
        <v>10339</v>
      </c>
      <c r="C35">
        <v>16420</v>
      </c>
      <c r="D35">
        <v>449</v>
      </c>
      <c r="E35">
        <v>27208</v>
      </c>
      <c r="F35" s="1">
        <v>0</v>
      </c>
    </row>
    <row r="36" spans="1:6" x14ac:dyDescent="0.2">
      <c r="A36" s="1">
        <v>2024</v>
      </c>
      <c r="B36">
        <v>12252</v>
      </c>
      <c r="C36">
        <v>18354</v>
      </c>
      <c r="D36">
        <v>539</v>
      </c>
      <c r="E36">
        <v>31145</v>
      </c>
      <c r="F36" s="1">
        <v>0</v>
      </c>
    </row>
    <row r="37" spans="1:6" x14ac:dyDescent="0.2">
      <c r="A37" s="1">
        <v>2025</v>
      </c>
      <c r="B37">
        <v>9221</v>
      </c>
      <c r="C37">
        <v>13608</v>
      </c>
      <c r="D37">
        <v>413</v>
      </c>
      <c r="E37">
        <v>23242</v>
      </c>
      <c r="F37" s="1">
        <v>0</v>
      </c>
    </row>
    <row r="38" spans="1:6" x14ac:dyDescent="0.2">
      <c r="B38"/>
      <c r="C38"/>
      <c r="D38"/>
      <c r="E38"/>
    </row>
    <row r="39" spans="1:6" x14ac:dyDescent="0.2">
      <c r="B39"/>
      <c r="C39"/>
      <c r="D39"/>
      <c r="E39"/>
    </row>
    <row r="40" spans="1:6" x14ac:dyDescent="0.2">
      <c r="B40"/>
      <c r="C40"/>
      <c r="D40"/>
      <c r="E40"/>
    </row>
    <row r="41" spans="1:6" x14ac:dyDescent="0.2">
      <c r="A41" s="4"/>
      <c r="B41"/>
      <c r="C41"/>
      <c r="D41"/>
      <c r="E41"/>
    </row>
    <row r="42" spans="1:6" x14ac:dyDescent="0.2">
      <c r="B42"/>
      <c r="C42"/>
      <c r="D42"/>
      <c r="E42"/>
    </row>
    <row r="43" spans="1:6" x14ac:dyDescent="0.2">
      <c r="B43"/>
      <c r="C43"/>
      <c r="D43"/>
      <c r="E43"/>
    </row>
    <row r="44" spans="1:6" x14ac:dyDescent="0.2">
      <c r="B44"/>
      <c r="C44"/>
      <c r="D44"/>
      <c r="E44"/>
    </row>
    <row r="45" spans="1:6" x14ac:dyDescent="0.2">
      <c r="B45"/>
      <c r="C45"/>
      <c r="D45"/>
      <c r="E45"/>
    </row>
    <row r="46" spans="1:6" x14ac:dyDescent="0.2">
      <c r="B46"/>
      <c r="C46"/>
      <c r="D46"/>
      <c r="E46"/>
    </row>
    <row r="47" spans="1:6" x14ac:dyDescent="0.2">
      <c r="B47"/>
      <c r="C47"/>
      <c r="D47"/>
      <c r="E47"/>
    </row>
    <row r="48" spans="1:6" x14ac:dyDescent="0.2">
      <c r="B48"/>
      <c r="C48"/>
      <c r="D48"/>
      <c r="E48"/>
    </row>
    <row r="49" spans="1:5" x14ac:dyDescent="0.2">
      <c r="B49"/>
      <c r="C49"/>
      <c r="D49"/>
      <c r="E49"/>
    </row>
    <row r="50" spans="1:5" x14ac:dyDescent="0.2">
      <c r="B50"/>
      <c r="C50"/>
      <c r="D50"/>
      <c r="E50"/>
    </row>
    <row r="51" spans="1:5" x14ac:dyDescent="0.2">
      <c r="A51" s="4"/>
      <c r="B51"/>
      <c r="C51"/>
      <c r="D51"/>
      <c r="E51"/>
    </row>
    <row r="52" spans="1:5" x14ac:dyDescent="0.2">
      <c r="B52"/>
      <c r="C52"/>
      <c r="D52"/>
      <c r="E52"/>
    </row>
    <row r="53" spans="1:5" x14ac:dyDescent="0.2">
      <c r="A53" s="1" t="s">
        <v>0</v>
      </c>
      <c r="B53">
        <f>SUM(B2:B52)</f>
        <v>91419</v>
      </c>
      <c r="C53">
        <f t="shared" ref="C53:E53" si="0">SUM(C2:C52)</f>
        <v>152419</v>
      </c>
      <c r="D53">
        <f t="shared" si="0"/>
        <v>3994</v>
      </c>
      <c r="E53">
        <f t="shared" si="0"/>
        <v>247832</v>
      </c>
    </row>
    <row r="54" spans="1:5" x14ac:dyDescent="0.2">
      <c r="A54" t="s">
        <v>14</v>
      </c>
      <c r="B54"/>
      <c r="C54"/>
      <c r="D54"/>
      <c r="E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1DF9-D309-9946-90F7-4DBC07E90423}">
  <sheetPr codeName="Sheet1"/>
  <dimension ref="A1:H54"/>
  <sheetViews>
    <sheetView tabSelected="1" zoomScale="70" zoomScaleNormal="70" workbookViewId="0">
      <selection activeCell="V36" sqref="V36"/>
    </sheetView>
  </sheetViews>
  <sheetFormatPr baseColWidth="10" defaultColWidth="11.5" defaultRowHeight="16" x14ac:dyDescent="0.2"/>
  <cols>
    <col min="1" max="16384" width="11.5" style="1"/>
  </cols>
  <sheetData>
    <row r="1" spans="1:8" x14ac:dyDescent="0.2">
      <c r="A1" s="1" t="s">
        <v>11</v>
      </c>
      <c r="B1" s="1" t="s">
        <v>3</v>
      </c>
      <c r="C1" s="1" t="s">
        <v>4</v>
      </c>
      <c r="D1" s="2" t="s">
        <v>5</v>
      </c>
      <c r="E1" s="1" t="s">
        <v>17</v>
      </c>
      <c r="F1" s="1" t="s">
        <v>6</v>
      </c>
    </row>
    <row r="2" spans="1:8" x14ac:dyDescent="0.2">
      <c r="A2" s="4">
        <v>1990</v>
      </c>
      <c r="B2">
        <v>41280</v>
      </c>
      <c r="C2">
        <v>8348</v>
      </c>
      <c r="D2">
        <v>6</v>
      </c>
      <c r="E2">
        <v>0</v>
      </c>
      <c r="F2" s="1">
        <v>49634</v>
      </c>
      <c r="H2" s="1">
        <f>C2/F2</f>
        <v>0.16819115928597334</v>
      </c>
    </row>
    <row r="3" spans="1:8" x14ac:dyDescent="0.2">
      <c r="A3" s="1">
        <v>1991</v>
      </c>
      <c r="B3">
        <v>45226</v>
      </c>
      <c r="C3">
        <v>9922</v>
      </c>
      <c r="D3">
        <v>21</v>
      </c>
      <c r="E3">
        <v>0</v>
      </c>
      <c r="F3" s="1">
        <v>55169</v>
      </c>
      <c r="H3" s="1">
        <f>C3/F3</f>
        <v>0.17984737805651724</v>
      </c>
    </row>
    <row r="4" spans="1:8" x14ac:dyDescent="0.2">
      <c r="A4" s="1">
        <v>1992</v>
      </c>
      <c r="B4">
        <v>47760</v>
      </c>
      <c r="C4">
        <v>12639</v>
      </c>
      <c r="D4">
        <v>608</v>
      </c>
      <c r="E4">
        <v>0</v>
      </c>
      <c r="F4" s="1">
        <v>61007</v>
      </c>
      <c r="H4" s="1">
        <f t="shared" ref="H4:H37" si="0">C4/F4</f>
        <v>0.20717294736669561</v>
      </c>
    </row>
    <row r="5" spans="1:8" x14ac:dyDescent="0.2">
      <c r="A5" s="1">
        <v>1993</v>
      </c>
      <c r="B5">
        <v>50955</v>
      </c>
      <c r="C5">
        <v>15673</v>
      </c>
      <c r="D5">
        <v>1814</v>
      </c>
      <c r="E5">
        <v>0</v>
      </c>
      <c r="F5" s="1">
        <v>68442</v>
      </c>
      <c r="H5" s="1">
        <f t="shared" si="0"/>
        <v>0.22899681482130854</v>
      </c>
    </row>
    <row r="6" spans="1:8" x14ac:dyDescent="0.2">
      <c r="A6" s="1">
        <v>1994</v>
      </c>
      <c r="B6">
        <v>53768</v>
      </c>
      <c r="C6">
        <v>18934</v>
      </c>
      <c r="D6">
        <v>1915</v>
      </c>
      <c r="E6">
        <v>1</v>
      </c>
      <c r="F6" s="1">
        <v>74618</v>
      </c>
      <c r="H6" s="1">
        <f t="shared" si="0"/>
        <v>0.25374574499450536</v>
      </c>
    </row>
    <row r="7" spans="1:8" x14ac:dyDescent="0.2">
      <c r="A7" s="1">
        <v>1995</v>
      </c>
      <c r="B7">
        <v>58012</v>
      </c>
      <c r="C7">
        <v>23163</v>
      </c>
      <c r="D7">
        <v>2135</v>
      </c>
      <c r="E7">
        <v>0</v>
      </c>
      <c r="F7" s="1">
        <v>83310</v>
      </c>
      <c r="H7" s="1">
        <f t="shared" si="0"/>
        <v>0.27803384947785381</v>
      </c>
    </row>
    <row r="8" spans="1:8" x14ac:dyDescent="0.2">
      <c r="A8" s="1">
        <v>1996</v>
      </c>
      <c r="B8">
        <v>62510</v>
      </c>
      <c r="C8">
        <v>26216</v>
      </c>
      <c r="D8">
        <v>2196</v>
      </c>
      <c r="E8">
        <v>0</v>
      </c>
      <c r="F8" s="1">
        <v>90922</v>
      </c>
      <c r="H8" s="1">
        <f t="shared" si="0"/>
        <v>0.28833505642198809</v>
      </c>
    </row>
    <row r="9" spans="1:8" x14ac:dyDescent="0.2">
      <c r="A9" s="1">
        <v>1997</v>
      </c>
      <c r="B9">
        <v>63809</v>
      </c>
      <c r="C9">
        <v>30789</v>
      </c>
      <c r="D9">
        <v>2491</v>
      </c>
      <c r="E9">
        <v>0</v>
      </c>
      <c r="F9" s="1">
        <v>97089</v>
      </c>
      <c r="H9" s="1">
        <f t="shared" si="0"/>
        <v>0.31712140407255202</v>
      </c>
    </row>
    <row r="10" spans="1:8" x14ac:dyDescent="0.2">
      <c r="A10" s="1">
        <v>1998</v>
      </c>
      <c r="B10">
        <v>65269</v>
      </c>
      <c r="C10">
        <v>35331</v>
      </c>
      <c r="D10">
        <v>2607</v>
      </c>
      <c r="E10">
        <v>0</v>
      </c>
      <c r="F10" s="1">
        <v>103207</v>
      </c>
      <c r="H10" s="1">
        <f t="shared" si="0"/>
        <v>0.34233143100758667</v>
      </c>
    </row>
    <row r="11" spans="1:8" x14ac:dyDescent="0.2">
      <c r="A11" s="4">
        <v>1999</v>
      </c>
      <c r="B11">
        <v>67883</v>
      </c>
      <c r="C11">
        <v>39609</v>
      </c>
      <c r="D11">
        <v>2763</v>
      </c>
      <c r="E11">
        <v>0</v>
      </c>
      <c r="F11" s="1">
        <v>110255</v>
      </c>
      <c r="H11" s="1">
        <f t="shared" si="0"/>
        <v>0.35924901365017459</v>
      </c>
    </row>
    <row r="12" spans="1:8" x14ac:dyDescent="0.2">
      <c r="A12" s="1">
        <v>2000</v>
      </c>
      <c r="B12">
        <v>68407</v>
      </c>
      <c r="C12">
        <v>42751</v>
      </c>
      <c r="D12">
        <v>2894</v>
      </c>
      <c r="E12">
        <v>0</v>
      </c>
      <c r="F12" s="1">
        <v>114052</v>
      </c>
      <c r="H12" s="1">
        <f t="shared" si="0"/>
        <v>0.37483779328727246</v>
      </c>
    </row>
    <row r="13" spans="1:8" x14ac:dyDescent="0.2">
      <c r="A13" s="1">
        <v>2001</v>
      </c>
      <c r="B13">
        <v>74450</v>
      </c>
      <c r="C13">
        <v>48413</v>
      </c>
      <c r="D13">
        <v>3345</v>
      </c>
      <c r="E13">
        <v>0</v>
      </c>
      <c r="F13" s="1">
        <v>126208</v>
      </c>
      <c r="H13" s="1">
        <f t="shared" si="0"/>
        <v>0.38359691937119678</v>
      </c>
    </row>
    <row r="14" spans="1:8" x14ac:dyDescent="0.2">
      <c r="A14" s="1">
        <v>2002</v>
      </c>
      <c r="B14">
        <v>78435</v>
      </c>
      <c r="C14">
        <v>53656</v>
      </c>
      <c r="D14">
        <v>3868</v>
      </c>
      <c r="E14">
        <v>3</v>
      </c>
      <c r="F14" s="1">
        <v>135962</v>
      </c>
      <c r="H14" s="1">
        <f t="shared" si="0"/>
        <v>0.39463967873376382</v>
      </c>
    </row>
    <row r="15" spans="1:8" x14ac:dyDescent="0.2">
      <c r="A15" s="1">
        <v>2003</v>
      </c>
      <c r="B15">
        <v>87641</v>
      </c>
      <c r="C15">
        <v>61009</v>
      </c>
      <c r="D15">
        <v>4566</v>
      </c>
      <c r="E15">
        <v>0</v>
      </c>
      <c r="F15" s="1">
        <v>153216</v>
      </c>
      <c r="H15" s="1">
        <f t="shared" si="0"/>
        <v>0.39818948412698413</v>
      </c>
    </row>
    <row r="16" spans="1:8" x14ac:dyDescent="0.2">
      <c r="A16" s="1">
        <v>2004</v>
      </c>
      <c r="B16">
        <v>94766</v>
      </c>
      <c r="C16">
        <v>71220</v>
      </c>
      <c r="D16">
        <v>5149</v>
      </c>
      <c r="E16">
        <v>0</v>
      </c>
      <c r="F16" s="1">
        <v>171135</v>
      </c>
      <c r="H16" s="1">
        <f t="shared" si="0"/>
        <v>0.41616267858708039</v>
      </c>
    </row>
    <row r="17" spans="1:8" x14ac:dyDescent="0.2">
      <c r="A17" s="1">
        <v>2005</v>
      </c>
      <c r="B17">
        <v>108281</v>
      </c>
      <c r="C17">
        <v>84623</v>
      </c>
      <c r="D17">
        <v>6082</v>
      </c>
      <c r="E17">
        <v>0</v>
      </c>
      <c r="F17" s="1">
        <v>198986</v>
      </c>
      <c r="H17" s="1">
        <f t="shared" si="0"/>
        <v>0.42527112460173078</v>
      </c>
    </row>
    <row r="18" spans="1:8" x14ac:dyDescent="0.2">
      <c r="A18" s="1">
        <v>2006</v>
      </c>
      <c r="B18">
        <v>114696</v>
      </c>
      <c r="C18">
        <v>93161</v>
      </c>
      <c r="D18">
        <v>6527</v>
      </c>
      <c r="E18">
        <v>0</v>
      </c>
      <c r="F18" s="1">
        <v>214384</v>
      </c>
      <c r="H18" s="1">
        <f t="shared" si="0"/>
        <v>0.43455201880737371</v>
      </c>
    </row>
    <row r="19" spans="1:8" x14ac:dyDescent="0.2">
      <c r="A19" s="1">
        <v>2007</v>
      </c>
      <c r="B19">
        <v>123419</v>
      </c>
      <c r="C19">
        <v>106766</v>
      </c>
      <c r="D19">
        <v>7245</v>
      </c>
      <c r="E19">
        <v>0</v>
      </c>
      <c r="F19" s="1">
        <v>237430</v>
      </c>
      <c r="H19" s="1">
        <f t="shared" si="0"/>
        <v>0.44967358800488566</v>
      </c>
    </row>
    <row r="20" spans="1:8" x14ac:dyDescent="0.2">
      <c r="A20" s="1">
        <v>2008</v>
      </c>
      <c r="B20">
        <v>132304</v>
      </c>
      <c r="C20">
        <v>120169</v>
      </c>
      <c r="D20">
        <v>8071</v>
      </c>
      <c r="E20">
        <v>0</v>
      </c>
      <c r="F20" s="1">
        <v>260544</v>
      </c>
      <c r="H20" s="1">
        <f t="shared" si="0"/>
        <v>0.46122344018668632</v>
      </c>
    </row>
    <row r="21" spans="1:8" x14ac:dyDescent="0.2">
      <c r="A21" s="4">
        <v>2009</v>
      </c>
      <c r="B21">
        <v>139437</v>
      </c>
      <c r="C21">
        <v>132419</v>
      </c>
      <c r="D21">
        <v>8702</v>
      </c>
      <c r="E21">
        <v>1</v>
      </c>
      <c r="F21" s="1">
        <v>280559</v>
      </c>
      <c r="H21" s="1">
        <f t="shared" si="0"/>
        <v>0.47198272021214788</v>
      </c>
    </row>
    <row r="22" spans="1:8" x14ac:dyDescent="0.2">
      <c r="A22" s="1">
        <v>2010</v>
      </c>
      <c r="B22">
        <v>151124</v>
      </c>
      <c r="C22">
        <v>147370</v>
      </c>
      <c r="D22">
        <v>9496</v>
      </c>
      <c r="E22">
        <v>0</v>
      </c>
      <c r="F22" s="1">
        <v>307990</v>
      </c>
      <c r="H22" s="1">
        <f t="shared" si="0"/>
        <v>0.47848956134939447</v>
      </c>
    </row>
    <row r="23" spans="1:8" x14ac:dyDescent="0.2">
      <c r="A23" s="1">
        <v>2011</v>
      </c>
      <c r="B23">
        <v>166791</v>
      </c>
      <c r="C23">
        <v>169401</v>
      </c>
      <c r="D23">
        <v>10487</v>
      </c>
      <c r="E23">
        <v>0</v>
      </c>
      <c r="F23" s="1">
        <v>346679</v>
      </c>
      <c r="H23" s="1">
        <f t="shared" si="0"/>
        <v>0.48863934648478852</v>
      </c>
    </row>
    <row r="24" spans="1:8" x14ac:dyDescent="0.2">
      <c r="A24" s="1">
        <v>2012</v>
      </c>
      <c r="B24">
        <v>182657</v>
      </c>
      <c r="C24">
        <v>189634</v>
      </c>
      <c r="D24">
        <v>11765</v>
      </c>
      <c r="E24">
        <v>2</v>
      </c>
      <c r="F24" s="1">
        <v>384058</v>
      </c>
      <c r="H24" s="1">
        <f t="shared" si="0"/>
        <v>0.49376396273479528</v>
      </c>
    </row>
    <row r="25" spans="1:8" x14ac:dyDescent="0.2">
      <c r="A25" s="1">
        <v>2013</v>
      </c>
      <c r="B25">
        <v>198429</v>
      </c>
      <c r="C25">
        <v>209428</v>
      </c>
      <c r="D25">
        <v>12483</v>
      </c>
      <c r="E25">
        <v>0</v>
      </c>
      <c r="F25" s="1">
        <v>420340</v>
      </c>
      <c r="H25" s="1">
        <f t="shared" si="0"/>
        <v>0.49823476233525243</v>
      </c>
    </row>
    <row r="26" spans="1:8" x14ac:dyDescent="0.2">
      <c r="A26" s="1">
        <v>2014</v>
      </c>
      <c r="B26">
        <v>208325</v>
      </c>
      <c r="C26">
        <v>227039</v>
      </c>
      <c r="D26">
        <v>13359</v>
      </c>
      <c r="E26">
        <v>0</v>
      </c>
      <c r="F26" s="1">
        <v>448723</v>
      </c>
      <c r="H26" s="1">
        <f t="shared" si="0"/>
        <v>0.50596693282938476</v>
      </c>
    </row>
    <row r="27" spans="1:8" x14ac:dyDescent="0.2">
      <c r="A27" s="1">
        <v>2015</v>
      </c>
      <c r="B27">
        <v>217981</v>
      </c>
      <c r="C27">
        <v>241856</v>
      </c>
      <c r="D27">
        <v>13719</v>
      </c>
      <c r="E27">
        <v>0</v>
      </c>
      <c r="F27" s="1">
        <v>473556</v>
      </c>
      <c r="H27" s="1">
        <f t="shared" si="0"/>
        <v>0.51072312461461788</v>
      </c>
    </row>
    <row r="28" spans="1:8" x14ac:dyDescent="0.2">
      <c r="A28" s="1">
        <v>2016</v>
      </c>
      <c r="B28">
        <v>219182</v>
      </c>
      <c r="C28">
        <v>250688</v>
      </c>
      <c r="D28">
        <v>13751</v>
      </c>
      <c r="E28">
        <v>0</v>
      </c>
      <c r="F28" s="1">
        <v>483621</v>
      </c>
      <c r="H28" s="1">
        <f t="shared" si="0"/>
        <v>0.51835631620628553</v>
      </c>
    </row>
    <row r="29" spans="1:8" x14ac:dyDescent="0.2">
      <c r="A29" s="1">
        <v>2017</v>
      </c>
      <c r="B29">
        <v>224107</v>
      </c>
      <c r="C29">
        <v>254974</v>
      </c>
      <c r="D29">
        <v>15031</v>
      </c>
      <c r="E29">
        <v>0</v>
      </c>
      <c r="F29" s="1">
        <v>494112</v>
      </c>
      <c r="H29" s="1">
        <f t="shared" si="0"/>
        <v>0.5160247069490318</v>
      </c>
    </row>
    <row r="30" spans="1:8" x14ac:dyDescent="0.2">
      <c r="A30" s="1">
        <v>2018</v>
      </c>
      <c r="B30">
        <v>231955</v>
      </c>
      <c r="C30">
        <v>266940</v>
      </c>
      <c r="D30">
        <v>15349</v>
      </c>
      <c r="E30">
        <v>0</v>
      </c>
      <c r="F30" s="1">
        <v>514244</v>
      </c>
      <c r="H30" s="1">
        <f t="shared" si="0"/>
        <v>0.51909210413733553</v>
      </c>
    </row>
    <row r="31" spans="1:8" x14ac:dyDescent="0.2">
      <c r="A31" s="4">
        <v>2019</v>
      </c>
      <c r="B31">
        <v>246336</v>
      </c>
      <c r="C31">
        <v>282591</v>
      </c>
      <c r="D31">
        <v>16009</v>
      </c>
      <c r="E31">
        <v>0</v>
      </c>
      <c r="F31" s="1">
        <v>544936</v>
      </c>
      <c r="H31" s="1">
        <f t="shared" si="0"/>
        <v>0.51857649338637934</v>
      </c>
    </row>
    <row r="32" spans="1:8" x14ac:dyDescent="0.2">
      <c r="A32" s="1">
        <v>2020</v>
      </c>
      <c r="B32">
        <v>279363</v>
      </c>
      <c r="C32">
        <v>325577</v>
      </c>
      <c r="D32">
        <v>18063</v>
      </c>
      <c r="E32">
        <v>0</v>
      </c>
      <c r="F32" s="1">
        <v>623003</v>
      </c>
      <c r="H32" s="1">
        <f t="shared" si="0"/>
        <v>0.52259298911883245</v>
      </c>
    </row>
    <row r="33" spans="1:8" x14ac:dyDescent="0.2">
      <c r="A33" s="1">
        <v>2021</v>
      </c>
      <c r="B33">
        <v>302010</v>
      </c>
      <c r="C33">
        <v>352563</v>
      </c>
      <c r="D33">
        <v>19339</v>
      </c>
      <c r="E33">
        <v>0</v>
      </c>
      <c r="F33" s="1">
        <v>673912</v>
      </c>
      <c r="H33" s="1">
        <f t="shared" si="0"/>
        <v>0.5231588100523511</v>
      </c>
    </row>
    <row r="34" spans="1:8" x14ac:dyDescent="0.2">
      <c r="A34" s="1">
        <v>2022</v>
      </c>
      <c r="B34">
        <v>296075</v>
      </c>
      <c r="C34">
        <v>335052</v>
      </c>
      <c r="D34">
        <v>19583</v>
      </c>
      <c r="E34">
        <v>7</v>
      </c>
      <c r="F34" s="1">
        <v>650717</v>
      </c>
      <c r="H34" s="1">
        <f t="shared" si="0"/>
        <v>0.51489664477799102</v>
      </c>
    </row>
    <row r="35" spans="1:8" x14ac:dyDescent="0.2">
      <c r="A35" s="1">
        <v>2023</v>
      </c>
      <c r="B35">
        <v>272014</v>
      </c>
      <c r="C35">
        <v>307821</v>
      </c>
      <c r="D35">
        <v>18208</v>
      </c>
      <c r="E35">
        <v>1</v>
      </c>
      <c r="F35" s="1">
        <v>598044</v>
      </c>
      <c r="H35" s="1">
        <f t="shared" si="0"/>
        <v>0.514712964263499</v>
      </c>
    </row>
    <row r="36" spans="1:8" x14ac:dyDescent="0.2">
      <c r="A36" s="1">
        <v>2024</v>
      </c>
      <c r="B36">
        <v>284034</v>
      </c>
      <c r="C36">
        <v>315699</v>
      </c>
      <c r="D36">
        <v>19673</v>
      </c>
      <c r="E36">
        <v>0</v>
      </c>
      <c r="F36" s="1">
        <v>619406</v>
      </c>
      <c r="H36" s="1">
        <f t="shared" si="0"/>
        <v>0.50968024203833995</v>
      </c>
    </row>
    <row r="37" spans="1:8" x14ac:dyDescent="0.2">
      <c r="A37" s="1">
        <v>2025</v>
      </c>
      <c r="B37">
        <v>200870</v>
      </c>
      <c r="C37">
        <v>213390</v>
      </c>
      <c r="D37">
        <v>13458</v>
      </c>
      <c r="E37">
        <v>1</v>
      </c>
      <c r="F37" s="1">
        <v>427719</v>
      </c>
      <c r="H37" s="1">
        <f t="shared" si="0"/>
        <v>0.49890231670793206</v>
      </c>
    </row>
    <row r="38" spans="1:8" x14ac:dyDescent="0.2">
      <c r="A38" s="1" t="s">
        <v>23</v>
      </c>
      <c r="B38"/>
      <c r="C38"/>
      <c r="D38"/>
      <c r="E38"/>
    </row>
    <row r="39" spans="1:8" x14ac:dyDescent="0.2">
      <c r="B39"/>
      <c r="C39"/>
      <c r="D39"/>
      <c r="E39"/>
    </row>
    <row r="40" spans="1:8" x14ac:dyDescent="0.2">
      <c r="B40"/>
      <c r="C40"/>
      <c r="D40"/>
      <c r="E40"/>
    </row>
    <row r="41" spans="1:8" x14ac:dyDescent="0.2">
      <c r="A41" s="4"/>
      <c r="B41"/>
      <c r="C41"/>
      <c r="D41"/>
      <c r="E41"/>
    </row>
    <row r="42" spans="1:8" x14ac:dyDescent="0.2">
      <c r="B42"/>
      <c r="C42"/>
      <c r="D42"/>
      <c r="E42"/>
    </row>
    <row r="43" spans="1:8" x14ac:dyDescent="0.2">
      <c r="B43"/>
      <c r="C43"/>
      <c r="D43"/>
      <c r="E43"/>
    </row>
    <row r="44" spans="1:8" x14ac:dyDescent="0.2">
      <c r="B44"/>
      <c r="C44"/>
      <c r="D44"/>
      <c r="E44"/>
    </row>
    <row r="45" spans="1:8" x14ac:dyDescent="0.2">
      <c r="B45"/>
      <c r="C45"/>
      <c r="D45"/>
      <c r="E45"/>
    </row>
    <row r="46" spans="1:8" x14ac:dyDescent="0.2">
      <c r="B46"/>
      <c r="C46"/>
      <c r="D46"/>
      <c r="E46"/>
    </row>
    <row r="47" spans="1:8" x14ac:dyDescent="0.2">
      <c r="B47"/>
      <c r="C47"/>
      <c r="D47"/>
      <c r="E47"/>
    </row>
    <row r="48" spans="1:8" x14ac:dyDescent="0.2">
      <c r="B48"/>
      <c r="C48"/>
      <c r="D48"/>
      <c r="E48"/>
    </row>
    <row r="49" spans="1:5" x14ac:dyDescent="0.2">
      <c r="B49"/>
      <c r="C49"/>
      <c r="D49"/>
      <c r="E49"/>
    </row>
    <row r="50" spans="1:5" x14ac:dyDescent="0.2">
      <c r="B50"/>
      <c r="C50"/>
      <c r="D50"/>
      <c r="E50"/>
    </row>
    <row r="51" spans="1:5" x14ac:dyDescent="0.2">
      <c r="A51" s="4"/>
      <c r="B51"/>
      <c r="C51"/>
      <c r="D51"/>
      <c r="E51"/>
    </row>
    <row r="52" spans="1:5" x14ac:dyDescent="0.2">
      <c r="B52"/>
      <c r="C52"/>
      <c r="D52"/>
      <c r="E52"/>
    </row>
    <row r="53" spans="1:5" x14ac:dyDescent="0.2">
      <c r="A53" s="1" t="s">
        <v>0</v>
      </c>
      <c r="B53">
        <f>SUM(B2:B52)</f>
        <v>5259561</v>
      </c>
      <c r="C53">
        <f t="shared" ref="C53:E53" si="1">SUM(C2:C52)</f>
        <v>5124834</v>
      </c>
      <c r="D53">
        <f t="shared" si="1"/>
        <v>312778</v>
      </c>
      <c r="E53">
        <f t="shared" si="1"/>
        <v>16</v>
      </c>
    </row>
    <row r="54" spans="1:5" x14ac:dyDescent="0.2">
      <c r="A54" t="s">
        <v>10</v>
      </c>
      <c r="B54"/>
      <c r="C54"/>
      <c r="D54"/>
      <c r="E54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randomized_controlled_trial</vt:lpstr>
      <vt:lpstr>clinical_trial</vt:lpstr>
      <vt:lpstr>meta_analysis</vt:lpstr>
      <vt:lpstr>review</vt:lpstr>
      <vt:lpstr>core_clinical_journal</vt:lpstr>
      <vt:lpstr>observational_study</vt:lpstr>
      <vt:lpstr>systematic_review</vt:lpstr>
      <vt:lpstr>all_articles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진혁 최</cp:lastModifiedBy>
  <dcterms:created xsi:type="dcterms:W3CDTF">2025-10-29T18:01:04Z</dcterms:created>
  <dcterms:modified xsi:type="dcterms:W3CDTF">2025-12-10T04:14:44Z</dcterms:modified>
</cp:coreProperties>
</file>